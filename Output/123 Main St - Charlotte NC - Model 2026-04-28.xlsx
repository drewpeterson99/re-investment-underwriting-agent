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Deal Sheet" sheetId="1" state="visible" r:id="rId1"/>
    <sheet name="Inputs &amp; Summary" sheetId="2" state="visible" r:id="rId2"/>
    <sheet name="Data Validation" sheetId="3" state="hidden" r:id="rId3"/>
    <sheet name="Monthly Proforma" sheetId="4" state="visible" r:id="rId4"/>
    <sheet name="Annual Proforma" sheetId="5" state="visible" r:id="rId5"/>
    <sheet name="Amortization Schedule - Annual" sheetId="6" state="hidden" r:id="rId6"/>
    <sheet name="Amortization Schedule - Monthly" sheetId="7" state="hidden" r:id="rId7"/>
  </sheets>
  <definedNames>
    <definedName name="Am_Sched_Mnthly">'Amortization Schedule - Monthly'!$B$3:$F$362</definedName>
    <definedName name="Am_Sched_Mnthly_Mnths">'Amortization Schedule - Monthly'!$B$3:$B$362</definedName>
    <definedName name="AskingPrice">'Inputs &amp; Summary'!$D$7</definedName>
    <definedName name="Bathrooms">'Inputs &amp; Summary'!$D$9</definedName>
    <definedName name="Bedrooms">'Inputs &amp; Summary'!$D$8</definedName>
    <definedName name="ExpenseGrowth">'Inputs &amp; Summary'!$D$96</definedName>
    <definedName name="IncomeGrowth">'Inputs &amp; Summary'!$D$95</definedName>
    <definedName name="ListingDate">'Inputs &amp; Summary'!$D$5</definedName>
    <definedName name="LoanAmortization">'Inputs &amp; Summary'!$D$41</definedName>
    <definedName name="LoanAmount">'Inputs &amp; Summary'!$P$12</definedName>
    <definedName name="LoanRate">'Inputs &amp; Summary'!$D$39</definedName>
    <definedName name="MillageRateGrowth">'Inputs &amp; Summary'!$D$99</definedName>
    <definedName name="PriceAppreciation">'Inputs &amp; Summary'!$D$97</definedName>
    <definedName name="PurchasePrice">'Inputs &amp; Summary'!$D$17</definedName>
    <definedName name="ReassessmentFreq">'Inputs &amp; Summary'!$D$72</definedName>
    <definedName name="RentCastRent">'Inputs &amp; Summary'!$D$58</definedName>
    <definedName name="SquareFootage">'Inputs &amp; Summary'!$D$10</definedName>
    <definedName name="StreetAddress">'Inputs &amp; Summary'!$D$3</definedName>
    <definedName name="TaxValueAppreciation">'Inputs &amp; Summary'!$D$98</definedName>
    <definedName name="Units">'Inputs &amp; Summary'!$D$11</definedName>
    <definedName name="YearBuilt">'Inputs &amp; Summary'!$D$6</definedName>
  </definedNames>
  <calcPr calcId="191028" calcMode="autoNoTable" fullCalcOnLoad="1"/>
</workbook>
</file>

<file path=xl/styles.xml><?xml version="1.0" encoding="utf-8"?>
<styleSheet xmlns="http://schemas.openxmlformats.org/spreadsheetml/2006/main">
  <numFmts count="23">
    <numFmt numFmtId="164" formatCode="&quot;$&quot;#,##0_);[Red]\(&quot;$&quot;#,##0\)"/>
    <numFmt numFmtId="165" formatCode="&quot;$&quot;#,##0.00_);[Red]\(&quot;$&quot;#,##0.00\)"/>
    <numFmt numFmtId="166" formatCode="&quot;$&quot;#,##0_);\(&quot;$&quot;#,##0\)"/>
    <numFmt numFmtId="167" formatCode="0%;\(0%\)"/>
    <numFmt numFmtId="168" formatCode="##.##\x"/>
    <numFmt numFmtId="169" formatCode="&quot;Year&quot;\ ##0"/>
    <numFmt numFmtId="170" formatCode="[$-409]mmm\-yy;@"/>
    <numFmt numFmtId="171" formatCode="&quot;Month&quot;\ ##0"/>
    <numFmt numFmtId="172" formatCode="&quot;$&quot;#,##0"/>
    <numFmt numFmtId="173" formatCode="0.00%;\(0.00%\)"/>
    <numFmt numFmtId="174" formatCode="0.0%"/>
    <numFmt numFmtId="175" formatCode="#0.00\x"/>
    <numFmt numFmtId="176" formatCode="&quot;Month&quot;\ #0"/>
    <numFmt numFmtId="177" formatCode="&quot;$&quot;#,##0.0_);\(&quot;$&quot;#,##0.0\)"/>
    <numFmt numFmtId="178" formatCode="&quot;$&quot;#,##0.00_);\(&quot;$&quot;#,##0.00\)"/>
    <numFmt numFmtId="179" formatCode="_(#,##0.0%_);\(#,##0.0%\);_(&quot;–&quot;_)_%;_(@_)_%"/>
    <numFmt numFmtId="180" formatCode="0.000%"/>
    <numFmt numFmtId="181" formatCode="0.0&quot;x&quot;"/>
    <numFmt numFmtId="182" formatCode="0.0"/>
    <numFmt numFmtId="183" formatCode="#,##0.0_);[Red]\(#,##0.0\)"/>
    <numFmt numFmtId="184" formatCode="\+0.0%;\-0.0%;0.0%"/>
    <numFmt numFmtId="185" formatCode="0.00\x"/>
    <numFmt numFmtId="186" formatCode="&quot;Year&quot;\ 0.0"/>
  </numFmts>
  <fonts count="26">
    <font>
      <name val="Arial"/>
      <family val="2"/>
      <color theme="1"/>
      <sz val="11"/>
      <scheme val="minor"/>
    </font>
    <font>
      <name val="Garamond"/>
      <family val="1"/>
      <sz val="11"/>
    </font>
    <font>
      <name val="Garamond"/>
      <family val="1"/>
      <color rgb="FF0000FF"/>
      <sz val="11"/>
    </font>
    <font>
      <name val="Garamond"/>
      <family val="1"/>
      <b val="1"/>
      <sz val="11"/>
    </font>
    <font>
      <name val="Garamond"/>
      <family val="1"/>
      <color rgb="FF008000"/>
      <sz val="11"/>
    </font>
    <font>
      <name val="Garamond"/>
      <family val="1"/>
      <b val="1"/>
      <i val="1"/>
      <sz val="11"/>
    </font>
    <font>
      <name val="Garamond"/>
      <family val="2"/>
      <color theme="1"/>
      <sz val="11"/>
    </font>
    <font>
      <name val="Garamond"/>
      <family val="2"/>
      <b val="1"/>
      <color theme="0"/>
      <sz val="11"/>
    </font>
    <font>
      <name val="Garamond"/>
      <family val="2"/>
      <sz val="11"/>
    </font>
    <font>
      <name val="Garamond"/>
      <family val="1"/>
      <i val="1"/>
      <sz val="11"/>
    </font>
    <font>
      <name val="Arial"/>
      <family val="2"/>
      <sz val="10"/>
    </font>
    <font>
      <name val="Garamond"/>
      <family val="2"/>
      <color theme="1"/>
      <sz val="10"/>
    </font>
    <font>
      <name val="Garamond"/>
      <family val="1"/>
      <color theme="1"/>
      <sz val="11"/>
    </font>
    <font>
      <name val="Garamond"/>
      <family val="1"/>
      <b val="1"/>
      <color theme="1"/>
      <sz val="11"/>
      <u val="singleAccounting"/>
    </font>
    <font>
      <name val="Garamond"/>
      <family val="1"/>
      <color theme="1"/>
      <sz val="11"/>
      <u val="singleAccounting"/>
    </font>
    <font>
      <name val="Garamond"/>
      <family val="1"/>
      <color rgb="FF000000"/>
      <sz val="11"/>
    </font>
    <font>
      <name val="Garamond"/>
      <family val="1"/>
      <b val="1"/>
      <color theme="1"/>
      <sz val="11"/>
    </font>
    <font>
      <name val="Garamond"/>
      <family val="1"/>
      <b val="1"/>
      <color rgb="FF000000"/>
      <sz val="11"/>
    </font>
    <font>
      <name val="Garamond"/>
      <family val="1"/>
      <i val="1"/>
      <color theme="1"/>
      <sz val="11"/>
    </font>
    <font>
      <name val="Garamond"/>
      <family val="1"/>
      <i val="1"/>
      <color rgb="FF000000"/>
      <sz val="11"/>
    </font>
    <font>
      <name val="Garamond"/>
      <family val="1"/>
      <color rgb="FF004D00"/>
      <sz val="11"/>
    </font>
    <font>
      <name val="Tahoma"/>
      <family val="2"/>
      <color indexed="81"/>
      <sz val="9"/>
    </font>
    <font>
      <name val="Tahoma"/>
      <family val="2"/>
      <b val="1"/>
      <color indexed="81"/>
      <sz val="9"/>
    </font>
    <font>
      <name val="Garamond"/>
      <family val="1"/>
      <b val="1"/>
      <color rgb="FFC00000"/>
      <sz val="11"/>
    </font>
    <font>
      <name val="Garamond"/>
      <family val="1"/>
      <i val="1"/>
      <color rgb="FFC00000"/>
      <sz val="11"/>
      <u val="single"/>
    </font>
    <font>
      <name val="Garamond"/>
      <family val="1"/>
      <i val="1"/>
      <color rgb="FF008000"/>
      <sz val="11"/>
    </font>
  </fonts>
  <fills count="9">
    <fill>
      <patternFill/>
    </fill>
    <fill>
      <patternFill patternType="gray125"/>
    </fill>
    <fill>
      <patternFill patternType="solid">
        <fgColor theme="9" tint="0.3999755851924192"/>
        <bgColor indexed="64"/>
      </patternFill>
    </fill>
    <fill>
      <patternFill patternType="solid">
        <fgColor theme="5" tint="0.7999816888943144"/>
        <bgColor indexed="64"/>
      </patternFill>
    </fill>
    <fill>
      <patternFill patternType="solid">
        <fgColor theme="1"/>
        <bgColor indexed="64"/>
      </patternFill>
    </fill>
    <fill>
      <patternFill patternType="solid">
        <fgColor theme="9"/>
        <bgColor indexed="64"/>
      </patternFill>
    </fill>
    <fill>
      <patternFill patternType="solid">
        <fgColor theme="4" tint="0.749992370372631"/>
        <bgColor indexed="64"/>
      </patternFill>
    </fill>
    <fill>
      <patternFill patternType="solid">
        <fgColor rgb="FFFFFFFF"/>
        <bgColor indexed="64"/>
      </patternFill>
    </fill>
    <fill>
      <patternFill patternType="solid">
        <fgColor rgb="FFB7FFD3"/>
        <bgColor indexed="64"/>
      </patternFill>
    </fill>
  </fills>
  <borders count="2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medium">
        <color auto="1"/>
      </left>
      <right/>
      <top style="medium">
        <color auto="1"/>
      </top>
      <bottom style="medium">
        <color auto="1"/>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thin">
        <color auto="1"/>
      </bottom>
      <diagonal/>
    </border>
  </borders>
  <cellStyleXfs count="7">
    <xf numFmtId="0" fontId="0" fillId="0" borderId="0"/>
    <xf numFmtId="0" fontId="6" fillId="0" borderId="0"/>
    <xf numFmtId="0" fontId="10" fillId="0" borderId="0"/>
    <xf numFmtId="44" fontId="10" fillId="0" borderId="0"/>
    <xf numFmtId="0" fontId="10" fillId="0" borderId="0"/>
    <xf numFmtId="44" fontId="10" fillId="0" borderId="0"/>
    <xf numFmtId="0" fontId="11" fillId="0" borderId="0"/>
  </cellStyleXfs>
  <cellXfs count="321">
    <xf numFmtId="0" fontId="0" fillId="0" borderId="0" pivotButton="0" quotePrefix="0" xfId="0"/>
    <xf numFmtId="0" fontId="1" fillId="0" borderId="0" pivotButton="0" quotePrefix="0" xfId="0"/>
    <xf numFmtId="164" fontId="1" fillId="0" borderId="0" pivotButton="0" quotePrefix="0" xfId="0"/>
    <xf numFmtId="164" fontId="2" fillId="0" borderId="0" pivotButton="0" quotePrefix="0" xfId="0"/>
    <xf numFmtId="0" fontId="2" fillId="0" borderId="0" pivotButton="0" quotePrefix="0" xfId="0"/>
    <xf numFmtId="165" fontId="1" fillId="0" borderId="0" pivotButton="0" quotePrefix="0" xfId="0"/>
    <xf numFmtId="0" fontId="3" fillId="0" borderId="0" pivotButton="0" quotePrefix="0" xfId="0"/>
    <xf numFmtId="0" fontId="3" fillId="0" borderId="1" pivotButton="0" quotePrefix="0" xfId="0"/>
    <xf numFmtId="0" fontId="1" fillId="0" borderId="1" pivotButton="0" quotePrefix="0" xfId="0"/>
    <xf numFmtId="0" fontId="1" fillId="0" borderId="2" pivotButton="0" quotePrefix="0" xfId="0"/>
    <xf numFmtId="164" fontId="3" fillId="0" borderId="0" pivotButton="0" quotePrefix="0" xfId="0"/>
    <xf numFmtId="0" fontId="1" fillId="0" borderId="3" pivotButton="0" quotePrefix="0" xfId="0"/>
    <xf numFmtId="0" fontId="1" fillId="0" borderId="1" applyAlignment="1" pivotButton="0" quotePrefix="0" xfId="0">
      <alignment horizontal="right"/>
    </xf>
    <xf numFmtId="166" fontId="1" fillId="0" borderId="0" pivotButton="0" quotePrefix="0" xfId="0"/>
    <xf numFmtId="0" fontId="3" fillId="0" borderId="3" pivotButton="0" quotePrefix="0" xfId="0"/>
    <xf numFmtId="164" fontId="3" fillId="0" borderId="3" pivotButton="0" quotePrefix="0" xfId="0"/>
    <xf numFmtId="167" fontId="2" fillId="0" borderId="0" pivotButton="0" quotePrefix="0" xfId="0"/>
    <xf numFmtId="166" fontId="2" fillId="0" borderId="0" pivotButton="0" quotePrefix="0" xfId="0"/>
    <xf numFmtId="9" fontId="1" fillId="0" borderId="0" pivotButton="0" quotePrefix="0" xfId="0"/>
    <xf numFmtId="167" fontId="1" fillId="0" borderId="0" pivotButton="0" quotePrefix="0" xfId="0"/>
    <xf numFmtId="9" fontId="2" fillId="0" borderId="0" pivotButton="0" quotePrefix="0" xfId="0"/>
    <xf numFmtId="10" fontId="2" fillId="0" borderId="0" pivotButton="0" quotePrefix="0" xfId="0"/>
    <xf numFmtId="168" fontId="3" fillId="0" borderId="0" pivotButton="0" quotePrefix="0" xfId="0"/>
    <xf numFmtId="169" fontId="1" fillId="0" borderId="0" pivotButton="0" quotePrefix="0" xfId="0"/>
    <xf numFmtId="170" fontId="1" fillId="0" borderId="0" pivotButton="0" quotePrefix="0" xfId="0"/>
    <xf numFmtId="0" fontId="3" fillId="0" borderId="0" applyAlignment="1" pivotButton="0" quotePrefix="0" xfId="0">
      <alignment horizontal="right"/>
    </xf>
    <xf numFmtId="0" fontId="3" fillId="0" borderId="1" applyAlignment="1" pivotButton="0" quotePrefix="0" xfId="0">
      <alignment horizontal="right"/>
    </xf>
    <xf numFmtId="171" fontId="1" fillId="0" borderId="1" pivotButton="0" quotePrefix="0" xfId="0"/>
    <xf numFmtId="0" fontId="4" fillId="0" borderId="0" applyAlignment="1" pivotButton="0" quotePrefix="0" xfId="0">
      <alignment horizontal="left"/>
    </xf>
    <xf numFmtId="172" fontId="1" fillId="0" borderId="0" pivotButton="0" quotePrefix="0" xfId="0"/>
    <xf numFmtId="171" fontId="4" fillId="2" borderId="0" pivotButton="0" quotePrefix="0" xfId="0"/>
    <xf numFmtId="0" fontId="1" fillId="2" borderId="0" pivotButton="0" quotePrefix="0" xfId="0"/>
    <xf numFmtId="0" fontId="1" fillId="2" borderId="1" pivotButton="0" quotePrefix="0" xfId="0"/>
    <xf numFmtId="0" fontId="3" fillId="2" borderId="0" pivotButton="0" quotePrefix="0" xfId="0"/>
    <xf numFmtId="164" fontId="4" fillId="2" borderId="0" applyAlignment="1" pivotButton="0" quotePrefix="0" xfId="0">
      <alignment horizontal="right"/>
    </xf>
    <xf numFmtId="172" fontId="1" fillId="0" borderId="3" pivotButton="0" quotePrefix="0" xfId="0"/>
    <xf numFmtId="166" fontId="1" fillId="0" borderId="1" pivotButton="0" quotePrefix="0" xfId="0"/>
    <xf numFmtId="172" fontId="3" fillId="0" borderId="3" pivotButton="0" quotePrefix="0" xfId="0"/>
    <xf numFmtId="0" fontId="3" fillId="2" borderId="3" pivotButton="0" quotePrefix="0" xfId="0"/>
    <xf numFmtId="173" fontId="4" fillId="2" borderId="0" pivotButton="0" quotePrefix="0" xfId="0"/>
    <xf numFmtId="173" fontId="4" fillId="2" borderId="1" pivotButton="0" quotePrefix="0" xfId="0"/>
    <xf numFmtId="166" fontId="4" fillId="2" borderId="0" pivotButton="0" quotePrefix="0" xfId="0"/>
    <xf numFmtId="166" fontId="4" fillId="2" borderId="1" pivotButton="0" quotePrefix="0" xfId="0"/>
    <xf numFmtId="166" fontId="3" fillId="0" borderId="0" pivotButton="0" quotePrefix="0" xfId="0"/>
    <xf numFmtId="0" fontId="5" fillId="0" borderId="0" pivotButton="0" quotePrefix="0" xfId="0"/>
    <xf numFmtId="174" fontId="5" fillId="0" borderId="0" pivotButton="0" quotePrefix="0" xfId="0"/>
    <xf numFmtId="0" fontId="2" fillId="0" borderId="0" applyAlignment="1" pivotButton="0" quotePrefix="0" xfId="0">
      <alignment horizontal="right"/>
    </xf>
    <xf numFmtId="164" fontId="1" fillId="0" borderId="0" applyAlignment="1" pivotButton="0" quotePrefix="0" xfId="0">
      <alignment horizontal="right"/>
    </xf>
    <xf numFmtId="166" fontId="1" fillId="2" borderId="0" pivotButton="0" quotePrefix="0" xfId="0"/>
    <xf numFmtId="166" fontId="3" fillId="2" borderId="0" pivotButton="0" quotePrefix="0" xfId="0"/>
    <xf numFmtId="0" fontId="7" fillId="4" borderId="5" applyAlignment="1" pivotButton="0" quotePrefix="0" xfId="1">
      <alignment horizontal="centerContinuous"/>
    </xf>
    <xf numFmtId="0" fontId="7" fillId="4" borderId="6" applyAlignment="1" pivotButton="0" quotePrefix="0" xfId="1">
      <alignment horizontal="centerContinuous"/>
    </xf>
    <xf numFmtId="0" fontId="8" fillId="5" borderId="7" pivotButton="0" quotePrefix="0" xfId="1"/>
    <xf numFmtId="174" fontId="8" fillId="5" borderId="8" pivotButton="0" quotePrefix="0" xfId="1"/>
    <xf numFmtId="175" fontId="8" fillId="5" borderId="8" pivotButton="0" quotePrefix="0" xfId="1"/>
    <xf numFmtId="166" fontId="8" fillId="5" borderId="8" pivotButton="0" quotePrefix="0" xfId="1"/>
    <xf numFmtId="0" fontId="8" fillId="5" borderId="9" pivotButton="0" quotePrefix="0" xfId="1"/>
    <xf numFmtId="166" fontId="8" fillId="5" borderId="10" pivotButton="0" quotePrefix="0" xfId="1"/>
    <xf numFmtId="0" fontId="9" fillId="0" borderId="0" pivotButton="0" quotePrefix="0" xfId="0"/>
    <xf numFmtId="166" fontId="9" fillId="0" borderId="0" pivotButton="0" quotePrefix="0" xfId="0"/>
    <xf numFmtId="0" fontId="3" fillId="6" borderId="2" applyAlignment="1" pivotButton="0" quotePrefix="0" xfId="0">
      <alignment horizontal="left"/>
    </xf>
    <xf numFmtId="0" fontId="1" fillId="6" borderId="1" applyAlignment="1" pivotButton="0" quotePrefix="0" xfId="0">
      <alignment horizontal="left"/>
    </xf>
    <xf numFmtId="171" fontId="1" fillId="6" borderId="1" pivotButton="0" quotePrefix="0" xfId="0"/>
    <xf numFmtId="0" fontId="3" fillId="6" borderId="2" pivotButton="0" quotePrefix="0" xfId="0"/>
    <xf numFmtId="0" fontId="1" fillId="6" borderId="2" pivotButton="0" quotePrefix="0" xfId="0"/>
    <xf numFmtId="0" fontId="1" fillId="0" borderId="0" applyAlignment="1" pivotButton="0" quotePrefix="0" xfId="0">
      <alignment horizontal="left"/>
    </xf>
    <xf numFmtId="176" fontId="1" fillId="2" borderId="0" pivotButton="0" quotePrefix="0" xfId="0"/>
    <xf numFmtId="0" fontId="1" fillId="0" borderId="1" applyAlignment="1" pivotButton="0" quotePrefix="0" xfId="0">
      <alignment horizontal="left"/>
    </xf>
    <xf numFmtId="176" fontId="1" fillId="2" borderId="1" pivotButton="0" quotePrefix="0" xfId="0"/>
    <xf numFmtId="166" fontId="2" fillId="2" borderId="0" pivotButton="0" quotePrefix="0" xfId="0"/>
    <xf numFmtId="166" fontId="2" fillId="0" borderId="1" pivotButton="0" quotePrefix="0" xfId="0"/>
    <xf numFmtId="174" fontId="1" fillId="0" borderId="0" pivotButton="0" quotePrefix="0" xfId="0"/>
    <xf numFmtId="174" fontId="2" fillId="0" borderId="0" pivotButton="0" quotePrefix="0" xfId="0"/>
    <xf numFmtId="172" fontId="1" fillId="0" borderId="0" applyAlignment="1" pivotButton="0" quotePrefix="0" xfId="0">
      <alignment wrapText="1"/>
    </xf>
    <xf numFmtId="0" fontId="8" fillId="5" borderId="11" pivotButton="0" quotePrefix="0" xfId="1"/>
    <xf numFmtId="165" fontId="3" fillId="0" borderId="3" pivotButton="0" quotePrefix="0" xfId="0"/>
    <xf numFmtId="177" fontId="2" fillId="0" borderId="0" pivotButton="0" quotePrefix="0" xfId="0"/>
    <xf numFmtId="0" fontId="12" fillId="0" borderId="0" pivotButton="0" quotePrefix="0" xfId="0"/>
    <xf numFmtId="0" fontId="13" fillId="0" borderId="0" applyAlignment="1" pivotButton="0" quotePrefix="0" xfId="0">
      <alignment horizontal="centerContinuous"/>
    </xf>
    <xf numFmtId="0" fontId="13" fillId="0" borderId="0" applyAlignment="1" pivotButton="0" quotePrefix="0" xfId="0">
      <alignment horizontal="center"/>
    </xf>
    <xf numFmtId="0" fontId="14" fillId="0" borderId="0" applyAlignment="1" pivotButton="0" quotePrefix="0" xfId="0">
      <alignment horizontal="centerContinuous"/>
    </xf>
    <xf numFmtId="166" fontId="15" fillId="0" borderId="0" applyAlignment="1" pivotButton="0" quotePrefix="0" xfId="0">
      <alignment horizontal="center"/>
    </xf>
    <xf numFmtId="0" fontId="16" fillId="0" borderId="0" pivotButton="0" quotePrefix="0" xfId="0"/>
    <xf numFmtId="166" fontId="17" fillId="0" borderId="3" applyAlignment="1" pivotButton="0" quotePrefix="0" xfId="0">
      <alignment horizontal="center"/>
    </xf>
    <xf numFmtId="178" fontId="12" fillId="0" borderId="0" pivotButton="0" quotePrefix="0" xfId="0"/>
    <xf numFmtId="166" fontId="17" fillId="0" borderId="0" applyAlignment="1" pivotButton="0" quotePrefix="0" xfId="0">
      <alignment horizontal="center"/>
    </xf>
    <xf numFmtId="166" fontId="12" fillId="0" borderId="0" applyAlignment="1" pivotButton="0" quotePrefix="0" xfId="0">
      <alignment vertical="top" wrapText="1"/>
    </xf>
    <xf numFmtId="166" fontId="12" fillId="0" borderId="0" pivotButton="0" quotePrefix="0" xfId="0"/>
    <xf numFmtId="177" fontId="15" fillId="0" borderId="0" applyAlignment="1" pivotButton="0" quotePrefix="0" xfId="0">
      <alignment horizontal="left"/>
    </xf>
    <xf numFmtId="179" fontId="19" fillId="0" borderId="0" applyAlignment="1" pivotButton="0" quotePrefix="0" xfId="0">
      <alignment horizontal="centerContinuous"/>
    </xf>
    <xf numFmtId="180" fontId="2" fillId="0" borderId="0" pivotButton="0" quotePrefix="0" xfId="0"/>
    <xf numFmtId="166" fontId="1" fillId="0" borderId="0" applyAlignment="1" pivotButton="0" quotePrefix="0" xfId="0">
      <alignment horizontal="center"/>
    </xf>
    <xf numFmtId="166" fontId="3" fillId="0" borderId="3" applyAlignment="1" pivotButton="0" quotePrefix="0" xfId="0">
      <alignment horizontal="center"/>
    </xf>
    <xf numFmtId="181" fontId="1" fillId="0" borderId="0" pivotButton="0" quotePrefix="0" xfId="0"/>
    <xf numFmtId="177" fontId="1" fillId="0" borderId="0" applyAlignment="1" pivotButton="0" quotePrefix="0" xfId="0">
      <alignment horizontal="left"/>
    </xf>
    <xf numFmtId="0" fontId="3" fillId="0" borderId="13" applyAlignment="1" pivotButton="0" quotePrefix="0" xfId="0">
      <alignment horizontal="left"/>
    </xf>
    <xf numFmtId="178" fontId="1" fillId="0" borderId="0" pivotButton="0" quotePrefix="0" xfId="0"/>
    <xf numFmtId="0" fontId="1" fillId="0" borderId="0" applyAlignment="1" pivotButton="0" quotePrefix="0" xfId="0">
      <alignment horizontal="left" indent="2"/>
    </xf>
    <xf numFmtId="174" fontId="1" fillId="0" borderId="0" applyAlignment="1" pivotButton="0" quotePrefix="0" xfId="0">
      <alignment horizontal="center"/>
    </xf>
    <xf numFmtId="166" fontId="3" fillId="0" borderId="0" applyAlignment="1" pivotButton="0" quotePrefix="0" xfId="0">
      <alignment horizontal="center"/>
    </xf>
    <xf numFmtId="0" fontId="3" fillId="0" borderId="2" pivotButton="0" quotePrefix="0" xfId="0"/>
    <xf numFmtId="0" fontId="3" fillId="2" borderId="2" pivotButton="0" quotePrefix="0" xfId="0"/>
    <xf numFmtId="164" fontId="3" fillId="0" borderId="2" pivotButton="0" quotePrefix="0" xfId="0"/>
    <xf numFmtId="172" fontId="3" fillId="0" borderId="0" pivotButton="0" quotePrefix="0" xfId="0"/>
    <xf numFmtId="0" fontId="1" fillId="2" borderId="2" pivotButton="0" quotePrefix="0" xfId="0"/>
    <xf numFmtId="172" fontId="1" fillId="0" borderId="2" pivotButton="0" quotePrefix="0" xfId="0"/>
    <xf numFmtId="164" fontId="1" fillId="0" borderId="2" pivotButton="0" quotePrefix="0" xfId="0"/>
    <xf numFmtId="9" fontId="2" fillId="0" borderId="2" pivotButton="0" quotePrefix="0" xfId="0"/>
    <xf numFmtId="0" fontId="20" fillId="0" borderId="11" pivotButton="0" quotePrefix="0" xfId="0"/>
    <xf numFmtId="164" fontId="20" fillId="0" borderId="12" pivotButton="0" quotePrefix="0" xfId="0"/>
    <xf numFmtId="0" fontId="20" fillId="0" borderId="7" pivotButton="0" quotePrefix="0" xfId="0"/>
    <xf numFmtId="164" fontId="20" fillId="0" borderId="8" pivotButton="0" quotePrefix="0" xfId="0"/>
    <xf numFmtId="0" fontId="20" fillId="0" borderId="9" pivotButton="0" quotePrefix="0" xfId="0"/>
    <xf numFmtId="164" fontId="20" fillId="0" borderId="10" pivotButton="0" quotePrefix="0" xfId="0"/>
    <xf numFmtId="9" fontId="3" fillId="0" borderId="3" applyAlignment="1" pivotButton="0" quotePrefix="0" xfId="0">
      <alignment horizontal="right"/>
    </xf>
    <xf numFmtId="167" fontId="1" fillId="0" borderId="0" applyAlignment="1" pivotButton="0" quotePrefix="0" xfId="0">
      <alignment horizontal="right"/>
    </xf>
    <xf numFmtId="38" fontId="2" fillId="0" borderId="0" pivotButton="0" quotePrefix="0" xfId="0"/>
    <xf numFmtId="182" fontId="1" fillId="0" borderId="0" pivotButton="0" quotePrefix="0" xfId="0"/>
    <xf numFmtId="174" fontId="5" fillId="0" borderId="0" applyAlignment="1" pivotButton="0" quotePrefix="0" xfId="0">
      <alignment horizontal="right"/>
    </xf>
    <xf numFmtId="164" fontId="5" fillId="0" borderId="3" pivotButton="0" quotePrefix="0" xfId="0"/>
    <xf numFmtId="175" fontId="5" fillId="0" borderId="0" pivotButton="0" quotePrefix="0" xfId="0"/>
    <xf numFmtId="9" fontId="3" fillId="0" borderId="0" pivotButton="0" quotePrefix="0" xfId="0"/>
    <xf numFmtId="182" fontId="2" fillId="0" borderId="0" pivotButton="0" quotePrefix="0" xfId="0"/>
    <xf numFmtId="10" fontId="9" fillId="0" borderId="0" applyAlignment="1" pivotButton="0" quotePrefix="0" xfId="0">
      <alignment horizontal="left"/>
    </xf>
    <xf numFmtId="0" fontId="3" fillId="2" borderId="1" pivotButton="0" quotePrefix="0" xfId="0"/>
    <xf numFmtId="14" fontId="2" fillId="0" borderId="0" applyAlignment="1" pivotButton="0" quotePrefix="0" xfId="0">
      <alignment horizontal="right"/>
    </xf>
    <xf numFmtId="164" fontId="2" fillId="0" borderId="0" applyAlignment="1" pivotButton="0" quotePrefix="0" xfId="0">
      <alignment horizontal="right"/>
    </xf>
    <xf numFmtId="38" fontId="2" fillId="0" borderId="0" applyAlignment="1" pivotButton="0" quotePrefix="0" xfId="0">
      <alignment horizontal="right"/>
    </xf>
    <xf numFmtId="40" fontId="2" fillId="0" borderId="0" applyAlignment="1" pivotButton="0" quotePrefix="0" xfId="0">
      <alignment horizontal="right"/>
    </xf>
    <xf numFmtId="165" fontId="1" fillId="0" borderId="0" applyAlignment="1" pivotButton="0" quotePrefix="0" xfId="0">
      <alignment horizontal="right"/>
    </xf>
    <xf numFmtId="183" fontId="2" fillId="0" borderId="0" applyAlignment="1" pivotButton="0" quotePrefix="0" xfId="0">
      <alignment horizontal="right"/>
    </xf>
    <xf numFmtId="0" fontId="23" fillId="0" borderId="0" applyAlignment="1" pivotButton="0" quotePrefix="0" xfId="0">
      <alignment horizontal="center"/>
    </xf>
    <xf numFmtId="165" fontId="2" fillId="0" borderId="0" applyAlignment="1" pivotButton="0" quotePrefix="0" xfId="0">
      <alignment horizontal="right"/>
    </xf>
    <xf numFmtId="164" fontId="3" fillId="3" borderId="4" applyAlignment="1" pivotButton="0" quotePrefix="0" xfId="0">
      <alignment horizontal="right"/>
    </xf>
    <xf numFmtId="0" fontId="3" fillId="0" borderId="0" applyAlignment="1" pivotButton="0" quotePrefix="0" xfId="0">
      <alignment horizontal="center"/>
    </xf>
    <xf numFmtId="0" fontId="1" fillId="0" borderId="0" applyAlignment="1" pivotButton="0" quotePrefix="0" xfId="0">
      <alignment horizontal="center"/>
    </xf>
    <xf numFmtId="164" fontId="1" fillId="0" borderId="0" applyAlignment="1" pivotButton="0" quotePrefix="0" xfId="0">
      <alignment horizontal="center"/>
    </xf>
    <xf numFmtId="10" fontId="3" fillId="3" borderId="4" applyAlignment="1" pivotButton="0" quotePrefix="0" xfId="0">
      <alignment horizontal="right"/>
    </xf>
    <xf numFmtId="165" fontId="3" fillId="3" borderId="4" applyAlignment="1" pivotButton="0" quotePrefix="0" xfId="0">
      <alignment horizontal="right"/>
    </xf>
    <xf numFmtId="1" fontId="2" fillId="0" borderId="0" applyAlignment="1" pivotButton="0" quotePrefix="0" xfId="0">
      <alignment horizontal="right"/>
    </xf>
    <xf numFmtId="166" fontId="1" fillId="0" borderId="0" applyAlignment="1" pivotButton="0" quotePrefix="0" xfId="0">
      <alignment horizontal="right"/>
    </xf>
    <xf numFmtId="166" fontId="3" fillId="0" borderId="0" applyAlignment="1" pivotButton="0" quotePrefix="0" xfId="0">
      <alignment horizontal="right"/>
    </xf>
    <xf numFmtId="174" fontId="1" fillId="0" borderId="0" applyAlignment="1" pivotButton="0" quotePrefix="0" xfId="0">
      <alignment horizontal="right"/>
    </xf>
    <xf numFmtId="181" fontId="1" fillId="0" borderId="0" applyAlignment="1" pivotButton="0" quotePrefix="0" xfId="0">
      <alignment horizontal="right"/>
    </xf>
    <xf numFmtId="184" fontId="2" fillId="0" borderId="0" pivotButton="0" quotePrefix="0" xfId="0"/>
    <xf numFmtId="0" fontId="1" fillId="0" borderId="1" applyAlignment="1" pivotButton="0" quotePrefix="0" xfId="0">
      <alignment horizontal="center"/>
    </xf>
    <xf numFmtId="178" fontId="1" fillId="0" borderId="0" applyAlignment="1" pivotButton="0" quotePrefix="0" xfId="0">
      <alignment horizontal="center"/>
    </xf>
    <xf numFmtId="180" fontId="1" fillId="0" borderId="0" applyAlignment="1" pivotButton="0" quotePrefix="0" xfId="0">
      <alignment horizontal="center"/>
    </xf>
    <xf numFmtId="172" fontId="1" fillId="0" borderId="0" applyAlignment="1" pivotButton="0" quotePrefix="0" xfId="0">
      <alignment horizontal="center"/>
    </xf>
    <xf numFmtId="10" fontId="1" fillId="0" borderId="0" applyAlignment="1" pivotButton="0" quotePrefix="0" xfId="0">
      <alignment horizontal="center"/>
    </xf>
    <xf numFmtId="164" fontId="3" fillId="0" borderId="0" applyAlignment="1" pivotButton="0" quotePrefix="0" xfId="0">
      <alignment horizontal="right"/>
    </xf>
    <xf numFmtId="0" fontId="24" fillId="0" borderId="0" pivotButton="0" quotePrefix="0" xfId="0"/>
    <xf numFmtId="180" fontId="3" fillId="3" borderId="4" applyAlignment="1" pivotButton="0" quotePrefix="0" xfId="0">
      <alignment horizontal="right"/>
    </xf>
    <xf numFmtId="0" fontId="5" fillId="0" borderId="0" applyAlignment="1" pivotButton="0" quotePrefix="0" xfId="0">
      <alignment horizontal="right"/>
    </xf>
    <xf numFmtId="166" fontId="25" fillId="0" borderId="0" pivotButton="0" quotePrefix="0" xfId="0"/>
    <xf numFmtId="171" fontId="25" fillId="7" borderId="0" pivotButton="0" quotePrefix="0" xfId="0"/>
    <xf numFmtId="182" fontId="25" fillId="7" borderId="0" pivotButton="0" quotePrefix="0" xfId="0"/>
    <xf numFmtId="0" fontId="3" fillId="0" borderId="15" pivotButton="0" quotePrefix="0" xfId="0"/>
    <xf numFmtId="0" fontId="1" fillId="0" borderId="15" pivotButton="0" quotePrefix="0" xfId="0"/>
    <xf numFmtId="171" fontId="9" fillId="7" borderId="15" pivotButton="0" quotePrefix="0" xfId="0"/>
    <xf numFmtId="0" fontId="3" fillId="0" borderId="15" applyAlignment="1" pivotButton="0" quotePrefix="0" xfId="0">
      <alignment horizontal="left"/>
    </xf>
    <xf numFmtId="0" fontId="1" fillId="0" borderId="15" applyAlignment="1" pivotButton="0" quotePrefix="0" xfId="0">
      <alignment horizontal="center"/>
    </xf>
    <xf numFmtId="164" fontId="1" fillId="0" borderId="1" applyAlignment="1" pivotButton="0" quotePrefix="0" xfId="0">
      <alignment horizontal="right"/>
    </xf>
    <xf numFmtId="174" fontId="3" fillId="3" borderId="20" applyAlignment="1" pivotButton="0" quotePrefix="0" xfId="0">
      <alignment horizontal="center"/>
    </xf>
    <xf numFmtId="174" fontId="3" fillId="3" borderId="21" applyAlignment="1" pivotButton="0" quotePrefix="0" xfId="0">
      <alignment horizontal="center"/>
    </xf>
    <xf numFmtId="185" fontId="3" fillId="3" borderId="20" applyAlignment="1" pivotButton="0" quotePrefix="0" xfId="0">
      <alignment horizontal="center"/>
    </xf>
    <xf numFmtId="185" fontId="3" fillId="3" borderId="21" applyAlignment="1" pivotButton="0" quotePrefix="0" xfId="0">
      <alignment horizontal="center"/>
    </xf>
    <xf numFmtId="166" fontId="3" fillId="3" borderId="20" applyAlignment="1" pivotButton="0" quotePrefix="0" xfId="0">
      <alignment horizontal="center"/>
    </xf>
    <xf numFmtId="166" fontId="3" fillId="3" borderId="21" applyAlignment="1" pivotButton="0" quotePrefix="0" xfId="0">
      <alignment horizontal="center"/>
    </xf>
    <xf numFmtId="166" fontId="3" fillId="3" borderId="22" applyAlignment="1" pivotButton="0" quotePrefix="0" xfId="0">
      <alignment horizontal="center"/>
    </xf>
    <xf numFmtId="166" fontId="3" fillId="3" borderId="23" applyAlignment="1" pivotButton="0" quotePrefix="0" xfId="0">
      <alignment horizontal="center"/>
    </xf>
    <xf numFmtId="0" fontId="25" fillId="0" borderId="0" applyAlignment="1" pivotButton="0" quotePrefix="0" xfId="0">
      <alignment horizontal="center"/>
    </xf>
    <xf numFmtId="164" fontId="1" fillId="0" borderId="0" applyAlignment="1" pivotButton="0" quotePrefix="1" xfId="0">
      <alignment horizontal="center"/>
    </xf>
    <xf numFmtId="175" fontId="3" fillId="3" borderId="4" applyAlignment="1" pivotButton="0" quotePrefix="0" xfId="0">
      <alignment horizontal="right"/>
    </xf>
    <xf numFmtId="184" fontId="1" fillId="0" borderId="0" applyAlignment="1" pivotButton="0" quotePrefix="0" xfId="0">
      <alignment horizontal="right"/>
    </xf>
    <xf numFmtId="172" fontId="1" fillId="0" borderId="0" applyAlignment="1" pivotButton="0" quotePrefix="0" xfId="0">
      <alignment horizontal="right"/>
    </xf>
    <xf numFmtId="10" fontId="2" fillId="0" borderId="0" applyAlignment="1" pivotButton="0" quotePrefix="0" xfId="0">
      <alignment horizontal="right"/>
    </xf>
    <xf numFmtId="164" fontId="3" fillId="0" borderId="3" applyAlignment="1" pivotButton="0" quotePrefix="0" xfId="0">
      <alignment horizontal="right"/>
    </xf>
    <xf numFmtId="10" fontId="5" fillId="0" borderId="0" applyAlignment="1" pivotButton="0" quotePrefix="0" xfId="0">
      <alignment horizontal="right"/>
    </xf>
    <xf numFmtId="10" fontId="1" fillId="0" borderId="0" applyAlignment="1" pivotButton="0" quotePrefix="0" xfId="0">
      <alignment horizontal="right"/>
    </xf>
    <xf numFmtId="0" fontId="1" fillId="0" borderId="0" applyAlignment="1" pivotButton="0" quotePrefix="0" xfId="0">
      <alignment horizontal="right"/>
    </xf>
    <xf numFmtId="166" fontId="1" fillId="0" borderId="1" applyAlignment="1" pivotButton="0" quotePrefix="0" xfId="0">
      <alignment horizontal="right"/>
    </xf>
    <xf numFmtId="164" fontId="20" fillId="0" borderId="8" applyAlignment="1" pivotButton="0" quotePrefix="0" xfId="0">
      <alignment horizontal="right"/>
    </xf>
    <xf numFmtId="164" fontId="20" fillId="0" borderId="10" applyAlignment="1" pivotButton="0" quotePrefix="0" xfId="0">
      <alignment horizontal="right"/>
    </xf>
    <xf numFmtId="166" fontId="20" fillId="0" borderId="0" applyAlignment="1" pivotButton="0" quotePrefix="0" xfId="0">
      <alignment horizontal="right"/>
    </xf>
    <xf numFmtId="166" fontId="16" fillId="0" borderId="3" applyAlignment="1" pivotButton="0" quotePrefix="0" xfId="0">
      <alignment horizontal="right"/>
    </xf>
    <xf numFmtId="0" fontId="12" fillId="0" borderId="0" applyAlignment="1" pivotButton="0" quotePrefix="0" xfId="0">
      <alignment horizontal="right"/>
    </xf>
    <xf numFmtId="0" fontId="16" fillId="0" borderId="0" applyAlignment="1" pivotButton="0" quotePrefix="0" xfId="0">
      <alignment horizontal="right"/>
    </xf>
    <xf numFmtId="0" fontId="18" fillId="0" borderId="0" applyAlignment="1" pivotButton="0" quotePrefix="0" xfId="0">
      <alignment horizontal="right"/>
    </xf>
    <xf numFmtId="174" fontId="3" fillId="0" borderId="14" applyAlignment="1" pivotButton="0" quotePrefix="0" xfId="0">
      <alignment horizontal="right"/>
    </xf>
    <xf numFmtId="164" fontId="1" fillId="0" borderId="1" pivotButton="0" quotePrefix="0" xfId="0"/>
    <xf numFmtId="164" fontId="3" fillId="3" borderId="24" applyAlignment="1" pivotButton="0" quotePrefix="0" xfId="0">
      <alignment horizontal="right"/>
    </xf>
    <xf numFmtId="164" fontId="3" fillId="3" borderId="25" applyAlignment="1" pivotButton="0" quotePrefix="0" xfId="0">
      <alignment horizontal="right"/>
    </xf>
    <xf numFmtId="0" fontId="3" fillId="0" borderId="15" applyAlignment="1" pivotButton="0" quotePrefix="0" xfId="0">
      <alignment horizontal="left"/>
    </xf>
    <xf numFmtId="0" fontId="9" fillId="0" borderId="0" applyAlignment="1" pivotButton="0" quotePrefix="0" xfId="0">
      <alignment horizontal="left" vertical="top" wrapText="1"/>
    </xf>
    <xf numFmtId="0" fontId="1" fillId="0" borderId="0" applyAlignment="1" pivotButton="0" quotePrefix="1" xfId="0">
      <alignment horizontal="left" vertical="top" wrapText="1"/>
    </xf>
    <xf numFmtId="186" fontId="3" fillId="8" borderId="16" applyAlignment="1" pivotButton="0" quotePrefix="0" xfId="0">
      <alignment horizontal="center"/>
    </xf>
    <xf numFmtId="186" fontId="3" fillId="8" borderId="17" applyAlignment="1" pivotButton="0" quotePrefix="0" xfId="0">
      <alignment horizontal="center"/>
    </xf>
    <xf numFmtId="164" fontId="3" fillId="8" borderId="18" applyAlignment="1" pivotButton="0" quotePrefix="0" xfId="0">
      <alignment horizontal="center"/>
    </xf>
    <xf numFmtId="164" fontId="3" fillId="8" borderId="19" applyAlignment="1" pivotButton="0" quotePrefix="0" xfId="0">
      <alignment horizontal="center"/>
    </xf>
    <xf numFmtId="164" fontId="20" fillId="0" borderId="12" pivotButton="0" quotePrefix="0" xfId="0"/>
    <xf numFmtId="164" fontId="20" fillId="0" borderId="10" pivotButton="0" quotePrefix="0" xfId="0"/>
    <xf numFmtId="166" fontId="1" fillId="0" borderId="0" applyAlignment="1" pivotButton="0" quotePrefix="0" xfId="0">
      <alignment horizontal="right"/>
    </xf>
    <xf numFmtId="164" fontId="20" fillId="0" borderId="8" pivotButton="0" quotePrefix="0" xfId="0"/>
    <xf numFmtId="164" fontId="1" fillId="0" borderId="0" pivotButton="0" quotePrefix="0" xfId="0"/>
    <xf numFmtId="166" fontId="1" fillId="0" borderId="0" applyAlignment="1" pivotButton="0" quotePrefix="0" xfId="0">
      <alignment horizontal="center"/>
    </xf>
    <xf numFmtId="166" fontId="1" fillId="0" borderId="0" pivotButton="0" quotePrefix="0" xfId="0"/>
    <xf numFmtId="166" fontId="3" fillId="0" borderId="0" applyAlignment="1" pivotButton="0" quotePrefix="0" xfId="0">
      <alignment horizontal="right"/>
    </xf>
    <xf numFmtId="164" fontId="3" fillId="0" borderId="3" pivotButton="0" quotePrefix="0" xfId="0"/>
    <xf numFmtId="166" fontId="3" fillId="0" borderId="3" applyAlignment="1" pivotButton="0" quotePrefix="0" xfId="0">
      <alignment horizontal="center"/>
    </xf>
    <xf numFmtId="178" fontId="12" fillId="0" borderId="0" pivotButton="0" quotePrefix="0" xfId="0"/>
    <xf numFmtId="164" fontId="20" fillId="0" borderId="8" applyAlignment="1" pivotButton="0" quotePrefix="0" xfId="0">
      <alignment horizontal="right"/>
    </xf>
    <xf numFmtId="164" fontId="3" fillId="0" borderId="0" pivotButton="0" quotePrefix="0" xfId="0"/>
    <xf numFmtId="166" fontId="3" fillId="0" borderId="0" applyAlignment="1" pivotButton="0" quotePrefix="0" xfId="0">
      <alignment horizontal="center"/>
    </xf>
    <xf numFmtId="166" fontId="17" fillId="0" borderId="0" applyAlignment="1" pivotButton="0" quotePrefix="0" xfId="0">
      <alignment horizontal="center"/>
    </xf>
    <xf numFmtId="166" fontId="15" fillId="0" borderId="0" applyAlignment="1" pivotButton="0" quotePrefix="0" xfId="0">
      <alignment horizontal="center"/>
    </xf>
    <xf numFmtId="166" fontId="12" fillId="0" borderId="0" applyAlignment="1" pivotButton="0" quotePrefix="0" xfId="0">
      <alignment vertical="top" wrapText="1"/>
    </xf>
    <xf numFmtId="166" fontId="20" fillId="0" borderId="0" applyAlignment="1" pivotButton="0" quotePrefix="0" xfId="0">
      <alignment horizontal="right"/>
    </xf>
    <xf numFmtId="164" fontId="20" fillId="0" borderId="10" applyAlignment="1" pivotButton="0" quotePrefix="0" xfId="0">
      <alignment horizontal="right"/>
    </xf>
    <xf numFmtId="177" fontId="1" fillId="0" borderId="0" applyAlignment="1" pivotButton="0" quotePrefix="0" xfId="0">
      <alignment horizontal="left"/>
    </xf>
    <xf numFmtId="174" fontId="1" fillId="0" borderId="0" applyAlignment="1" pivotButton="0" quotePrefix="0" xfId="0">
      <alignment horizontal="right"/>
    </xf>
    <xf numFmtId="166" fontId="16" fillId="0" borderId="3" applyAlignment="1" pivotButton="0" quotePrefix="0" xfId="0">
      <alignment horizontal="right"/>
    </xf>
    <xf numFmtId="166" fontId="17" fillId="0" borderId="3" applyAlignment="1" pivotButton="0" quotePrefix="0" xfId="0">
      <alignment horizontal="center"/>
    </xf>
    <xf numFmtId="174" fontId="3" fillId="0" borderId="14" applyAlignment="1" pivotButton="0" quotePrefix="0" xfId="0">
      <alignment horizontal="right"/>
    </xf>
    <xf numFmtId="177" fontId="15" fillId="0" borderId="0" applyAlignment="1" pivotButton="0" quotePrefix="0" xfId="0">
      <alignment horizontal="left"/>
    </xf>
    <xf numFmtId="177" fontId="2" fillId="0" borderId="0" pivotButton="0" quotePrefix="0" xfId="0"/>
    <xf numFmtId="166" fontId="12" fillId="0" borderId="0" pivotButton="0" quotePrefix="0" xfId="0"/>
    <xf numFmtId="179" fontId="19" fillId="0" borderId="0" applyAlignment="1" pivotButton="0" quotePrefix="0" xfId="0">
      <alignment horizontal="centerContinuous"/>
    </xf>
    <xf numFmtId="178" fontId="1" fillId="0" borderId="0" pivotButton="0" quotePrefix="0" xfId="0"/>
    <xf numFmtId="181" fontId="1" fillId="0" borderId="0" applyAlignment="1" pivotButton="0" quotePrefix="0" xfId="0">
      <alignment horizontal="right"/>
    </xf>
    <xf numFmtId="181" fontId="1" fillId="0" borderId="0" pivotButton="0" quotePrefix="0" xfId="0"/>
    <xf numFmtId="174" fontId="1" fillId="0" borderId="0" applyAlignment="1" pivotButton="0" quotePrefix="0" xfId="0">
      <alignment horizontal="center"/>
    </xf>
    <xf numFmtId="0" fontId="0" fillId="0" borderId="15" pivotButton="0" quotePrefix="0" xfId="0"/>
    <xf numFmtId="171" fontId="9" fillId="7" borderId="15" pivotButton="0" quotePrefix="0" xfId="0"/>
    <xf numFmtId="164" fontId="1" fillId="0" borderId="0" applyAlignment="1" pivotButton="0" quotePrefix="0" xfId="0">
      <alignment horizontal="right"/>
    </xf>
    <xf numFmtId="165" fontId="1" fillId="0" borderId="0" applyAlignment="1" pivotButton="0" quotePrefix="0" xfId="0">
      <alignment horizontal="right"/>
    </xf>
    <xf numFmtId="186" fontId="3" fillId="8" borderId="26" applyAlignment="1" pivotButton="0" quotePrefix="0" xfId="0">
      <alignment horizontal="center"/>
    </xf>
    <xf numFmtId="0" fontId="0" fillId="0" borderId="17" pivotButton="0" quotePrefix="0" xfId="0"/>
    <xf numFmtId="165" fontId="3" fillId="0" borderId="3" pivotButton="0" quotePrefix="0" xfId="0"/>
    <xf numFmtId="164" fontId="3" fillId="8" borderId="28" applyAlignment="1" pivotButton="0" quotePrefix="0" xfId="0">
      <alignment horizontal="center"/>
    </xf>
    <xf numFmtId="0" fontId="0" fillId="0" borderId="19" pivotButton="0" quotePrefix="0" xfId="0"/>
    <xf numFmtId="180" fontId="1" fillId="0" borderId="0" applyAlignment="1" pivotButton="0" quotePrefix="0" xfId="0">
      <alignment horizontal="center"/>
    </xf>
    <xf numFmtId="172" fontId="1" fillId="0" borderId="0" applyAlignment="1" pivotButton="0" quotePrefix="0" xfId="0">
      <alignment horizontal="center"/>
    </xf>
    <xf numFmtId="164" fontId="1" fillId="0" borderId="0" applyAlignment="1" pivotButton="0" quotePrefix="1" xfId="0">
      <alignment horizontal="center"/>
    </xf>
    <xf numFmtId="164" fontId="1" fillId="0" borderId="0" applyAlignment="1" pivotButton="0" quotePrefix="0" xfId="0">
      <alignment horizontal="center"/>
    </xf>
    <xf numFmtId="174" fontId="3" fillId="3" borderId="20" applyAlignment="1" pivotButton="0" quotePrefix="0" xfId="0">
      <alignment horizontal="center"/>
    </xf>
    <xf numFmtId="174" fontId="3" fillId="3" borderId="21" applyAlignment="1" pivotButton="0" quotePrefix="0" xfId="0">
      <alignment horizontal="center"/>
    </xf>
    <xf numFmtId="164" fontId="2" fillId="0" borderId="0" applyAlignment="1" pivotButton="0" quotePrefix="0" xfId="0">
      <alignment horizontal="right"/>
    </xf>
    <xf numFmtId="185" fontId="3" fillId="3" borderId="20" applyAlignment="1" pivotButton="0" quotePrefix="0" xfId="0">
      <alignment horizontal="center"/>
    </xf>
    <xf numFmtId="185" fontId="3" fillId="3" borderId="21" applyAlignment="1" pivotButton="0" quotePrefix="0" xfId="0">
      <alignment horizontal="center"/>
    </xf>
    <xf numFmtId="164" fontId="1" fillId="0" borderId="2" pivotButton="0" quotePrefix="0" xfId="0"/>
    <xf numFmtId="166" fontId="3" fillId="3" borderId="20" applyAlignment="1" pivotButton="0" quotePrefix="0" xfId="0">
      <alignment horizontal="center"/>
    </xf>
    <xf numFmtId="166" fontId="3" fillId="3" borderId="21" applyAlignment="1" pivotButton="0" quotePrefix="0" xfId="0">
      <alignment horizontal="center"/>
    </xf>
    <xf numFmtId="183" fontId="2" fillId="0" borderId="0" applyAlignment="1" pivotButton="0" quotePrefix="0" xfId="0">
      <alignment horizontal="right"/>
    </xf>
    <xf numFmtId="166" fontId="3" fillId="3" borderId="22" applyAlignment="1" pivotButton="0" quotePrefix="0" xfId="0">
      <alignment horizontal="center"/>
    </xf>
    <xf numFmtId="166" fontId="3" fillId="3" borderId="23" applyAlignment="1" pivotButton="0" quotePrefix="0" xfId="0">
      <alignment horizontal="center"/>
    </xf>
    <xf numFmtId="167" fontId="2" fillId="0" borderId="0" pivotButton="0" quotePrefix="0" xfId="0"/>
    <xf numFmtId="167" fontId="1" fillId="0" borderId="0" pivotButton="0" quotePrefix="0" xfId="0"/>
    <xf numFmtId="167" fontId="1" fillId="0" borderId="0" applyAlignment="1" pivotButton="0" quotePrefix="0" xfId="0">
      <alignment horizontal="right"/>
    </xf>
    <xf numFmtId="164" fontId="3" fillId="0" borderId="3" applyAlignment="1" pivotButton="0" quotePrefix="0" xfId="0">
      <alignment horizontal="right"/>
    </xf>
    <xf numFmtId="164" fontId="3" fillId="3" borderId="25" applyAlignment="1" pivotButton="0" quotePrefix="0" xfId="0">
      <alignment horizontal="right"/>
    </xf>
    <xf numFmtId="166" fontId="1" fillId="0" borderId="1" applyAlignment="1" pivotButton="0" quotePrefix="0" xfId="0">
      <alignment horizontal="right"/>
    </xf>
    <xf numFmtId="164" fontId="1" fillId="0" borderId="1" pivotButton="0" quotePrefix="0" xfId="0"/>
    <xf numFmtId="164" fontId="3" fillId="3" borderId="4" applyAlignment="1" pivotButton="0" quotePrefix="0" xfId="0">
      <alignment horizontal="right"/>
    </xf>
    <xf numFmtId="164" fontId="3" fillId="3" borderId="24" applyAlignment="1" pivotButton="0" quotePrefix="0" xfId="0">
      <alignment horizontal="right"/>
    </xf>
    <xf numFmtId="164" fontId="3" fillId="0" borderId="0" applyAlignment="1" pivotButton="0" quotePrefix="0" xfId="0">
      <alignment horizontal="right"/>
    </xf>
    <xf numFmtId="164" fontId="5" fillId="0" borderId="3" pivotButton="0" quotePrefix="0" xfId="0"/>
    <xf numFmtId="164" fontId="1" fillId="0" borderId="1" applyAlignment="1" pivotButton="0" quotePrefix="0" xfId="0">
      <alignment horizontal="right"/>
    </xf>
    <xf numFmtId="178" fontId="1" fillId="0" borderId="0" applyAlignment="1" pivotButton="0" quotePrefix="0" xfId="0">
      <alignment horizontal="center"/>
    </xf>
    <xf numFmtId="175" fontId="3" fillId="3" borderId="4" applyAlignment="1" pivotButton="0" quotePrefix="0" xfId="0">
      <alignment horizontal="right"/>
    </xf>
    <xf numFmtId="168" fontId="3" fillId="0" borderId="0" pivotButton="0" quotePrefix="0" xfId="0"/>
    <xf numFmtId="180" fontId="2" fillId="0" borderId="0" pivotButton="0" quotePrefix="0" xfId="0"/>
    <xf numFmtId="180" fontId="3" fillId="3" borderId="4" applyAlignment="1" pivotButton="0" quotePrefix="0" xfId="0">
      <alignment horizontal="right"/>
    </xf>
    <xf numFmtId="165" fontId="1" fillId="0" borderId="0" pivotButton="0" quotePrefix="0" xfId="0"/>
    <xf numFmtId="164" fontId="2" fillId="0" borderId="0" pivotButton="0" quotePrefix="0" xfId="0"/>
    <xf numFmtId="165" fontId="3" fillId="3" borderId="4" applyAlignment="1" pivotButton="0" quotePrefix="0" xfId="0">
      <alignment horizontal="right"/>
    </xf>
    <xf numFmtId="174" fontId="2" fillId="0" borderId="0" pivotButton="0" quotePrefix="0" xfId="0"/>
    <xf numFmtId="182" fontId="2" fillId="0" borderId="0" pivotButton="0" quotePrefix="0" xfId="0"/>
    <xf numFmtId="165" fontId="2" fillId="0" borderId="0" applyAlignment="1" pivotButton="0" quotePrefix="0" xfId="0">
      <alignment horizontal="right"/>
    </xf>
    <xf numFmtId="184" fontId="1" fillId="0" borderId="0" applyAlignment="1" pivotButton="0" quotePrefix="0" xfId="0">
      <alignment horizontal="right"/>
    </xf>
    <xf numFmtId="184" fontId="2" fillId="0" borderId="0" pivotButton="0" quotePrefix="0" xfId="0"/>
    <xf numFmtId="172" fontId="1" fillId="0" borderId="0" applyAlignment="1" pivotButton="0" quotePrefix="0" xfId="0">
      <alignment horizontal="right"/>
    </xf>
    <xf numFmtId="182" fontId="1" fillId="0" borderId="0" pivotButton="0" quotePrefix="0" xfId="0"/>
    <xf numFmtId="171" fontId="25" fillId="7" borderId="0" pivotButton="0" quotePrefix="0" xfId="0"/>
    <xf numFmtId="166" fontId="25" fillId="0" borderId="0" pivotButton="0" quotePrefix="0" xfId="0"/>
    <xf numFmtId="182" fontId="25" fillId="7" borderId="0" pivotButton="0" quotePrefix="0" xfId="0"/>
    <xf numFmtId="170" fontId="1" fillId="0" borderId="0" pivotButton="0" quotePrefix="0" xfId="0"/>
    <xf numFmtId="169" fontId="1" fillId="0" borderId="0" pivotButton="0" quotePrefix="0" xfId="0"/>
    <xf numFmtId="171" fontId="1" fillId="0" borderId="1" pivotButton="0" quotePrefix="0" xfId="0"/>
    <xf numFmtId="171" fontId="1" fillId="6" borderId="1" pivotButton="0" quotePrefix="0" xfId="0"/>
    <xf numFmtId="164" fontId="4" fillId="2" borderId="0" applyAlignment="1" pivotButton="0" quotePrefix="0" xfId="0">
      <alignment horizontal="right"/>
    </xf>
    <xf numFmtId="172" fontId="1" fillId="0" borderId="0" pivotButton="0" quotePrefix="0" xfId="0"/>
    <xf numFmtId="172" fontId="1" fillId="0" borderId="2" pivotButton="0" quotePrefix="0" xfId="0"/>
    <xf numFmtId="172" fontId="1" fillId="0" borderId="3" pivotButton="0" quotePrefix="0" xfId="0"/>
    <xf numFmtId="172" fontId="3" fillId="0" borderId="0" pivotButton="0" quotePrefix="0" xfId="0"/>
    <xf numFmtId="172" fontId="3" fillId="0" borderId="3" pivotButton="0" quotePrefix="0" xfId="0"/>
    <xf numFmtId="173" fontId="4" fillId="2" borderId="0" pivotButton="0" quotePrefix="0" xfId="0"/>
    <xf numFmtId="173" fontId="4" fillId="2" borderId="1" pivotButton="0" quotePrefix="0" xfId="0"/>
    <xf numFmtId="166" fontId="1" fillId="0" borderId="1" pivotButton="0" quotePrefix="0" xfId="0"/>
    <xf numFmtId="166" fontId="4" fillId="2" borderId="0" pivotButton="0" quotePrefix="0" xfId="0"/>
    <xf numFmtId="166" fontId="4" fillId="2" borderId="1" pivotButton="0" quotePrefix="0" xfId="0"/>
    <xf numFmtId="166" fontId="3" fillId="0" borderId="0" pivotButton="0" quotePrefix="0" xfId="0"/>
    <xf numFmtId="174" fontId="5" fillId="0" borderId="0" applyAlignment="1" pivotButton="0" quotePrefix="0" xfId="0">
      <alignment horizontal="right"/>
    </xf>
    <xf numFmtId="175" fontId="5" fillId="0" borderId="0" pivotButton="0" quotePrefix="0" xfId="0"/>
    <xf numFmtId="166" fontId="2" fillId="0" borderId="0" pivotButton="0" quotePrefix="0" xfId="0"/>
    <xf numFmtId="166" fontId="2" fillId="0" borderId="1" pivotButton="0" quotePrefix="0" xfId="0"/>
    <xf numFmtId="166" fontId="3" fillId="2" borderId="0" pivotButton="0" quotePrefix="0" xfId="0"/>
    <xf numFmtId="166" fontId="9" fillId="0" borderId="0" pivotButton="0" quotePrefix="0" xfId="0"/>
    <xf numFmtId="174" fontId="8" fillId="5" borderId="8" pivotButton="0" quotePrefix="0" xfId="1"/>
    <xf numFmtId="175" fontId="8" fillId="5" borderId="8" pivotButton="0" quotePrefix="0" xfId="1"/>
    <xf numFmtId="166" fontId="8" fillId="5" borderId="8" pivotButton="0" quotePrefix="0" xfId="1"/>
    <xf numFmtId="166" fontId="8" fillId="5" borderId="10" pivotButton="0" quotePrefix="0" xfId="1"/>
    <xf numFmtId="176" fontId="1" fillId="2" borderId="0" pivotButton="0" quotePrefix="0" xfId="0"/>
    <xf numFmtId="166" fontId="1" fillId="2" borderId="0" pivotButton="0" quotePrefix="0" xfId="0"/>
    <xf numFmtId="176" fontId="1" fillId="2" borderId="1" pivotButton="0" quotePrefix="0" xfId="0"/>
    <xf numFmtId="166" fontId="2" fillId="2" borderId="0" pivotButton="0" quotePrefix="0" xfId="0"/>
    <xf numFmtId="171" fontId="4" fillId="2" borderId="0" pivotButton="0" quotePrefix="0" xfId="0"/>
    <xf numFmtId="172" fontId="1" fillId="0" borderId="0" applyAlignment="1" pivotButton="0" quotePrefix="0" xfId="0">
      <alignment wrapText="1"/>
    </xf>
    <xf numFmtId="164" fontId="3" fillId="0" borderId="2" pivotButton="0" quotePrefix="0" xfId="0"/>
    <xf numFmtId="174" fontId="5" fillId="0" borderId="0" pivotButton="0" quotePrefix="0" xfId="0"/>
    <xf numFmtId="174" fontId="1" fillId="0" borderId="0" pivotButton="0" quotePrefix="0" xfId="0"/>
  </cellXfs>
  <cellStyles count="7">
    <cellStyle name="Normal" xfId="0" builtinId="0"/>
    <cellStyle name="Normal 1833" xfId="1"/>
    <cellStyle name="Normal 2" xfId="2"/>
    <cellStyle name="Currency 2" xfId="3"/>
    <cellStyle name="Normal 2 2" xfId="4"/>
    <cellStyle name="Currency 2 2" xfId="5"/>
    <cellStyle name="Normal 6 2" xfId="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Drew Peterson</author>
    <author>Peterson, Drew</author>
  </authors>
  <commentList>
    <comment ref="P6" authorId="0" shapeId="0">
      <text>
        <t>Drew Peterson:
Perplexity AI: Target 10% to 13% or above</t>
      </text>
    </comment>
    <comment ref="P7" authorId="0" shapeId="0">
      <text>
        <t>Drew Peterson:
Perplexity AI: Target 1.7x to 2.1x or above</t>
      </text>
    </comment>
    <comment ref="G13" authorId="0" shapeId="0">
      <text>
        <t>Drew Peterson:
Taxes = (Assessed Value x Assessment Ratio x (Millage Rate / 1000)) / 12</t>
      </text>
    </comment>
    <comment ref="G14" authorId="0" shapeId="0">
      <text>
        <t>Drew Peterson:
Annual insurance premiums are not affected by property value
= ((SF * Rebuild Cost per SF) / 100) * Premium per $100 of Coverage * Adjustment for Age and/or Multi-Units * Adjustment for Known Issues</t>
      </text>
    </comment>
    <comment ref="P19" authorId="1" shapeId="0">
      <text>
        <t>Peterson, Drew:
Note that cash to close is almost certainly higher than this estimate - lenders require Prepaids and Initial Escrows for line items such as Insurance, Taxes and accrued Interest, but we do not include this here as you would then need to adjust the monthly expenses for only the period covered by these Prepaids + Excrows (and it wouldn't affect Deal Level Return outputs as it's just shifting the timing of cash flows already modeled)</t>
      </text>
    </comment>
    <comment ref="D23" authorId="0" shapeId="0">
      <text>
        <t>Drew Peterson:
DASH Quote (3/25/26): $700 for Inspection (SF), $800 for Survey, $394 for RE Brokerage Fee, $50 for Recording Fee, Title Insurance 0.25% of PP, $995 for Attorney Fee (which includes Title Search?)
Note that inspection cost scales with number of units!
PRMG quote (4/23/2026): Title Insurance (Lender's), Attorney, Search, etc. comes out to $2,785 on a $675k deal, which is in line with $995 + 0.25% of PP quoted by DASH</t>
      </text>
    </comment>
    <comment ref="K25" authorId="0" shapeId="0">
      <text>
        <t>Drew Peterson:
PRMG calculates DSCR without subtracting Vacancy, Property Management or Maintenance from NOI
This DSCR is then used to determine final rate pricing - new tiers “unlocked” at 1.25x and 1.5x</t>
      </text>
    </comment>
    <comment ref="D26" authorId="0" shapeId="0">
      <text>
        <t>Drew Peterson:
Does not typically count towards lender's concessions limit since this is just money spent directly by seller to get the property into an acceptable condition for sale</t>
      </text>
    </comment>
    <comment ref="D29" authorId="0" shapeId="0">
      <text>
        <t xml:space="preserve">Drew Peterson:
PRMG quote (3/13/26): 6% maximum, which includes concessions towards closing costs, prepaids, loan fees and rate buydowns. Seller repairs made pre-closing and agent commissions do not count towards this limit.
</t>
      </text>
    </comment>
    <comment ref="D34" authorId="0" shapeId="0">
      <text>
        <t>Drew Peterson:
Maximum LTPP for DSCR loans is typically 80%. Lenders may require a lower % if the DSCR doesn't meet certain thresholds. Buyers may also elect to put more money down to improve monthly cash flow
PRMG requires at least 25% down if no one in the group is a previous homeowner!</t>
      </text>
    </comment>
    <comment ref="D35" authorId="0" shapeId="0">
      <text>
        <t>Drew Peterson:
PRMG quote (4/5/2026): 40-year fixed option would be at a rate roughly 0.25% higher than the standard 30-year
PRMG quote (11/18/25): 7.125% base rate (at 1.1 DSCR)
PRMG quote (3/5/25):
8.375% base rate</t>
      </text>
    </comment>
    <comment ref="D37" authorId="0" shapeId="0">
      <text>
        <t xml:space="preserve">Drew Peterson:
PRMG quote (4/22/2026, property-specific on a loan amount of $506,250 and assumes a 1.0x DSCR before any buy downs): discount points (each worth 0.125%) that bring the rate from a starting point of 7.25% down to 6.00% progress in cost from 0.228% of the loan amount for the first one to 0.586% for the last. 8 discount points (which seems to be optimal) carries a cost per point of 0.384%
</t>
      </text>
    </comment>
    <comment ref="D39" authorId="0" shapeId="0">
      <text>
        <t>Drew Peterson:
PRMG (3/13/2026): floor after buydowns is a rate of 6.00%</t>
      </text>
    </comment>
    <comment ref="D47" authorId="0" shapeId="0">
      <text>
        <t xml:space="preserve">Drew Peterson:
PRMG quote (4/22/26): minimum on a $506,250 loan is $8,353 </t>
      </text>
    </comment>
    <comment ref="D49" authorId="0" shapeId="0">
      <text>
        <t>Drew Peterson:
PRMG quote (4/23/2026): $800 appraisal fee (closer to $1000 for rushed 5-BD turnaround), $1495 underwriting fee, $695 processing fee, $350 credit report fee per signor, $300 CDA + eClosing fee</t>
      </text>
    </comment>
    <comment ref="D53" authorId="0" shapeId="0">
      <text>
        <t>Drew Peterson:
Ziprent offers a flat $1500 tenant placement service</t>
      </text>
    </comment>
    <comment ref="D62" authorId="0" shapeId="0">
      <text>
        <t>Drew Peterson:
Simply use this input to stress test the Stabalized Rent</t>
      </text>
    </comment>
    <comment ref="D64" authorId="0" shapeId="0">
      <text>
        <t>Drew Peterson:
Perplexity AI: SFR average in Concord is $1.18/SF, with larger homes (2,200-2,800 SF) averaging closer to $1.08/SF. Gastonia 4BR average is $1.10/SF though this could be 5-15% lower for manufactured homes</t>
      </text>
    </comment>
    <comment ref="D65" authorId="0" shapeId="0">
      <text>
        <t>Drew Peterson:
The RE investing “1% Rule” states that this should be at least 1%, but in the modern environment this is often too strict and many investors are willing to accept 0.6%-0.8% in high-growth areas</t>
      </text>
    </comment>
    <comment ref="D68" authorId="0" shapeId="0">
      <text>
        <t>Drew Peterson:
100% for all properties in NC</t>
      </text>
    </comment>
    <comment ref="D69" authorId="0" shapeId="0">
      <text>
        <t>Drew Peterson:
Perplexity AI: Charlotte millage rates  lower than surrounding suburbs at around 7.7 mills.
Concord &amp; Gastonia combined (county + city) millage rates both fall between 10-11 mills. 
Mooresville closer to 12.3 mills.</t>
      </text>
    </comment>
    <comment ref="D72" authorId="0" shapeId="0">
      <text>
        <t>Drew Peterson:
Charlotte reassessed properties once every four years unless there has been a major renovation or construction (sales normally don't trigger reassessment), with the next one due for tax year 2027</t>
      </text>
    </comment>
    <comment ref="B75" authorId="0" shapeId="0">
      <text>
        <t xml:space="preserve">Drew Peterson:
DP-3 (comprehensive coverage) policies operate as "open peril" for dwelling coverage (covers physical property damange from any peril not explicitly excluded - earthquakes, sinkholes, flooding, neglect are all often excluded) while operating as "named peril" policies for appliances/systems (covers damage to applicances only if from a named peril - fire, lightning, wind, hail, snow, falling objects, vandalism are all often included). Coverage on lost rent (due to property being uninhabitable due to a covered peril), theft and flooding are all common add-ons that result in premium hikes </t>
      </text>
    </comment>
    <comment ref="D76" authorId="0" shapeId="0">
      <text>
        <t>Drew Peterson:
Baseline construction costs in Charlotte are $150/SF (excluding land/site work), though modern interior finishes can push this up by $15-30</t>
      </text>
    </comment>
    <comment ref="D77" authorId="0" shapeId="0">
      <text>
        <t>Drew Peterson:
DP-3 base rates per $100 of coverage are higher than standard homeowner insurance rates and average around $0.65 in Charlotte (though there may be further hikes coming in 2026 &amp; 2027)</t>
      </text>
    </comment>
    <comment ref="D78" authorId="0" shapeId="0">
      <text>
        <t>Drew Peterson:
Multi-family generally costs more to insure than SFR of the same size/age since it has aadditional appliances/systems as well as more tenant liability</t>
      </text>
    </comment>
    <comment ref="D79" authorId="0" shapeId="0">
      <text>
        <t>Drew Peterson:
Older homes intuitively cost more to insure</t>
      </text>
    </comment>
    <comment ref="D80" authorId="0" shapeId="0">
      <text>
        <t>Drew Peterson:
Meant to be a manual (positive = additive) adjustment for known issues such as foundation damage, flood risk, etc. OR a manual (negative = reductive) adjustment for lower risk properties</t>
      </text>
    </comment>
    <comment ref="D83" authorId="0" shapeId="0">
      <text>
        <t>Drew Peterson:
Meant to reflect the standard maintenance per SF for rental properties (the portion that does not scale with the number of units) - should be manually adjusted depending on the age/condition of the property 
Perplexity AI estimates a good baseline to be between $0.50 and $0.80 for Multi-Family</t>
      </text>
    </comment>
    <comment ref="D84" authorId="0" shapeId="0">
      <text>
        <t>Drew Peterson:
Meant to reflect the additional costs that come with tenant turnover (painting/cleaning) and multiple units (extra sets of appliances/systems)</t>
      </text>
    </comment>
    <comment ref="D88" authorId="0" shapeId="0">
      <text>
        <t>Drew Peterson:
Perplexity AI: long term, 4-6% is reasonable for high-quality properties in the established suburbs of the Charlotte metro area. Slightly higher rates should be used if the property is older, in a less stable area, not large enough for families, etc.</t>
      </text>
    </comment>
    <comment ref="D89" authorId="0" shapeId="0">
      <text>
        <t>Drew Peterson:
Perplexity AI: 8% is at the low end of the typical range in the Charlotte metro area
Ziprent offers flat property management fees at $150 per month in Concord and then $100 for every additional property</t>
      </text>
    </comment>
    <comment ref="D95" authorId="0" shapeId="0">
      <text>
        <t>Drew Peterson:
Perplexity AI: Charlotte metro rents have slowed/declined recently as ample supply has come online, 2-2.5% is more reasonable than 3%, though ultimately you have power here if tenants are in-place</t>
      </text>
    </comment>
    <comment ref="D96" authorId="0" shapeId="0">
      <text>
        <t>Drew Peterson:
Applies only to the Insurance, Utilities &amp; HOA Dues, Maintenance &amp; Repairs and Advertising, Admin &amp; Payroll line items - AI suggests that 2.0-3.5% is a reasonable assumption</t>
      </text>
    </comment>
    <comment ref="D97" authorId="0" shapeId="0">
      <text>
        <t>Drew Peterson:
Homes.com: Average home price in Charlotte +8.01% annualized over past 5Y, +8.45% in University Park neighborhood
Redfin: Median SF home price in Charlotte +7.26% annualized over past 5Y, +14.18% in University Park neighborhood
Perplexity AI: Charlotte metro has achieved a 5.0% annualized appreciation rate over the last 48 years according to FHFA data (Concord closer to 4-6% historically and 3-4% in Gastonia)</t>
      </text>
    </comment>
    <comment ref="D98" authorId="0" shapeId="0">
      <text>
        <t>Drew Peterson:
Tax value is not reassessed annually but when it is, a growth rate has to be assumed - AI suggests this can often be less than the growth rate used to calculate exit price, though a good stress test is to set the two equal to each other</t>
      </text>
    </comment>
    <comment ref="D99" authorId="0" shapeId="0">
      <text>
        <t>Drew Peterson:
Millage rates are increased over time, but it is typically a step-up every few years instead of an annual growth  - AI suggests a 3-6% increase every 4 years is reasonable, which is a 0.70-1.5% annualized growth rate</t>
      </text>
    </comment>
    <comment ref="D105" authorId="0" shapeId="0">
      <text>
        <t>Drew Peterson:
Perplexity AI: Targeting investors instead of regular homebuyers can yield lower total selling costs. Fee breakdown would be:
- Agent commission: 5% (standard) to 3% (only possible with deep agent relationship)
- Transfer tax and closing costs: 2% (conservative) to 1.5% (aggressive)
- Property prep: 1% (conservative) to 0.0% (aggressive)
- Contingency: 1% (conservative) to 0.5% (aggressive)
Total: 8-10% (conservative) to 7% (aggressive)</t>
      </text>
    </comment>
    <comment ref="D111" authorId="1" shapeId="0">
      <text>
        <t>Peterson, Drew:
PRMG offers step-down prepayment penalties for either a 3 or 5-year period - the 5-year option unlocks better pricing</t>
      </text>
    </comment>
    <comment ref="D119" authorId="1" shapeId="0">
      <text>
        <t>Peterson, Drew:
Note that if rate buy downs were purchased on the original mortgage, that up-front cost is essentially forfeited and the rate on the new mortgage may not be lower than the original bought-down rate!</t>
      </text>
    </comment>
  </commentList>
</comments>
</file>

<file path=xl/comments/comment2.xml><?xml version="1.0" encoding="utf-8"?>
<comments xmlns="http://schemas.openxmlformats.org/spreadsheetml/2006/main">
  <authors>
    <author>Drew Peterson</author>
  </authors>
  <commentList>
    <comment ref="B11" authorId="0" shapeId="0">
      <text>
        <t>Drew Peterson:
Increased once a year (stabalization date cadence)</t>
      </text>
    </comment>
    <comment ref="B16" authorId="0" shapeId="0">
      <text>
        <t>Drew Peterson:
Reassessment does not happen every year, though millage rates can increase annually</t>
      </text>
    </comment>
    <comment ref="B17" authorId="0" shapeId="0">
      <text>
        <t>Drew Peterson:
Increased once a year (closing date cadence)</t>
      </text>
    </comment>
    <comment ref="B19" authorId="0" shapeId="0">
      <text>
        <t>Drew Peterson:
Increased once a year
(calendar year cadence)</t>
      </text>
    </comment>
    <comment ref="B20" authorId="0" shapeId="0">
      <text>
        <t>Drew Peterson:
Increased every month</t>
      </text>
    </comment>
    <comment ref="B21" authorId="0" shapeId="0">
      <text>
        <t>Drew Peterson:
Increased once a year
(calendar year cadence)</t>
      </text>
    </comment>
  </commentList>
</comments>
</file>

<file path=xl/theme/theme1.xml><?xml version="1.0" encoding="utf-8"?>
<a:theme xmlns:a="http://schemas.openxmlformats.org/drawingml/2006/main" name="Office Theme">
  <a:themeElements>
    <a:clrScheme name="Barings Colors">
      <a:dk1>
        <a:srgbClr val="002856"/>
      </a:dk1>
      <a:lt1>
        <a:srgbClr val="FFFFFF"/>
      </a:lt1>
      <a:dk2>
        <a:srgbClr val="002856"/>
      </a:dk2>
      <a:lt2>
        <a:srgbClr val="C3C6C8"/>
      </a:lt2>
      <a:accent1>
        <a:srgbClr val="002856"/>
      </a:accent1>
      <a:accent2>
        <a:srgbClr val="00953A"/>
      </a:accent2>
      <a:accent3>
        <a:srgbClr val="778692"/>
      </a:accent3>
      <a:accent4>
        <a:srgbClr val="276092"/>
      </a:accent4>
      <a:accent5>
        <a:srgbClr val="ADC9E8"/>
      </a:accent5>
      <a:accent6>
        <a:srgbClr val="C3C6C8"/>
      </a:accent6>
      <a:hlink>
        <a:srgbClr val="00953A"/>
      </a:hlink>
      <a:folHlink>
        <a:srgbClr val="00953A"/>
      </a:folHlink>
    </a:clrScheme>
    <a:fontScheme name="Barings Fonts">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theme="2"/>
    <outlinePr summaryBelow="1" summaryRight="1"/>
    <pageSetUpPr fitToPage="1"/>
  </sheetPr>
  <dimension ref="B2:N27"/>
  <sheetViews>
    <sheetView showGridLines="0" zoomScaleNormal="100" zoomScaleSheetLayoutView="100" workbookViewId="0">
      <selection activeCell="A1" sqref="A1"/>
    </sheetView>
  </sheetViews>
  <sheetFormatPr baseColWidth="8" defaultColWidth="7.75" defaultRowHeight="15"/>
  <cols>
    <col width="1.5" customWidth="1" style="77" min="1" max="1"/>
    <col width="21.625" customWidth="1" style="77" min="2" max="2"/>
    <col hidden="1" outlineLevel="1" width="8.125" customWidth="1" style="77" min="3" max="3"/>
    <col collapsed="1" width="11" bestFit="1" customWidth="1" style="77" min="4" max="4"/>
    <col width="12.875" bestFit="1" customWidth="1" style="77" min="5" max="5"/>
    <col width="3.75" customWidth="1" style="77" min="6" max="6"/>
    <col width="20" customWidth="1" style="77" min="7" max="7"/>
    <col width="12.75" customWidth="1" style="77" min="8" max="8"/>
    <col width="1.875" customWidth="1" style="77" min="9" max="9"/>
    <col width="23.375" bestFit="1" customWidth="1" style="77" min="10" max="10"/>
    <col width="11.25" customWidth="1" style="77" min="11" max="11"/>
    <col width="7.75" customWidth="1" style="77" min="12" max="12"/>
    <col width="26.375" bestFit="1" customWidth="1" style="77" min="13" max="13"/>
    <col width="6.625" bestFit="1" customWidth="1" style="77" min="14" max="14"/>
    <col width="7.75" customWidth="1" style="77" min="15" max="16384"/>
  </cols>
  <sheetData>
    <row r="1" ht="9.75" customHeight="1"/>
    <row r="2" ht="17.25" customHeight="1">
      <c r="B2" s="78">
        <f>CONCATENATE('Inputs &amp; Summary'!D3, ", ", 'Inputs &amp; Summary'!D4)</f>
        <v/>
      </c>
      <c r="C2" s="78" t="n"/>
      <c r="D2" s="78" t="n"/>
      <c r="E2" s="78" t="n"/>
      <c r="F2" s="78" t="n"/>
      <c r="G2" s="78" t="n"/>
      <c r="H2" s="78" t="n"/>
      <c r="I2" s="78" t="n"/>
      <c r="J2" s="78" t="n"/>
      <c r="K2" s="78" t="n"/>
    </row>
    <row r="3" ht="17.25" customHeight="1">
      <c r="B3" s="78" t="inlineStr">
        <is>
          <t>Underwriting</t>
        </is>
      </c>
      <c r="C3" s="78" t="n"/>
      <c r="D3" s="78" t="n"/>
      <c r="E3" s="78" t="n"/>
      <c r="G3" s="78" t="inlineStr">
        <is>
          <t>Sources and Uses</t>
        </is>
      </c>
      <c r="H3" s="78" t="n"/>
      <c r="I3" s="78" t="n"/>
      <c r="J3" s="78" t="n"/>
      <c r="K3" s="78" t="n"/>
      <c r="M3" s="108">
        <f>'Inputs &amp; Summary'!J8</f>
        <v/>
      </c>
      <c r="N3" s="200">
        <f>'Inputs &amp; Summary'!K8</f>
        <v/>
      </c>
    </row>
    <row r="4" ht="17.25" customHeight="1">
      <c r="C4" s="4" t="n">
        <v>12</v>
      </c>
      <c r="D4" s="79" t="inlineStr">
        <is>
          <t>In-Place</t>
        </is>
      </c>
      <c r="E4" s="79" t="inlineStr">
        <is>
          <t>Stabilized</t>
        </is>
      </c>
      <c r="G4" s="78" t="inlineStr">
        <is>
          <t>Sources</t>
        </is>
      </c>
      <c r="H4" s="80" t="n"/>
      <c r="J4" s="78" t="inlineStr">
        <is>
          <t>Uses</t>
        </is>
      </c>
      <c r="K4" s="78" t="n"/>
      <c r="M4" s="112">
        <f>'Inputs &amp; Summary'!J9</f>
        <v/>
      </c>
      <c r="N4" s="201">
        <f>'Inputs &amp; Summary'!K9</f>
        <v/>
      </c>
    </row>
    <row r="5">
      <c r="B5" s="6" t="inlineStr">
        <is>
          <t>Revenue</t>
        </is>
      </c>
      <c r="G5" s="1" t="inlineStr">
        <is>
          <t>Debt</t>
        </is>
      </c>
      <c r="H5" s="202">
        <f>'Inputs &amp; Summary'!P12</f>
        <v/>
      </c>
      <c r="J5" s="1" t="inlineStr">
        <is>
          <t>Purchase Price</t>
        </is>
      </c>
      <c r="K5" s="202">
        <f>'Inputs &amp; Summary'!D17</f>
        <v/>
      </c>
      <c r="M5" s="110">
        <f>'Inputs &amp; Summary'!J10</f>
        <v/>
      </c>
      <c r="N5" s="203">
        <f>'Inputs &amp; Summary'!K10</f>
        <v/>
      </c>
    </row>
    <row r="6">
      <c r="B6" s="1">
        <f>'Inputs &amp; Summary'!F8</f>
        <v/>
      </c>
      <c r="C6" s="204">
        <f>'Inputs &amp; Summary'!G8</f>
        <v/>
      </c>
      <c r="D6" s="205">
        <f>C6*$C$4</f>
        <v/>
      </c>
      <c r="E6" s="205">
        <f>N3*$C$4</f>
        <v/>
      </c>
      <c r="G6" s="1" t="inlineStr">
        <is>
          <t>Equity</t>
        </is>
      </c>
      <c r="H6" s="202">
        <f>'Inputs &amp; Summary'!P22</f>
        <v/>
      </c>
      <c r="J6" s="1">
        <f>'Inputs &amp; Summary'!N15</f>
        <v/>
      </c>
      <c r="K6" s="202">
        <f>'Inputs &amp; Summary'!P15</f>
        <v/>
      </c>
      <c r="M6" s="112">
        <f>'Inputs &amp; Summary'!J11</f>
        <v/>
      </c>
      <c r="N6" s="201">
        <f>'Inputs &amp; Summary'!K11</f>
        <v/>
      </c>
    </row>
    <row r="7">
      <c r="B7" s="1" t="inlineStr">
        <is>
          <t>Vacancy</t>
        </is>
      </c>
      <c r="C7" s="206">
        <f>'Inputs &amp; Summary'!G10</f>
        <v/>
      </c>
      <c r="D7" s="205">
        <f>C7*$C$4</f>
        <v/>
      </c>
      <c r="E7" s="205">
        <f>N5*$C$4</f>
        <v/>
      </c>
      <c r="G7" s="6" t="inlineStr">
        <is>
          <t>Total</t>
        </is>
      </c>
      <c r="H7" s="207">
        <f>SUM(H5:H6)</f>
        <v/>
      </c>
      <c r="J7" s="1">
        <f>'Inputs &amp; Summary'!N16</f>
        <v/>
      </c>
      <c r="K7" s="202">
        <f>'Inputs &amp; Summary'!P16</f>
        <v/>
      </c>
      <c r="M7" s="110">
        <f>'Inputs &amp; Summary'!J12</f>
        <v/>
      </c>
      <c r="N7" s="203">
        <f>'Inputs &amp; Summary'!K12</f>
        <v/>
      </c>
    </row>
    <row r="8">
      <c r="B8" s="14" t="inlineStr">
        <is>
          <t>Total Rental Revenue</t>
        </is>
      </c>
      <c r="C8" s="208">
        <f>SUM(C6:C7)</f>
        <v/>
      </c>
      <c r="D8" s="209">
        <f>C8*$C$4</f>
        <v/>
      </c>
      <c r="E8" s="209">
        <f>SUM(E6:E7)</f>
        <v/>
      </c>
      <c r="G8" s="210" t="n"/>
      <c r="J8" s="1">
        <f>'Inputs &amp; Summary'!N17</f>
        <v/>
      </c>
      <c r="K8" s="202">
        <f>'Inputs &amp; Summary'!P17</f>
        <v/>
      </c>
      <c r="M8" s="110">
        <f>'Inputs &amp; Summary'!J13</f>
        <v/>
      </c>
      <c r="N8" s="211">
        <f>'Inputs &amp; Summary'!K13</f>
        <v/>
      </c>
    </row>
    <row r="9">
      <c r="B9" s="6" t="n"/>
      <c r="C9" s="212" t="n"/>
      <c r="D9" s="213" t="n"/>
      <c r="E9" s="213" t="n"/>
      <c r="G9" s="210" t="n"/>
      <c r="J9" s="1">
        <f>'Inputs &amp; Summary'!N18</f>
        <v/>
      </c>
      <c r="K9" s="202">
        <f>'Inputs &amp; Summary'!P18</f>
        <v/>
      </c>
      <c r="M9" s="110">
        <f>'Inputs &amp; Summary'!J14</f>
        <v/>
      </c>
      <c r="N9" s="211">
        <f>'Inputs &amp; Summary'!K14</f>
        <v/>
      </c>
    </row>
    <row r="10">
      <c r="B10" s="82" t="n"/>
      <c r="C10" s="82" t="n"/>
      <c r="D10" s="214" t="n"/>
      <c r="E10" s="214" t="n"/>
      <c r="G10" s="210" t="n"/>
      <c r="J10" s="1">
        <f>'Inputs &amp; Summary'!N21</f>
        <v/>
      </c>
      <c r="K10" s="202">
        <f>'Inputs &amp; Summary'!P21</f>
        <v/>
      </c>
      <c r="M10" s="110">
        <f>'Inputs &amp; Summary'!J15</f>
        <v/>
      </c>
      <c r="N10" s="211">
        <f>'Inputs &amp; Summary'!K15</f>
        <v/>
      </c>
    </row>
    <row r="11">
      <c r="B11" s="82" t="n"/>
      <c r="D11" s="214" t="n"/>
      <c r="E11" s="214" t="n"/>
      <c r="J11" s="6" t="inlineStr">
        <is>
          <t>Total</t>
        </is>
      </c>
      <c r="K11" s="207">
        <f>SUM(K5:K10)</f>
        <v/>
      </c>
      <c r="M11" s="110">
        <f>'Inputs &amp; Summary'!J16</f>
        <v/>
      </c>
      <c r="N11" s="211">
        <f>'Inputs &amp; Summary'!K16</f>
        <v/>
      </c>
    </row>
    <row r="12">
      <c r="B12" s="6" t="inlineStr">
        <is>
          <t>Expenses</t>
        </is>
      </c>
      <c r="D12" s="215" t="n"/>
      <c r="E12" s="216" t="n"/>
      <c r="M12" s="110">
        <f>'Inputs &amp; Summary'!J17</f>
        <v/>
      </c>
      <c r="N12" s="211">
        <f>'Inputs &amp; Summary'!K17</f>
        <v/>
      </c>
    </row>
    <row r="13" ht="17.25" customHeight="1">
      <c r="B13" s="1">
        <f>'Inputs &amp; Summary'!F13</f>
        <v/>
      </c>
      <c r="C13" s="217">
        <f>'Inputs &amp; Summary'!G13</f>
        <v/>
      </c>
      <c r="D13" s="215">
        <f>IFERROR(C13*$C$4, "n/a")</f>
        <v/>
      </c>
      <c r="E13" s="215">
        <f>IFERROR(N8*$C$4, "n/a")</f>
        <v/>
      </c>
      <c r="G13" s="78" t="inlineStr">
        <is>
          <t>Deal Metrics</t>
        </is>
      </c>
      <c r="H13" s="78" t="n"/>
      <c r="I13" s="78" t="n"/>
      <c r="J13" s="78" t="n"/>
      <c r="K13" s="78" t="n"/>
      <c r="M13" s="112">
        <f>'Inputs &amp; Summary'!J18</f>
        <v/>
      </c>
      <c r="N13" s="218">
        <f>'Inputs &amp; Summary'!K18</f>
        <v/>
      </c>
    </row>
    <row r="14" ht="17.25" customHeight="1">
      <c r="B14" s="1">
        <f>'Inputs &amp; Summary'!F14</f>
        <v/>
      </c>
      <c r="C14" s="217">
        <f>'Inputs &amp; Summary'!G14</f>
        <v/>
      </c>
      <c r="D14" s="215">
        <f>IFERROR(C14*$C$4, "n/a")</f>
        <v/>
      </c>
      <c r="E14" s="215">
        <f>IFERROR(N9*$C$4, "n/a")</f>
        <v/>
      </c>
      <c r="G14" s="78" t="inlineStr">
        <is>
          <t>Acquisition</t>
        </is>
      </c>
      <c r="H14" s="78" t="n"/>
      <c r="J14" s="78" t="inlineStr">
        <is>
          <t>Disposition</t>
        </is>
      </c>
      <c r="K14" s="78" t="n"/>
      <c r="M14" s="110">
        <f>'Inputs &amp; Summary'!J19</f>
        <v/>
      </c>
      <c r="N14" s="203">
        <f>'Inputs &amp; Summary'!K19</f>
        <v/>
      </c>
    </row>
    <row r="15">
      <c r="B15" s="1">
        <f>'Inputs &amp; Summary'!F15</f>
        <v/>
      </c>
      <c r="C15" s="217">
        <f>'Inputs &amp; Summary'!G15</f>
        <v/>
      </c>
      <c r="D15" s="215">
        <f>IFERROR(C15*$C$4, "n/a")</f>
        <v/>
      </c>
      <c r="E15" s="215">
        <f>IFERROR(N10*$C$4, "n/a")</f>
        <v/>
      </c>
      <c r="G15" s="1" t="inlineStr">
        <is>
          <t>Asking Price</t>
        </is>
      </c>
      <c r="H15" s="202">
        <f>'Inputs &amp; Summary'!D7</f>
        <v/>
      </c>
      <c r="J15" s="1" t="inlineStr">
        <is>
          <t>Exit Price</t>
        </is>
      </c>
      <c r="K15" s="202">
        <f>'Inputs &amp; Summary'!O5</f>
        <v/>
      </c>
      <c r="M15" s="112">
        <f>'Inputs &amp; Summary'!J20</f>
        <v/>
      </c>
      <c r="N15" s="218">
        <f>'Inputs &amp; Summary'!K20</f>
        <v/>
      </c>
    </row>
    <row r="16">
      <c r="B16" s="1">
        <f>'Inputs &amp; Summary'!F16</f>
        <v/>
      </c>
      <c r="C16" s="217">
        <f>'Inputs &amp; Summary'!G16</f>
        <v/>
      </c>
      <c r="D16" s="215">
        <f>IFERROR(C16*$C$4, "n/a")</f>
        <v/>
      </c>
      <c r="E16" s="215">
        <f>IFERROR(N11*$C$4, "n/a")</f>
        <v/>
      </c>
      <c r="G16" s="1" t="inlineStr">
        <is>
          <t>Purchase Price</t>
        </is>
      </c>
      <c r="H16" s="202">
        <f>'Inputs &amp; Summary'!D17</f>
        <v/>
      </c>
      <c r="J16" s="219" t="inlineStr">
        <is>
          <t>Exit Cap Rate</t>
        </is>
      </c>
      <c r="K16" s="179">
        <f>'Inputs &amp; Summary'!D104</f>
        <v/>
      </c>
      <c r="M16" s="112">
        <f>'Inputs &amp; Summary'!J21</f>
        <v/>
      </c>
      <c r="N16" s="218">
        <f>'Inputs &amp; Summary'!K21</f>
        <v/>
      </c>
    </row>
    <row r="17" ht="15.75" customHeight="1" thickBot="1">
      <c r="B17" s="1">
        <f>'Inputs &amp; Summary'!F17</f>
        <v/>
      </c>
      <c r="C17" s="217">
        <f>'Inputs &amp; Summary'!G17</f>
        <v/>
      </c>
      <c r="D17" s="215">
        <f>IFERROR(C17*$C$4, "n/a")</f>
        <v/>
      </c>
      <c r="E17" s="215">
        <f>IFERROR(N12*$C$4, "n/a")</f>
        <v/>
      </c>
      <c r="G17" s="65" t="inlineStr">
        <is>
          <t>In-Place Cap Rate</t>
        </is>
      </c>
      <c r="H17" s="220">
        <f>'Inputs &amp; Summary'!$G$29</f>
        <v/>
      </c>
    </row>
    <row r="18" ht="15.75" customHeight="1" thickBot="1">
      <c r="B18" s="14" t="inlineStr">
        <is>
          <t>Total Expenses</t>
        </is>
      </c>
      <c r="C18" s="221">
        <f>SUM(C13:C17)</f>
        <v/>
      </c>
      <c r="D18" s="222">
        <f>SUM(D13:D17)</f>
        <v/>
      </c>
      <c r="E18" s="222">
        <f>SUM(E13:E17)</f>
        <v/>
      </c>
      <c r="G18" s="95" t="inlineStr">
        <is>
          <t>Stabilized Cap Rate (Y2)</t>
        </is>
      </c>
      <c r="H18" s="223">
        <f>IFERROR('Annual Proforma'!E20, "n/a")</f>
        <v/>
      </c>
      <c r="J18" s="224" t="n"/>
      <c r="K18" s="225" t="n"/>
    </row>
    <row r="19">
      <c r="C19" s="186" t="n"/>
      <c r="D19" s="226" t="n"/>
      <c r="E19" s="226" t="n"/>
      <c r="J19" s="210" t="n"/>
    </row>
    <row r="20" ht="17.25" customHeight="1">
      <c r="B20" s="6" t="inlineStr">
        <is>
          <t>NOI</t>
        </is>
      </c>
      <c r="C20" s="187" t="n"/>
      <c r="D20" s="214">
        <f>SUM(D8,D18)</f>
        <v/>
      </c>
      <c r="E20" s="214">
        <f>SUM(E8,E18)</f>
        <v/>
      </c>
      <c r="G20" s="78" t="inlineStr">
        <is>
          <t>Returns</t>
        </is>
      </c>
      <c r="H20" s="78" t="n"/>
      <c r="I20" s="78" t="n"/>
      <c r="J20" s="78" t="n"/>
      <c r="K20" s="78" t="n"/>
    </row>
    <row r="21" ht="17.25" customHeight="1">
      <c r="B21" s="58" t="inlineStr">
        <is>
          <t>NOI Margin</t>
        </is>
      </c>
      <c r="C21" s="188" t="n"/>
      <c r="D21" s="227">
        <f>IFERROR(D20/D8, "n/a")</f>
        <v/>
      </c>
      <c r="E21" s="227">
        <f>IFERROR(E20/E8, "n/a")</f>
        <v/>
      </c>
      <c r="G21" s="78" t="inlineStr">
        <is>
          <t>Unlevered</t>
        </is>
      </c>
      <c r="H21" s="78" t="n"/>
      <c r="J21" s="78" t="inlineStr">
        <is>
          <t>Levered</t>
        </is>
      </c>
      <c r="K21" s="78" t="n"/>
    </row>
    <row r="22">
      <c r="B22" s="1" t="n"/>
      <c r="C22" s="186" t="n"/>
      <c r="D22" s="215" t="n"/>
      <c r="E22" s="215" t="n"/>
      <c r="G22" s="1" t="inlineStr">
        <is>
          <t>Unlevered IRR</t>
        </is>
      </c>
      <c r="H22" s="220">
        <f>'Inputs &amp; Summary'!O6</f>
        <v/>
      </c>
      <c r="I22" s="1" t="n"/>
      <c r="J22" s="1" t="inlineStr">
        <is>
          <t>Levered IRR</t>
        </is>
      </c>
      <c r="K22" s="220">
        <f>'Inputs &amp; Summary'!P6</f>
        <v/>
      </c>
    </row>
    <row r="23">
      <c r="B23" s="1">
        <f>'Inputs &amp; Summary'!F20</f>
        <v/>
      </c>
      <c r="C23" s="217">
        <f>'Inputs &amp; Summary'!G20</f>
        <v/>
      </c>
      <c r="D23" s="215">
        <f>IFERROR(C23*$C$4, "n/a")</f>
        <v/>
      </c>
      <c r="E23" s="215">
        <f>IFERROR(N15*$C$4, "n/a")</f>
        <v/>
      </c>
      <c r="G23" s="65" t="inlineStr">
        <is>
          <t>Unlevered Profit</t>
        </is>
      </c>
      <c r="H23" s="202">
        <f>'Inputs &amp; Summary'!O8</f>
        <v/>
      </c>
      <c r="I23" s="1" t="n"/>
      <c r="J23" s="228" t="inlineStr">
        <is>
          <t>Levered Profit</t>
        </is>
      </c>
      <c r="K23" s="202">
        <f>'Inputs &amp; Summary'!P8</f>
        <v/>
      </c>
    </row>
    <row r="24">
      <c r="B24" s="1" t="n"/>
      <c r="D24" s="215" t="n"/>
      <c r="E24" s="215" t="n"/>
      <c r="G24" s="65" t="inlineStr">
        <is>
          <t>Unlevered MoM</t>
        </is>
      </c>
      <c r="H24" s="229">
        <f>'Inputs &amp; Summary'!O7</f>
        <v/>
      </c>
      <c r="I24" s="1" t="n"/>
      <c r="J24" s="228" t="inlineStr">
        <is>
          <t>Levered MoM</t>
        </is>
      </c>
      <c r="K24" s="229">
        <f>'Inputs &amp; Summary'!P7</f>
        <v/>
      </c>
    </row>
    <row r="25">
      <c r="B25" s="6" t="inlineStr">
        <is>
          <t>Levered Cash Flow</t>
        </is>
      </c>
      <c r="C25" s="82" t="n"/>
      <c r="D25" s="213">
        <f>SUM(D20,D23)</f>
        <v/>
      </c>
      <c r="E25" s="213">
        <f>SUM(E20,E23)</f>
        <v/>
      </c>
      <c r="G25" s="97" t="n"/>
      <c r="H25" s="230" t="n"/>
      <c r="I25" s="1" t="n"/>
      <c r="J25" s="228" t="n"/>
      <c r="K25" s="1" t="n"/>
    </row>
    <row r="26">
      <c r="B26" s="1" t="inlineStr">
        <is>
          <t>Cash on Cash</t>
        </is>
      </c>
      <c r="D26" s="231">
        <f>D25/'Inputs &amp; Summary'!$P$22</f>
        <v/>
      </c>
      <c r="E26" s="231">
        <f>E25/'Inputs &amp; Summary'!$P$22</f>
        <v/>
      </c>
      <c r="J26" s="210" t="n"/>
    </row>
    <row r="27">
      <c r="B27" s="1" t="n"/>
      <c r="D27" s="231" t="n"/>
      <c r="E27" s="231" t="n"/>
      <c r="J27" s="210" t="n"/>
    </row>
  </sheetData>
  <pageMargins left="0.25" right="0.25" top="0.25" bottom="0.25" header="0.25" footer="0.25"/>
  <pageSetup orientation="landscape" scale="61"/>
  <headerFooter>
    <oddHeader/>
    <oddFooter>&amp;C&amp;"Aptos"&amp;10 &amp;K000000_x000d_# Barings-Public</oddFooter>
    <evenHeader/>
    <evenFooter/>
    <firstHeader/>
    <firstFooter/>
  </headerFooter>
</worksheet>
</file>

<file path=xl/worksheets/sheet2.xml><?xml version="1.0" encoding="utf-8"?>
<worksheet xmlns="http://schemas.openxmlformats.org/spreadsheetml/2006/main">
  <sheetPr>
    <tabColor theme="1"/>
    <outlinePr summaryBelow="1" summaryRight="1"/>
    <pageSetUpPr fitToPage="1"/>
  </sheetPr>
  <dimension ref="A2:Y121"/>
  <sheetViews>
    <sheetView showGridLines="0" tabSelected="1" zoomScaleNormal="100" zoomScaleSheetLayoutView="100" workbookViewId="0">
      <selection activeCell="A1" sqref="A1"/>
    </sheetView>
  </sheetViews>
  <sheetFormatPr baseColWidth="8" defaultColWidth="9" defaultRowHeight="15"/>
  <cols>
    <col width="2.5" customWidth="1" style="131" min="1" max="1"/>
    <col width="16.25" bestFit="1" customWidth="1" style="1" min="2" max="2"/>
    <col width="12.75" customWidth="1" style="1" min="3" max="3"/>
    <col width="10.25" bestFit="1" customWidth="1" style="1" min="4" max="4"/>
    <col width="6.125" customWidth="1" style="1" min="5" max="5"/>
    <col width="26.375" bestFit="1" customWidth="1" style="1" min="6" max="6"/>
    <col width="9.125" customWidth="1" style="1" min="7" max="7"/>
    <col width="7.125" customWidth="1" style="1" min="8" max="8"/>
    <col width="4.75" customWidth="1" style="1" min="9" max="9"/>
    <col width="26.375" bestFit="1" customWidth="1" style="1" min="10" max="10"/>
    <col width="9.125" bestFit="1" customWidth="1" style="1" min="11" max="11"/>
    <col width="7" customWidth="1" style="1" min="12" max="12"/>
    <col width="6.125" customWidth="1" style="1" min="13" max="13"/>
    <col width="16.25" customWidth="1" style="1" min="14" max="14"/>
    <col width="10" customWidth="1" style="1" min="15" max="15"/>
    <col width="10.25" customWidth="1" style="1" min="16" max="16"/>
    <col width="6.875" customWidth="1" style="1" min="17" max="17"/>
    <col width="10.375" customWidth="1" style="135" min="18" max="18"/>
    <col width="9" bestFit="1" customWidth="1" style="135" min="19" max="19"/>
    <col width="9" customWidth="1" style="135" min="20" max="20"/>
    <col width="14.375" customWidth="1" style="135" min="21" max="21"/>
    <col width="14.375" bestFit="1" customWidth="1" style="135" min="22" max="22"/>
    <col width="11" bestFit="1" customWidth="1" style="135" min="23" max="23"/>
    <col width="9" customWidth="1" style="1" min="24" max="16384"/>
  </cols>
  <sheetData>
    <row r="1" ht="8.1" customHeight="1"/>
    <row r="2" ht="15.75" customHeight="1" thickBot="1">
      <c r="B2" s="193" t="inlineStr">
        <is>
          <t>Property Details</t>
        </is>
      </c>
      <c r="C2" s="232" t="n"/>
      <c r="D2" s="232" t="n"/>
      <c r="F2" s="157" t="inlineStr">
        <is>
          <t>Unit Mix | In-Place</t>
        </is>
      </c>
      <c r="G2" s="157" t="n"/>
      <c r="H2" s="157" t="n"/>
      <c r="J2" s="157" t="inlineStr">
        <is>
          <t>Unit Mix | Stabilized</t>
        </is>
      </c>
      <c r="K2" s="233">
        <f>D57</f>
        <v/>
      </c>
      <c r="L2" s="157" t="n"/>
      <c r="N2" s="157" t="inlineStr">
        <is>
          <t>Deal Level Returns</t>
        </is>
      </c>
      <c r="O2" s="157" t="n"/>
      <c r="P2" s="158" t="n"/>
      <c r="R2" s="193" t="inlineStr">
        <is>
          <t>Rate Buy Down Sensitivity Analysis</t>
        </is>
      </c>
      <c r="S2" s="161" t="n"/>
      <c r="T2" s="161" t="n"/>
      <c r="U2" s="161" t="n"/>
      <c r="V2" s="161" t="n"/>
      <c r="W2" s="161" t="n"/>
    </row>
    <row r="3" ht="15.75" customHeight="1" thickBot="1">
      <c r="A3" s="131" t="inlineStr">
        <is>
          <t>x</t>
        </is>
      </c>
      <c r="B3" s="1" t="inlineStr">
        <is>
          <t>Street Address</t>
        </is>
      </c>
      <c r="D3" s="46" t="inlineStr">
        <is>
          <t>123 Main St</t>
        </is>
      </c>
      <c r="F3" s="8" t="inlineStr">
        <is>
          <t>Unit Type</t>
        </is>
      </c>
      <c r="G3" s="145" t="inlineStr">
        <is>
          <t>Rent</t>
        </is>
      </c>
      <c r="H3" s="145" t="n"/>
      <c r="J3" s="8" t="inlineStr">
        <is>
          <t>Unit Type</t>
        </is>
      </c>
      <c r="K3" s="145" t="inlineStr">
        <is>
          <t>Rent</t>
        </is>
      </c>
      <c r="L3" s="145" t="n"/>
      <c r="O3" s="134" t="inlineStr">
        <is>
          <t>Unlevered</t>
        </is>
      </c>
      <c r="P3" s="134" t="inlineStr">
        <is>
          <t>Levered</t>
        </is>
      </c>
      <c r="R3" s="134" t="inlineStr">
        <is>
          <t>Discount</t>
        </is>
      </c>
      <c r="U3" s="134" t="inlineStr">
        <is>
          <t>Cash Flow</t>
        </is>
      </c>
      <c r="V3" s="134" t="inlineStr">
        <is>
          <t>Cash Flow</t>
        </is>
      </c>
    </row>
    <row r="4">
      <c r="A4" s="131" t="inlineStr">
        <is>
          <t>x</t>
        </is>
      </c>
      <c r="B4" s="1" t="inlineStr">
        <is>
          <t>City, State</t>
        </is>
      </c>
      <c r="D4" s="46" t="inlineStr">
        <is>
          <t>Charlotte, NC</t>
        </is>
      </c>
      <c r="F4" s="1">
        <f>D8&amp;" bd + "&amp;D9&amp;" ba"</f>
        <v/>
      </c>
      <c r="G4" s="234">
        <f>D56</f>
        <v/>
      </c>
      <c r="H4" s="235" t="n"/>
      <c r="J4" s="1">
        <f>F4</f>
        <v/>
      </c>
      <c r="K4" s="234">
        <f>D63</f>
        <v/>
      </c>
      <c r="N4" s="6" t="inlineStr">
        <is>
          <t>Exit Year</t>
        </is>
      </c>
      <c r="O4" s="236">
        <f>D102/12</f>
        <v/>
      </c>
      <c r="P4" s="237" t="n"/>
      <c r="R4" s="134" t="inlineStr">
        <is>
          <t>Points</t>
        </is>
      </c>
      <c r="S4" s="134" t="inlineStr">
        <is>
          <t>Final Rate</t>
        </is>
      </c>
      <c r="T4" s="134" t="inlineStr">
        <is>
          <t>Cost</t>
        </is>
      </c>
      <c r="U4" s="134" t="inlineStr">
        <is>
          <t>(Comprehensive)</t>
        </is>
      </c>
      <c r="V4" s="134" t="inlineStr">
        <is>
          <t>(Routine Month)</t>
        </is>
      </c>
      <c r="W4" s="134" t="inlineStr">
        <is>
          <t>Levered IRR</t>
        </is>
      </c>
    </row>
    <row r="5">
      <c r="A5" s="131" t="inlineStr">
        <is>
          <t>x</t>
        </is>
      </c>
      <c r="B5" s="1" t="inlineStr">
        <is>
          <t>Listing Date</t>
        </is>
      </c>
      <c r="D5" s="125" t="inlineStr">
        <is>
          <t>x/xx/xxxx</t>
        </is>
      </c>
      <c r="F5" s="14" t="inlineStr">
        <is>
          <t>Total</t>
        </is>
      </c>
      <c r="G5" s="208">
        <f>SUM(G4:G4)</f>
        <v/>
      </c>
      <c r="H5" s="238">
        <f>IFERROR(G5/#REF!,"")</f>
        <v/>
      </c>
      <c r="J5" s="14" t="inlineStr">
        <is>
          <t>Total</t>
        </is>
      </c>
      <c r="K5" s="208">
        <f>SUM(K4:K4)</f>
        <v/>
      </c>
      <c r="L5" s="11" t="n"/>
      <c r="N5" s="6" t="inlineStr">
        <is>
          <t>Exit Price</t>
        </is>
      </c>
      <c r="O5" s="239">
        <f>IFERROR(D17*(1+D97)^(D102/12), "n/a")</f>
        <v/>
      </c>
      <c r="P5" s="240" t="n"/>
      <c r="R5" s="135" t="n">
        <v>0</v>
      </c>
      <c r="S5" s="241" t="n">
        <v>0.0725</v>
      </c>
      <c r="T5" s="242" t="n">
        <v>0</v>
      </c>
      <c r="U5" s="243" t="inlineStr">
        <is>
          <t>-</t>
        </is>
      </c>
      <c r="V5" s="244" t="inlineStr">
        <is>
          <t>-</t>
        </is>
      </c>
      <c r="W5" s="149" t="inlineStr">
        <is>
          <t>-</t>
        </is>
      </c>
    </row>
    <row r="6">
      <c r="A6" s="131" t="inlineStr">
        <is>
          <t>x</t>
        </is>
      </c>
      <c r="B6" s="1" t="inlineStr">
        <is>
          <t>Year Built</t>
        </is>
      </c>
      <c r="D6" s="46" t="n">
        <v>1978</v>
      </c>
      <c r="N6" s="6" t="inlineStr">
        <is>
          <t>IRR</t>
        </is>
      </c>
      <c r="O6" s="245">
        <f>IFERROR('Monthly Proforma'!C45, "n/a")</f>
        <v/>
      </c>
      <c r="P6" s="246">
        <f>IFERROR('Monthly Proforma'!$C$65, "n/a")</f>
        <v/>
      </c>
      <c r="R6" s="135" t="n">
        <v>1</v>
      </c>
      <c r="S6" s="241">
        <f>S5-0.00125</f>
        <v/>
      </c>
      <c r="T6" s="242" t="n">
        <v>1230</v>
      </c>
      <c r="U6" s="244" t="inlineStr">
        <is>
          <t>-</t>
        </is>
      </c>
      <c r="V6" s="244" t="inlineStr">
        <is>
          <t>-</t>
        </is>
      </c>
      <c r="W6" s="149" t="inlineStr">
        <is>
          <t>-</t>
        </is>
      </c>
    </row>
    <row r="7">
      <c r="A7" s="131" t="inlineStr">
        <is>
          <t>x</t>
        </is>
      </c>
      <c r="B7" s="1" t="inlineStr">
        <is>
          <t>Asking Price</t>
        </is>
      </c>
      <c r="D7" s="247" t="n">
        <v>120000</v>
      </c>
      <c r="F7" s="7" t="inlineStr">
        <is>
          <t>Monthly Proforma | In-Place</t>
        </is>
      </c>
      <c r="G7" s="12" t="inlineStr">
        <is>
          <t>$</t>
        </is>
      </c>
      <c r="H7" s="12" t="inlineStr">
        <is>
          <t>%</t>
        </is>
      </c>
      <c r="J7" s="7" t="inlineStr">
        <is>
          <t>Monthly Proforma | Stabilized</t>
        </is>
      </c>
      <c r="K7" s="12" t="inlineStr">
        <is>
          <t>$</t>
        </is>
      </c>
      <c r="L7" s="12" t="inlineStr">
        <is>
          <t>%</t>
        </is>
      </c>
      <c r="N7" s="6" t="inlineStr">
        <is>
          <t>Equity Multiple</t>
        </is>
      </c>
      <c r="O7" s="248">
        <f>IFERROR('Monthly Proforma'!$C$46, "n/a")</f>
        <v/>
      </c>
      <c r="P7" s="249">
        <f>IFERROR('Monthly Proforma'!C66, "n/a")</f>
        <v/>
      </c>
      <c r="R7" s="135" t="n">
        <v>2</v>
      </c>
      <c r="S7" s="241">
        <f>S6-0.00125</f>
        <v/>
      </c>
      <c r="T7" s="242" t="n">
        <v>3128</v>
      </c>
      <c r="U7" s="244" t="inlineStr">
        <is>
          <t>-</t>
        </is>
      </c>
      <c r="V7" s="244" t="inlineStr">
        <is>
          <t>-</t>
        </is>
      </c>
      <c r="W7" s="149" t="inlineStr">
        <is>
          <t>-</t>
        </is>
      </c>
    </row>
    <row r="8">
      <c r="A8" s="131" t="inlineStr">
        <is>
          <t>x</t>
        </is>
      </c>
      <c r="B8" s="1" t="inlineStr">
        <is>
          <t>Bedrooms</t>
        </is>
      </c>
      <c r="D8" s="127" t="inlineStr">
        <is>
          <t>x</t>
        </is>
      </c>
      <c r="F8" s="9" t="inlineStr">
        <is>
          <t>Rental Income</t>
        </is>
      </c>
      <c r="G8" s="250">
        <f>G5</f>
        <v/>
      </c>
      <c r="H8" s="107" t="n"/>
      <c r="J8" s="9" t="inlineStr">
        <is>
          <t>Rental Income</t>
        </is>
      </c>
      <c r="K8" s="250">
        <f>K5</f>
        <v/>
      </c>
      <c r="L8" s="107" t="n"/>
      <c r="N8" s="6" t="inlineStr">
        <is>
          <t>Net Profit</t>
        </is>
      </c>
      <c r="O8" s="251">
        <f>IFERROR('Monthly Proforma'!C47, "n/a")</f>
        <v/>
      </c>
      <c r="P8" s="252">
        <f>IFERROR('Monthly Proforma'!C67, "n/a")</f>
        <v/>
      </c>
      <c r="R8" s="135" t="n">
        <v>3</v>
      </c>
      <c r="S8" s="241">
        <f>S7-0.00125</f>
        <v/>
      </c>
      <c r="T8" s="242" t="n">
        <v>5027</v>
      </c>
      <c r="U8" s="244" t="inlineStr">
        <is>
          <t>-</t>
        </is>
      </c>
      <c r="V8" s="244" t="inlineStr">
        <is>
          <t>-</t>
        </is>
      </c>
      <c r="W8" s="149" t="inlineStr">
        <is>
          <t>-</t>
        </is>
      </c>
    </row>
    <row r="9" ht="15.75" customHeight="1" thickBot="1">
      <c r="A9" s="131" t="inlineStr">
        <is>
          <t>x</t>
        </is>
      </c>
      <c r="B9" s="1" t="inlineStr">
        <is>
          <t>Bathrooms</t>
        </is>
      </c>
      <c r="D9" s="253" t="inlineStr">
        <is>
          <t>x</t>
        </is>
      </c>
      <c r="F9" s="6" t="inlineStr">
        <is>
          <t>Potential Gross Income</t>
        </is>
      </c>
      <c r="G9" s="212">
        <f>SUM(G8:G8)</f>
        <v/>
      </c>
      <c r="H9" s="121" t="n">
        <v>1</v>
      </c>
      <c r="J9" s="6" t="inlineStr">
        <is>
          <t>Potential Gross Income</t>
        </is>
      </c>
      <c r="K9" s="212">
        <f>SUM(K8:K8)</f>
        <v/>
      </c>
      <c r="L9" s="121" t="n">
        <v>1</v>
      </c>
      <c r="N9" s="6" t="inlineStr">
        <is>
          <t>Peak Equity</t>
        </is>
      </c>
      <c r="O9" s="254">
        <f>IFERROR('Monthly Proforma'!C48, "n/a")</f>
        <v/>
      </c>
      <c r="P9" s="255">
        <f>IFERROR('Monthly Proforma'!C68, "n/a")</f>
        <v/>
      </c>
      <c r="R9" s="135" t="n">
        <v>4</v>
      </c>
      <c r="S9" s="241" t="n">
        <v>0.06749999999999999</v>
      </c>
      <c r="T9" s="242" t="n">
        <v>6925</v>
      </c>
      <c r="U9" s="244" t="inlineStr">
        <is>
          <t>-</t>
        </is>
      </c>
      <c r="V9" s="244" t="inlineStr">
        <is>
          <t>-</t>
        </is>
      </c>
      <c r="W9" s="149" t="inlineStr">
        <is>
          <t>-</t>
        </is>
      </c>
    </row>
    <row r="10">
      <c r="A10" s="131" t="inlineStr">
        <is>
          <t>x</t>
        </is>
      </c>
      <c r="B10" s="1" t="inlineStr">
        <is>
          <t>Total Square Footage</t>
        </is>
      </c>
      <c r="D10" s="127" t="inlineStr">
        <is>
          <t>x</t>
        </is>
      </c>
      <c r="G10" s="206" t="n"/>
      <c r="H10" s="256" t="n"/>
      <c r="J10" s="1" t="inlineStr">
        <is>
          <t>(-) General Vacancy</t>
        </is>
      </c>
      <c r="K10" s="206">
        <f>K8*L10</f>
        <v/>
      </c>
      <c r="L10" s="257">
        <f>-D88</f>
        <v/>
      </c>
      <c r="R10" s="135" t="n">
        <v>5</v>
      </c>
      <c r="S10" s="241" t="n">
        <v>0.06624999999999999</v>
      </c>
      <c r="T10" s="242" t="n">
        <v>8824</v>
      </c>
      <c r="U10" s="244" t="inlineStr">
        <is>
          <t>-</t>
        </is>
      </c>
      <c r="V10" s="244" t="inlineStr">
        <is>
          <t>-</t>
        </is>
      </c>
      <c r="W10" s="149" t="inlineStr">
        <is>
          <t>-</t>
        </is>
      </c>
    </row>
    <row r="11" ht="15.75" customHeight="1" thickBot="1">
      <c r="A11" s="131" t="inlineStr">
        <is>
          <t>x</t>
        </is>
      </c>
      <c r="B11" s="1" t="inlineStr">
        <is>
          <t>Units</t>
        </is>
      </c>
      <c r="D11" s="127" t="inlineStr">
        <is>
          <t>x</t>
        </is>
      </c>
      <c r="F11" s="1" t="inlineStr">
        <is>
          <t>(-) Concessions</t>
        </is>
      </c>
      <c r="G11" s="206" t="n">
        <v>0</v>
      </c>
      <c r="H11" s="258">
        <f>IFERROR(G11/G$9, "n/a")</f>
        <v/>
      </c>
      <c r="J11" s="1" t="inlineStr">
        <is>
          <t>(-) Concessions</t>
        </is>
      </c>
      <c r="K11" s="206">
        <f>-D91</f>
        <v/>
      </c>
      <c r="L11" s="258">
        <f>IFERROR(K11/K$9, "n/a")</f>
        <v/>
      </c>
      <c r="N11" s="157" t="inlineStr">
        <is>
          <t>Equity Summary</t>
        </is>
      </c>
      <c r="O11" s="157" t="n"/>
      <c r="P11" s="158" t="n"/>
      <c r="R11" s="135" t="n">
        <v>6</v>
      </c>
      <c r="S11" s="241" t="n">
        <v>0.06499999999999999</v>
      </c>
      <c r="T11" s="242" t="n">
        <v>10798</v>
      </c>
      <c r="U11" s="244" t="inlineStr">
        <is>
          <t>-</t>
        </is>
      </c>
      <c r="V11" s="244" t="inlineStr">
        <is>
          <t>-</t>
        </is>
      </c>
      <c r="W11" s="149" t="inlineStr">
        <is>
          <t>-</t>
        </is>
      </c>
    </row>
    <row r="12">
      <c r="A12" s="131" t="inlineStr">
        <is>
          <t>x</t>
        </is>
      </c>
      <c r="B12" s="1" t="inlineStr">
        <is>
          <t>Type</t>
        </is>
      </c>
      <c r="D12" s="127" t="inlineStr">
        <is>
          <t>x</t>
        </is>
      </c>
      <c r="F12" s="14" t="inlineStr">
        <is>
          <t>Effective Gross Income</t>
        </is>
      </c>
      <c r="G12" s="208">
        <f>SUM(G9:G11)</f>
        <v/>
      </c>
      <c r="H12" s="114">
        <f>IFERROR(G12/$G$9, "n/a")</f>
        <v/>
      </c>
      <c r="J12" s="14" t="inlineStr">
        <is>
          <t>Effective Gross Income</t>
        </is>
      </c>
      <c r="K12" s="259">
        <f>SUM(K9:K11)</f>
        <v/>
      </c>
      <c r="L12" s="114">
        <f>IFERROR(K12/K$9, "n/a")</f>
        <v/>
      </c>
      <c r="N12" s="6" t="inlineStr">
        <is>
          <t>Loan Amount</t>
        </is>
      </c>
      <c r="P12" s="260">
        <f>IFERROR(D17*D34, "n/a")</f>
        <v/>
      </c>
      <c r="R12" s="135" t="n">
        <v>7</v>
      </c>
      <c r="S12" s="241" t="n">
        <v>0.06374999999999999</v>
      </c>
      <c r="T12" s="242" t="n">
        <v>13051</v>
      </c>
      <c r="U12" s="244" t="inlineStr">
        <is>
          <t>-</t>
        </is>
      </c>
      <c r="V12" s="244" t="inlineStr">
        <is>
          <t>-</t>
        </is>
      </c>
      <c r="W12" s="149" t="inlineStr">
        <is>
          <t>-</t>
        </is>
      </c>
    </row>
    <row r="13">
      <c r="B13" s="1" t="inlineStr">
        <is>
          <t>Lot Size (Acres)</t>
        </is>
      </c>
      <c r="D13" s="128" t="inlineStr">
        <is>
          <t>x</t>
        </is>
      </c>
      <c r="F13" s="1" t="inlineStr">
        <is>
          <t>(-) Property Taxes</t>
        </is>
      </c>
      <c r="G13" s="202">
        <f>IFERROR(-(D70*D68*(D69/1000))/12, "n/a")</f>
        <v/>
      </c>
      <c r="H13" s="258">
        <f>IFERROR(G13/$G$9, "n/a")</f>
        <v/>
      </c>
      <c r="I13" s="123" t="n"/>
      <c r="J13" s="1" t="inlineStr">
        <is>
          <t>(-) Property Taxes</t>
        </is>
      </c>
      <c r="K13" s="202">
        <f>IFERROR(INDEX('Monthly Proforma'!E16:DT16, MATCH($K$2, 'Monthly Proforma'!E$8:DT$8, 0)), "n/a")</f>
        <v/>
      </c>
      <c r="L13" s="258">
        <f>IFERROR(K13/K$9, "n/a")</f>
        <v/>
      </c>
      <c r="P13" s="234" t="n"/>
      <c r="R13" s="135" t="n">
        <v>8</v>
      </c>
      <c r="S13" s="241" t="n">
        <v>0.06249999999999999</v>
      </c>
      <c r="T13" s="242" t="n">
        <v>15536</v>
      </c>
      <c r="U13" s="244" t="inlineStr">
        <is>
          <t>-</t>
        </is>
      </c>
      <c r="V13" s="244" t="inlineStr">
        <is>
          <t>-</t>
        </is>
      </c>
      <c r="W13" s="149" t="inlineStr">
        <is>
          <t>-</t>
        </is>
      </c>
    </row>
    <row r="14">
      <c r="B14" s="1" t="inlineStr">
        <is>
          <t>Interior/Reno Grade</t>
        </is>
      </c>
      <c r="D14" s="128" t="inlineStr">
        <is>
          <t>x</t>
        </is>
      </c>
      <c r="F14" s="1" t="inlineStr">
        <is>
          <t>(-) Insurance</t>
        </is>
      </c>
      <c r="G14" s="202">
        <f>IFERROR(-(((D10*D76)/100)*D77*MIN(1.6, (1+D78+D79))*(1+D80))/12, "n/a")</f>
        <v/>
      </c>
      <c r="H14" s="258">
        <f>IFERROR(G14/$G$9, "n/a")</f>
        <v/>
      </c>
      <c r="J14" s="1" t="inlineStr">
        <is>
          <t>(-) Insurance</t>
        </is>
      </c>
      <c r="K14" s="202">
        <f>IFERROR(INDEX('Monthly Proforma'!E17:DT17, MATCH($K$2, 'Monthly Proforma'!E$8:DT$8, 0)), "n/a")</f>
        <v/>
      </c>
      <c r="L14" s="258">
        <f>IFERROR(K14/K$9, "n/a")</f>
        <v/>
      </c>
      <c r="N14" s="1" t="inlineStr">
        <is>
          <t>Initial Equity (Down Payment)</t>
        </is>
      </c>
      <c r="P14" s="234">
        <f>IFERROR(D17-P12, "n/a")</f>
        <v/>
      </c>
      <c r="R14" s="135" t="n">
        <v>9</v>
      </c>
      <c r="S14" s="241" t="n">
        <v>0.06124999999999999</v>
      </c>
      <c r="T14" s="242" t="n">
        <v>18463</v>
      </c>
      <c r="U14" s="244" t="inlineStr">
        <is>
          <t>-</t>
        </is>
      </c>
      <c r="V14" s="244" t="inlineStr">
        <is>
          <t>-</t>
        </is>
      </c>
      <c r="W14" s="149" t="inlineStr">
        <is>
          <t>-</t>
        </is>
      </c>
    </row>
    <row r="15">
      <c r="D15" s="116" t="n"/>
      <c r="F15" s="1" t="inlineStr">
        <is>
          <t>(-) Management</t>
        </is>
      </c>
      <c r="G15" s="206">
        <f>G12*H15</f>
        <v/>
      </c>
      <c r="H15" s="257">
        <f>-D89</f>
        <v/>
      </c>
      <c r="J15" s="1" t="inlineStr">
        <is>
          <t>(-) Management</t>
        </is>
      </c>
      <c r="K15" s="202">
        <f>IFERROR(INDEX('Monthly Proforma'!E18:DT18, MATCH($K$2, 'Monthly Proforma'!E$8:DT$8, 0)), "n/a")</f>
        <v/>
      </c>
      <c r="L15" s="258">
        <f>H15</f>
        <v/>
      </c>
      <c r="N15" s="1" t="inlineStr">
        <is>
          <t>Financing Fees</t>
        </is>
      </c>
      <c r="P15" s="234">
        <f>IFERROR(D47+D40+D49, "n/a")</f>
        <v/>
      </c>
      <c r="R15" s="135" t="n">
        <v>10</v>
      </c>
      <c r="S15" s="241">
        <f>S14-0.00125</f>
        <v/>
      </c>
      <c r="T15" s="242" t="n">
        <v>21627</v>
      </c>
      <c r="U15" s="244" t="inlineStr">
        <is>
          <t>-</t>
        </is>
      </c>
      <c r="V15" s="244" t="inlineStr">
        <is>
          <t>-</t>
        </is>
      </c>
      <c r="W15" s="149" t="inlineStr">
        <is>
          <t>-</t>
        </is>
      </c>
    </row>
    <row r="16" ht="15" customHeight="1" thickBot="1">
      <c r="B16" s="193" t="inlineStr">
        <is>
          <t>Purchase Assumptions</t>
        </is>
      </c>
      <c r="C16" s="232" t="n"/>
      <c r="D16" s="232" t="n"/>
      <c r="F16" s="1" t="inlineStr">
        <is>
          <t>(-) Utilities &amp; HOA Dues</t>
        </is>
      </c>
      <c r="G16" s="206">
        <f>-D90</f>
        <v/>
      </c>
      <c r="H16" s="258">
        <f>IFERROR(G16/$G$9, "n/a")</f>
        <v/>
      </c>
      <c r="J16" s="1" t="inlineStr">
        <is>
          <t>(-) Utilities &amp; HOA Dues</t>
        </is>
      </c>
      <c r="K16" s="202">
        <f>IFERROR(INDEX('Monthly Proforma'!E19:DT19, MATCH($K$2, 'Monthly Proforma'!E$8:DT$8, 0)), "n/a")</f>
        <v/>
      </c>
      <c r="L16" s="258">
        <f>IFERROR(K16/K$9, "n/a")</f>
        <v/>
      </c>
      <c r="N16" s="1" t="inlineStr">
        <is>
          <t>Closing Costs (Non-Financing)</t>
        </is>
      </c>
      <c r="P16" s="234">
        <f>IFERROR(D23, "n/a")</f>
        <v/>
      </c>
      <c r="R16" s="194" t="inlineStr">
        <is>
          <t>^Property-specific buy-down grid provided by PRMG on 4/22/2026, assumes 5-year prepay penalty period and a base 1.0x DSCR (lender's methodology) before any buy-downs</t>
        </is>
      </c>
      <c r="W16" s="194" t="inlineStr">
        <is>
          <t>^Assumes exit in Yx with x% annualized price appreciation</t>
        </is>
      </c>
    </row>
    <row r="17">
      <c r="A17" s="131" t="inlineStr">
        <is>
          <t>x</t>
        </is>
      </c>
      <c r="B17" s="1" t="inlineStr">
        <is>
          <t>Purchase Price</t>
        </is>
      </c>
      <c r="D17" s="247" t="inlineStr">
        <is>
          <t>$x</t>
        </is>
      </c>
      <c r="F17" s="1" t="inlineStr">
        <is>
          <t>(-) Maintenance &amp; Repairs</t>
        </is>
      </c>
      <c r="G17" s="202">
        <f>IFERROR(-((D10*D83)+(D11*D84))/12, "n/a")</f>
        <v/>
      </c>
      <c r="H17" s="258">
        <f>IFERROR(G17/$G$9, "n/a")</f>
        <v/>
      </c>
      <c r="J17" s="1" t="inlineStr">
        <is>
          <t>(-) Maintenance &amp; Repairs</t>
        </is>
      </c>
      <c r="K17" s="202">
        <f>IFERROR(INDEX('Monthly Proforma'!E20:DT20, MATCH($K$2, 'Monthly Proforma'!E$8:DT$8, 0)), "n/a")</f>
        <v/>
      </c>
      <c r="L17" s="258">
        <f>IFERROR(K17/K$9, "n/a")</f>
        <v/>
      </c>
      <c r="N17" s="1" t="inlineStr">
        <is>
          <t>Net Buyer's Agent Fee</t>
        </is>
      </c>
      <c r="P17" s="234">
        <f>IFERROR((D21-D27)*D17, "n/a")</f>
        <v/>
      </c>
    </row>
    <row r="18">
      <c r="B18" s="6" t="inlineStr">
        <is>
          <t>Purchase Price Discount</t>
        </is>
      </c>
      <c r="D18" s="137">
        <f>IFERROR(($D$7-D17)/$D$7, "n/a")</f>
        <v/>
      </c>
      <c r="F18" s="1" t="inlineStr">
        <is>
          <t>(-) Advertising, Admin &amp; Payroll</t>
        </is>
      </c>
      <c r="G18" s="206">
        <f>-D92</f>
        <v/>
      </c>
      <c r="H18" s="258">
        <f>IFERROR(G18/$G$9, "n/a")</f>
        <v/>
      </c>
      <c r="J18" s="1" t="inlineStr">
        <is>
          <t>(-) Advertising, Admin &amp; Payroll</t>
        </is>
      </c>
      <c r="K18" s="261">
        <f>IFERROR(INDEX('Monthly Proforma'!E21:DT21, MATCH($K$2, 'Monthly Proforma'!E$8:DT$8, 0)), "n/a")</f>
        <v/>
      </c>
      <c r="L18" s="258">
        <f>IFERROR(K18/K$9, "n/a")</f>
        <v/>
      </c>
      <c r="N18" s="8" t="inlineStr">
        <is>
          <t>Seller Concessions</t>
        </is>
      </c>
      <c r="O18" s="8" t="n"/>
      <c r="P18" s="262">
        <f>-D28</f>
        <v/>
      </c>
    </row>
    <row r="19" ht="15" customHeight="1">
      <c r="B19" s="6" t="inlineStr">
        <is>
          <t>Price/SF</t>
        </is>
      </c>
      <c r="D19" s="263">
        <f>IFERROR(D17/D10, "n/a")</f>
        <v/>
      </c>
      <c r="F19" s="14" t="inlineStr">
        <is>
          <t>Net Operating Income</t>
        </is>
      </c>
      <c r="G19" s="208">
        <f>SUM(G12:G18)</f>
        <v/>
      </c>
      <c r="H19" s="114">
        <f>IFERROR(G19/$G$9, "n/a")</f>
        <v/>
      </c>
      <c r="J19" s="14" t="inlineStr">
        <is>
          <t>Net Operating Income</t>
        </is>
      </c>
      <c r="K19" s="208">
        <f>SUM(K12:K18)</f>
        <v/>
      </c>
      <c r="L19" s="114">
        <f>IFERROR(K19/K$9, "n/a")</f>
        <v/>
      </c>
      <c r="N19" s="6" t="inlineStr">
        <is>
          <t>Cash to Close (Ex-Prepaids)</t>
        </is>
      </c>
      <c r="P19" s="264">
        <f>IFERROR(SUM(P14:P18), "n/a")</f>
        <v/>
      </c>
    </row>
    <row r="20">
      <c r="A20" s="131" t="inlineStr">
        <is>
          <t>x</t>
        </is>
      </c>
      <c r="B20" s="1" t="inlineStr">
        <is>
          <t>Closing Date</t>
        </is>
      </c>
      <c r="D20" s="125">
        <f>TODAY()+30</f>
        <v/>
      </c>
      <c r="F20" s="1" t="inlineStr">
        <is>
          <t>(-) Debt Service</t>
        </is>
      </c>
      <c r="G20" s="202">
        <f>IFERROR(IF($D$43="Yes",-$D$45,-$D$42), "n/a")</f>
        <v/>
      </c>
      <c r="J20" s="1" t="inlineStr">
        <is>
          <t>(-) Debt Service</t>
        </is>
      </c>
      <c r="K20" s="202">
        <f>IFERROR(-D42, "n/a")</f>
        <v/>
      </c>
      <c r="N20" s="6" t="n"/>
      <c r="P20" s="265" t="n"/>
    </row>
    <row r="21">
      <c r="B21" s="1" t="inlineStr">
        <is>
          <t>Buyer's Agent Fee (% of PP)</t>
        </is>
      </c>
      <c r="D21" s="21" t="n">
        <v>0.025</v>
      </c>
      <c r="F21" s="14" t="inlineStr">
        <is>
          <t>Cash Flow (Comprehensive)</t>
        </is>
      </c>
      <c r="G21" s="259">
        <f>IFERROR(G19+G20, "n/a")</f>
        <v/>
      </c>
      <c r="H21" s="266" t="n"/>
      <c r="J21" s="14" t="inlineStr">
        <is>
          <t>Cash Flow (Comprehensive)</t>
        </is>
      </c>
      <c r="K21" s="259">
        <f>IFERROR(K19+K20, "n/a")</f>
        <v/>
      </c>
      <c r="L21" s="266" t="n"/>
      <c r="N21" s="8" t="inlineStr">
        <is>
          <t>Net CapEx (Post-Closing)</t>
        </is>
      </c>
      <c r="O21" s="8" t="n"/>
      <c r="P21" s="267">
        <f>IFERROR((D52-D26)+D53, "n/a")</f>
        <v/>
      </c>
      <c r="R21" s="268" t="n"/>
    </row>
    <row r="22">
      <c r="B22" s="1" t="inlineStr">
        <is>
          <t>Survey Required?</t>
        </is>
      </c>
      <c r="D22" s="46" t="inlineStr">
        <is>
          <t>No</t>
        </is>
      </c>
      <c r="F22" s="6" t="inlineStr">
        <is>
          <t>Cash Flow (Routine Month)</t>
        </is>
      </c>
      <c r="G22" s="265">
        <f>IFERROR((G8+G13+G14+G15+G16+G18)+G20, "n/a")</f>
        <v/>
      </c>
      <c r="J22" s="6" t="inlineStr">
        <is>
          <t>Cash Flow (Routine Month)</t>
        </is>
      </c>
      <c r="K22" s="265">
        <f>IFERROR((K8+K13+K14+K15+K16+K18)+K20, "n/a")</f>
        <v/>
      </c>
      <c r="N22" s="6" t="inlineStr">
        <is>
          <t>Total Cash Required</t>
        </is>
      </c>
      <c r="P22" s="264">
        <f>IFERROR(SUM(P14:P18)+P21, "n/a")</f>
        <v/>
      </c>
    </row>
    <row r="23">
      <c r="B23" s="6" t="inlineStr">
        <is>
          <t>Closing Costs (Non-Financing)</t>
        </is>
      </c>
      <c r="D23" s="263">
        <f>IFERROR(700+IF(D11=1, 0, IF(D11&lt;5, (D11-1)*300, (D11-1)*120))+995+394+50+IF(D22="Yes", 800, 0)+(0.0025*D17), "n/a")</f>
        <v/>
      </c>
      <c r="N23" s="6" t="inlineStr">
        <is>
          <t>All-In Transaction Size</t>
        </is>
      </c>
      <c r="P23" s="263">
        <f>IFERROR(LoanAmount+P22, "n/a")</f>
        <v/>
      </c>
    </row>
    <row r="24" ht="15" customHeight="1">
      <c r="F24" s="6" t="inlineStr">
        <is>
          <t>DSCR (Comprehensive)</t>
        </is>
      </c>
      <c r="G24" s="269">
        <f>IFERROR(G19/-G20, "n/a")</f>
        <v/>
      </c>
      <c r="H24" s="270" t="n"/>
      <c r="J24" s="6" t="inlineStr">
        <is>
          <t>DSCR (Comprehensive)</t>
        </is>
      </c>
      <c r="K24" s="269">
        <f>IFERROR(K19/-K20, "n/a")</f>
        <v/>
      </c>
      <c r="L24" s="270" t="n"/>
    </row>
    <row r="25" ht="15.75" customHeight="1" thickBot="1">
      <c r="B25" s="193" t="inlineStr">
        <is>
          <t>Offer Structure Assumptions (% of Cost)</t>
        </is>
      </c>
      <c r="C25" s="232" t="n"/>
      <c r="D25" s="232" t="n"/>
      <c r="F25" s="6" t="inlineStr">
        <is>
          <t>DSCR (Lender)</t>
        </is>
      </c>
      <c r="G25" s="269">
        <f>IFERROR((G8+G13+G14)/-G20, "n/a")</f>
        <v/>
      </c>
      <c r="H25" s="270" t="n"/>
      <c r="J25" s="6" t="inlineStr">
        <is>
          <t>DSCR (Lender)</t>
        </is>
      </c>
      <c r="K25" s="269">
        <f>IFERROR((K8+K13+K14)/-K20, "n/a")</f>
        <v/>
      </c>
      <c r="L25" s="270" t="n"/>
      <c r="N25" s="157" t="inlineStr">
        <is>
          <t>Qualitative Notes</t>
        </is>
      </c>
      <c r="O25" s="158" t="n"/>
      <c r="P25" s="158" t="n"/>
      <c r="R25" s="268" t="n"/>
    </row>
    <row r="26">
      <c r="A26" s="131" t="inlineStr">
        <is>
          <t>x</t>
        </is>
      </c>
      <c r="B26" s="1" t="inlineStr">
        <is>
          <t>Repairs by Seller Pre-Closing</t>
        </is>
      </c>
      <c r="D26" s="247" t="n">
        <v>0</v>
      </c>
      <c r="F26" s="6" t="inlineStr">
        <is>
          <t>Cash on Cash (Comprehensive)</t>
        </is>
      </c>
      <c r="G26" s="137">
        <f>IFERROR((G21*12)/$P$22, "n/a")</f>
        <v/>
      </c>
      <c r="J26" s="6" t="inlineStr">
        <is>
          <t>Cash on Cash (Comprehensive)</t>
        </is>
      </c>
      <c r="K26" s="137">
        <f>IFERROR((K21*12)/$P$22, "n/a")</f>
        <v/>
      </c>
      <c r="N26" s="195" t="inlineStr">
        <is>
          <t>-X</t>
        </is>
      </c>
    </row>
    <row r="27">
      <c r="A27" s="131" t="inlineStr">
        <is>
          <t>x</t>
        </is>
      </c>
      <c r="B27" s="1" t="inlineStr">
        <is>
          <t>Agent Fee Paid by Seller (% of PP)</t>
        </is>
      </c>
      <c r="D27" s="21" t="n">
        <v>0.025</v>
      </c>
      <c r="F27" s="6" t="inlineStr">
        <is>
          <t>Cash on Cash (Routine Month)</t>
        </is>
      </c>
      <c r="G27" s="137">
        <f>IFERROR((G22*12)/$P$22, "n/a")</f>
        <v/>
      </c>
      <c r="J27" s="6" t="inlineStr">
        <is>
          <t>Cash on Cash (Routine Month)</t>
        </is>
      </c>
      <c r="K27" s="137">
        <f>IFERROR((K22*12)/$P$22, "n/a")</f>
        <v/>
      </c>
    </row>
    <row r="28">
      <c r="A28" s="131" t="inlineStr">
        <is>
          <t>x</t>
        </is>
      </c>
      <c r="B28" s="1" t="inlineStr">
        <is>
          <t>Seller Concessions</t>
        </is>
      </c>
      <c r="D28" s="247" t="n">
        <v>0</v>
      </c>
      <c r="G28" s="204" t="n"/>
      <c r="H28" s="204" t="n"/>
      <c r="K28" s="204" t="n"/>
      <c r="L28" s="204" t="n"/>
    </row>
    <row r="29">
      <c r="B29" s="6" t="inlineStr">
        <is>
          <t>Seller Concessions / PP</t>
        </is>
      </c>
      <c r="D29" s="137">
        <f>IFERROR(D28/D17, "n/a")</f>
        <v/>
      </c>
      <c r="F29" s="6" t="inlineStr">
        <is>
          <t>Cap Rate</t>
        </is>
      </c>
      <c r="G29" s="137">
        <f>IFERROR((G19*12)/$D$17, "n/a")</f>
        <v/>
      </c>
      <c r="H29" s="178">
        <f>IFERROR((G19*12)/$P$23, "n/a")</f>
        <v/>
      </c>
      <c r="J29" s="6" t="inlineStr">
        <is>
          <t>Cap Rate</t>
        </is>
      </c>
      <c r="K29" s="137">
        <f>IFERROR((K19*12)/$D$17, "n/a")</f>
        <v/>
      </c>
      <c r="L29" s="178">
        <f>IFERROR((K19*12)/$P$23, "n/a")</f>
        <v/>
      </c>
    </row>
    <row r="30">
      <c r="B30" s="6" t="inlineStr">
        <is>
          <t>Net Offer Amount</t>
        </is>
      </c>
      <c r="D30" s="263">
        <f>IFERROR(D17-(D26+(D27*D17)+D28), "n/a")</f>
        <v/>
      </c>
      <c r="F30" s="1" t="inlineStr">
        <is>
          <t>Loan Factor Rate</t>
        </is>
      </c>
      <c r="G30" s="179">
        <f>IFERROR((G20*12)/$P$12, "n/a")</f>
        <v/>
      </c>
      <c r="J30" s="1" t="inlineStr">
        <is>
          <t>Loan Factor Rate</t>
        </is>
      </c>
      <c r="K30" s="179">
        <f>IFERROR((K20*12)/$P$12, "n/a")</f>
        <v/>
      </c>
      <c r="L30" s="180" t="n"/>
    </row>
    <row r="31">
      <c r="B31" s="6" t="inlineStr">
        <is>
          <t>Net Offer Amount Discount</t>
        </is>
      </c>
      <c r="D31" s="137">
        <f>IFERROR(($D$7-D30)/$D$7, "n/a")</f>
        <v/>
      </c>
      <c r="F31" s="14" t="inlineStr">
        <is>
          <t>Spread</t>
        </is>
      </c>
      <c r="G31" s="137">
        <f>IFERROR(G29+G30, "n/a")</f>
        <v/>
      </c>
      <c r="J31" s="14" t="inlineStr">
        <is>
          <t>Spread</t>
        </is>
      </c>
      <c r="K31" s="137">
        <f>IFERROR(K29+K30, "n/a")</f>
        <v/>
      </c>
      <c r="L31" s="180" t="n"/>
    </row>
    <row r="32"/>
    <row r="33" ht="15.75" customHeight="1" thickBot="1">
      <c r="B33" s="193" t="inlineStr">
        <is>
          <t>Debt Assumptions</t>
        </is>
      </c>
      <c r="C33" s="232" t="n"/>
      <c r="D33" s="232" t="n"/>
      <c r="G33" s="228" t="n"/>
    </row>
    <row r="34">
      <c r="B34" s="1" t="inlineStr">
        <is>
          <t>LTPP</t>
        </is>
      </c>
      <c r="D34" s="20" t="n">
        <v>0.75</v>
      </c>
    </row>
    <row r="35">
      <c r="A35" s="131" t="inlineStr">
        <is>
          <t>x</t>
        </is>
      </c>
      <c r="B35" s="1" t="inlineStr">
        <is>
          <t>Base Interest Rate</t>
        </is>
      </c>
      <c r="D35" s="271" t="n">
        <v>0.0725</v>
      </c>
    </row>
    <row r="36">
      <c r="A36" s="131" t="inlineStr">
        <is>
          <t>x</t>
        </is>
      </c>
      <c r="B36" s="1" t="inlineStr">
        <is>
          <t>Discount Points</t>
        </is>
      </c>
      <c r="D36" s="4" t="n">
        <v>0</v>
      </c>
    </row>
    <row r="37">
      <c r="A37" s="131" t="inlineStr">
        <is>
          <t>x</t>
        </is>
      </c>
      <c r="B37" s="1" t="inlineStr">
        <is>
          <t>Cost per Point (% of Loan)</t>
        </is>
      </c>
      <c r="D37" s="46">
        <f>IFERROR((T13/R13)/LoanAmount, "n/a")</f>
        <v/>
      </c>
    </row>
    <row r="38">
      <c r="B38" s="1" t="inlineStr">
        <is>
          <t>Rate Reduction per Point</t>
        </is>
      </c>
      <c r="D38" s="271" t="n">
        <v>0.00125</v>
      </c>
    </row>
    <row r="39">
      <c r="B39" s="6" t="inlineStr">
        <is>
          <t>Final Interest Rate</t>
        </is>
      </c>
      <c r="D39" s="272">
        <f>D35-(D36*D38)</f>
        <v/>
      </c>
    </row>
    <row r="40">
      <c r="B40" s="6" t="inlineStr">
        <is>
          <t>Total Rate Buydown Cost</t>
        </is>
      </c>
      <c r="D40" s="263">
        <f>IFERROR(D36*(D37*P12), "n/a")</f>
        <v/>
      </c>
    </row>
    <row r="41">
      <c r="B41" s="1" t="inlineStr">
        <is>
          <t>Amortization (Years)</t>
        </is>
      </c>
      <c r="D41" s="4" t="n">
        <v>30</v>
      </c>
    </row>
    <row r="42">
      <c r="B42" s="6" t="inlineStr">
        <is>
          <t>Monthly Payment</t>
        </is>
      </c>
      <c r="D42" s="263">
        <f>IFERROR(PMT(D39/12,D41*12,-P12), "n/a")</f>
        <v/>
      </c>
    </row>
    <row r="43">
      <c r="B43" s="1" t="inlineStr">
        <is>
          <t>Interest Only (IO)?</t>
        </is>
      </c>
      <c r="D43" s="46" t="inlineStr">
        <is>
          <t>No</t>
        </is>
      </c>
    </row>
    <row r="44">
      <c r="B44" s="1" t="inlineStr">
        <is>
          <t>IO Duration</t>
        </is>
      </c>
      <c r="D44" s="4" t="n">
        <v>0</v>
      </c>
    </row>
    <row r="45">
      <c r="B45" s="1" t="inlineStr">
        <is>
          <t>IO Monthly Payment</t>
        </is>
      </c>
      <c r="D45" s="234">
        <f>IF(D43="Yes",($D$35*$P$12)/12,"n/a")</f>
        <v/>
      </c>
    </row>
    <row r="46">
      <c r="B46" s="1" t="inlineStr">
        <is>
          <t>Variable Loan Fee (%)</t>
        </is>
      </c>
      <c r="D46" s="21">
        <f>8535/506250</f>
        <v/>
      </c>
    </row>
    <row r="47">
      <c r="B47" s="6" t="inlineStr">
        <is>
          <t>Variable Loan Fee</t>
        </is>
      </c>
      <c r="D47" s="263">
        <f>IFERROR(P12*D46, "n/a")</f>
        <v/>
      </c>
    </row>
    <row r="48">
      <c r="A48" s="131" t="inlineStr">
        <is>
          <t>x</t>
        </is>
      </c>
      <c r="B48" s="1" t="inlineStr">
        <is>
          <t>Signors on Loan</t>
        </is>
      </c>
      <c r="D48" s="4" t="n">
        <v>5</v>
      </c>
    </row>
    <row r="49">
      <c r="B49" s="6" t="inlineStr">
        <is>
          <t>Fixed Loan Fees</t>
        </is>
      </c>
      <c r="D49" s="263">
        <f>1495+695+1000+300+(D48*350)</f>
        <v/>
      </c>
    </row>
    <row r="50"/>
    <row r="51" ht="15.75" customHeight="1" thickBot="1">
      <c r="B51" s="193" t="inlineStr">
        <is>
          <t>Additional Capital Assumptions</t>
        </is>
      </c>
      <c r="C51" s="232" t="n"/>
      <c r="D51" s="232" t="n"/>
      <c r="E51" s="273" t="n"/>
    </row>
    <row r="52">
      <c r="A52" s="131" t="inlineStr">
        <is>
          <t>x</t>
        </is>
      </c>
      <c r="B52" s="1" t="inlineStr">
        <is>
          <t>Rehab &amp; Contingency</t>
        </is>
      </c>
      <c r="D52" s="274" t="n">
        <v>250</v>
      </c>
    </row>
    <row r="53">
      <c r="B53" s="1" t="inlineStr">
        <is>
          <t>Initial Tenant Placement Fee</t>
        </is>
      </c>
      <c r="D53" s="247" t="n">
        <v>0</v>
      </c>
    </row>
    <row r="54">
      <c r="D54" s="247" t="n"/>
    </row>
    <row r="55" ht="15.75" customHeight="1" thickBot="1">
      <c r="B55" s="193" t="inlineStr">
        <is>
          <t>Income/Rent Assumptions</t>
        </is>
      </c>
      <c r="C55" s="232" t="n"/>
      <c r="D55" s="232" t="n"/>
    </row>
    <row r="56">
      <c r="A56" s="131" t="inlineStr">
        <is>
          <t>x</t>
        </is>
      </c>
      <c r="B56" s="1" t="inlineStr">
        <is>
          <t>In-Place Rent</t>
        </is>
      </c>
      <c r="D56" s="247" t="n">
        <v>0</v>
      </c>
    </row>
    <row r="57">
      <c r="A57" s="131" t="inlineStr">
        <is>
          <t>x</t>
        </is>
      </c>
      <c r="B57" s="1" t="inlineStr">
        <is>
          <t>Stabalization Month</t>
        </is>
      </c>
      <c r="D57" s="139" t="n">
        <v>3</v>
      </c>
    </row>
    <row r="58">
      <c r="A58" s="131" t="inlineStr">
        <is>
          <t>x</t>
        </is>
      </c>
      <c r="B58" s="1" t="inlineStr">
        <is>
          <t>Estimate #1 - RentCast</t>
        </is>
      </c>
      <c r="D58" s="247" t="inlineStr">
        <is>
          <t>$x</t>
        </is>
      </c>
    </row>
    <row r="59">
      <c r="A59" s="131" t="inlineStr">
        <is>
          <t>x</t>
        </is>
      </c>
      <c r="B59" s="1" t="inlineStr">
        <is>
          <t>Estimate #2 - Redfin</t>
        </is>
      </c>
      <c r="D59" s="247" t="inlineStr">
        <is>
          <t>$x</t>
        </is>
      </c>
    </row>
    <row r="60">
      <c r="A60" s="131" t="inlineStr">
        <is>
          <t>x</t>
        </is>
      </c>
      <c r="B60" s="1" t="inlineStr">
        <is>
          <t>Estimate #3 - Zillow</t>
        </is>
      </c>
      <c r="D60" s="247" t="inlineStr">
        <is>
          <t>$x</t>
        </is>
      </c>
    </row>
    <row r="61">
      <c r="A61" s="131" t="inlineStr">
        <is>
          <t>x</t>
        </is>
      </c>
      <c r="B61" s="1" t="inlineStr">
        <is>
          <t>Estimate #4 - Previous Listings</t>
        </is>
      </c>
      <c r="D61" s="247" t="inlineStr">
        <is>
          <t>$x</t>
        </is>
      </c>
    </row>
    <row r="62">
      <c r="A62" s="131" t="inlineStr">
        <is>
          <t>x</t>
        </is>
      </c>
      <c r="B62" s="1" t="inlineStr">
        <is>
          <t>Manual Adjustment</t>
        </is>
      </c>
      <c r="D62" s="247" t="inlineStr">
        <is>
          <t>$x</t>
        </is>
      </c>
    </row>
    <row r="63">
      <c r="A63" s="1" t="n"/>
      <c r="B63" s="6" t="inlineStr">
        <is>
          <t>Stabalized Rent</t>
        </is>
      </c>
      <c r="D63" s="263">
        <f>IFERROR(AVERAGE(D58:D62), "$x")</f>
        <v/>
      </c>
    </row>
    <row r="64">
      <c r="A64" s="1" t="n"/>
      <c r="B64" s="6" t="inlineStr">
        <is>
          <t>Rent / Square Foot</t>
        </is>
      </c>
      <c r="D64" s="275">
        <f>IFERROR(D63/D10,"n/a")</f>
        <v/>
      </c>
    </row>
    <row r="65">
      <c r="A65" s="1" t="n"/>
      <c r="B65" s="6" t="inlineStr">
        <is>
          <t>Income / All-In Cost</t>
        </is>
      </c>
      <c r="D65" s="137">
        <f>IFERROR(D63/P23, "n/a")</f>
        <v/>
      </c>
    </row>
    <row r="66"/>
    <row r="67" ht="15.75" customHeight="1" thickBot="1">
      <c r="B67" s="193" t="inlineStr">
        <is>
          <t>Property Tax Assumptions</t>
        </is>
      </c>
      <c r="C67" s="232" t="n"/>
      <c r="D67" s="232" t="n"/>
    </row>
    <row r="68">
      <c r="A68" s="131" t="inlineStr">
        <is>
          <t>x</t>
        </is>
      </c>
      <c r="B68" s="1" t="inlineStr">
        <is>
          <t>Assessment Ratio</t>
        </is>
      </c>
      <c r="D68" s="276" t="n">
        <v>1</v>
      </c>
    </row>
    <row r="69">
      <c r="A69" s="131" t="inlineStr">
        <is>
          <t>x</t>
        </is>
      </c>
      <c r="B69" s="1" t="inlineStr">
        <is>
          <t>Millage Rate</t>
        </is>
      </c>
      <c r="D69" s="277" t="n">
        <v>7.7</v>
      </c>
    </row>
    <row r="70">
      <c r="A70" s="131" t="inlineStr">
        <is>
          <t>x</t>
        </is>
      </c>
      <c r="B70" s="1" t="inlineStr">
        <is>
          <t>Current Assessed Value</t>
        </is>
      </c>
      <c r="D70" s="247" t="inlineStr">
        <is>
          <t>$x</t>
        </is>
      </c>
    </row>
    <row r="71">
      <c r="A71" s="131" t="inlineStr">
        <is>
          <t>x</t>
        </is>
      </c>
      <c r="B71" s="1" t="inlineStr">
        <is>
          <t>Year of Next Reassessment</t>
        </is>
      </c>
      <c r="D71" s="4" t="n">
        <v>2027</v>
      </c>
    </row>
    <row r="72">
      <c r="A72" s="131" t="inlineStr">
        <is>
          <t>x</t>
        </is>
      </c>
      <c r="B72" s="1" t="inlineStr">
        <is>
          <t>Reassessment Frequency (Years)</t>
        </is>
      </c>
      <c r="D72" s="277" t="n">
        <v>4</v>
      </c>
    </row>
    <row r="73">
      <c r="B73" s="6" t="inlineStr">
        <is>
          <t>Effective Tax Rate</t>
        </is>
      </c>
      <c r="D73" s="137">
        <f>IFERROR(-(G13*12)/D17, "n/a")</f>
        <v/>
      </c>
    </row>
    <row r="74"/>
    <row r="75" ht="15.75" customHeight="1" thickBot="1">
      <c r="B75" s="193" t="inlineStr">
        <is>
          <t>Property Insurance Assumptions</t>
        </is>
      </c>
      <c r="C75" s="232" t="n"/>
      <c r="D75" s="232" t="n"/>
    </row>
    <row r="76">
      <c r="B76" s="1" t="inlineStr">
        <is>
          <t>Rebuild Cost / SF</t>
        </is>
      </c>
      <c r="D76" s="247" t="n">
        <v>150</v>
      </c>
    </row>
    <row r="77">
      <c r="B77" s="1" t="inlineStr">
        <is>
          <t>Annual Premium / $100 of Coverage</t>
        </is>
      </c>
      <c r="D77" s="278" t="n">
        <v>0.65</v>
      </c>
    </row>
    <row r="78">
      <c r="B78" s="1" t="inlineStr">
        <is>
          <t>Multi-Unit Adjustment</t>
        </is>
      </c>
      <c r="D78" s="279">
        <f>IFERROR(MIN(0.3, (0.1*LN($D$11))), "n/a")</f>
        <v/>
      </c>
    </row>
    <row r="79">
      <c r="B79" s="1" t="inlineStr">
        <is>
          <t>Age Adjustment</t>
        </is>
      </c>
      <c r="D79" s="279">
        <f>IFERROR(MIN(0.3, (0.15*((YEAR(TODAY())-$D$6)/40))), "n/a")</f>
        <v/>
      </c>
    </row>
    <row r="80">
      <c r="A80" s="131" t="inlineStr">
        <is>
          <t>x</t>
        </is>
      </c>
      <c r="B80" s="1" t="inlineStr">
        <is>
          <t>Property-Specific Adjustment</t>
        </is>
      </c>
      <c r="D80" s="280" t="n">
        <v>0</v>
      </c>
    </row>
    <row r="81"/>
    <row r="82" ht="15.75" customHeight="1" thickBot="1">
      <c r="B82" s="193" t="inlineStr">
        <is>
          <t>Maintenance Assumptions</t>
        </is>
      </c>
      <c r="C82" s="232" t="n"/>
      <c r="D82" s="232" t="n"/>
    </row>
    <row r="83">
      <c r="A83" s="131" t="inlineStr">
        <is>
          <t>x</t>
        </is>
      </c>
      <c r="B83" s="1" t="inlineStr">
        <is>
          <t>Annual Cost / SF</t>
        </is>
      </c>
      <c r="D83" s="278" t="n">
        <v>0.8</v>
      </c>
    </row>
    <row r="84">
      <c r="A84" s="131" t="inlineStr">
        <is>
          <t>x</t>
        </is>
      </c>
      <c r="B84" s="1" t="inlineStr">
        <is>
          <t>Additional Annual Cost / Unit</t>
        </is>
      </c>
      <c r="D84" s="247" t="n">
        <v>250</v>
      </c>
    </row>
    <row r="85">
      <c r="B85" s="6" t="inlineStr">
        <is>
          <t>Cumulative Annual Cost / SF</t>
        </is>
      </c>
      <c r="D85" s="275">
        <f>IFERROR(-(G17*12)/D10, "n/a")</f>
        <v/>
      </c>
    </row>
    <row r="86"/>
    <row r="87" ht="15.75" customHeight="1" thickBot="1">
      <c r="B87" s="193" t="inlineStr">
        <is>
          <t>Other Monthly Expense Assumptions</t>
        </is>
      </c>
      <c r="C87" s="232" t="n"/>
      <c r="D87" s="232" t="n"/>
    </row>
    <row r="88">
      <c r="A88" s="131" t="inlineStr">
        <is>
          <t>x</t>
        </is>
      </c>
      <c r="B88" s="1" t="inlineStr">
        <is>
          <t>Vacancy Rate</t>
        </is>
      </c>
      <c r="D88" s="256" t="n">
        <v>0.05</v>
      </c>
    </row>
    <row r="89">
      <c r="A89" s="131" t="inlineStr">
        <is>
          <t>x</t>
        </is>
      </c>
      <c r="B89" s="1" t="inlineStr">
        <is>
          <t>Management Fee (% of Rent)</t>
        </is>
      </c>
      <c r="D89" s="256" t="n">
        <v>0.08</v>
      </c>
    </row>
    <row r="90">
      <c r="A90" s="131" t="inlineStr">
        <is>
          <t>x</t>
        </is>
      </c>
      <c r="B90" s="1" t="inlineStr">
        <is>
          <t>Utilities &amp; HOA Dues</t>
        </is>
      </c>
      <c r="D90" s="247" t="n">
        <v>0</v>
      </c>
      <c r="E90" s="58" t="n"/>
    </row>
    <row r="91">
      <c r="B91" s="1" t="inlineStr">
        <is>
          <t>Tenant Incentives/Concessions</t>
        </is>
      </c>
      <c r="D91" s="247" t="n">
        <v>0</v>
      </c>
    </row>
    <row r="92">
      <c r="B92" s="1" t="inlineStr">
        <is>
          <t>Advertising, Admin &amp; Payroll</t>
        </is>
      </c>
      <c r="D92" s="247" t="n">
        <v>0</v>
      </c>
      <c r="E92" s="58" t="n"/>
    </row>
    <row r="93"/>
    <row r="94" ht="15.75" customHeight="1" thickBot="1">
      <c r="B94" s="193" t="inlineStr">
        <is>
          <t>Annualized Growth Assumptions</t>
        </is>
      </c>
      <c r="C94" s="232" t="n"/>
      <c r="D94" s="232" t="n"/>
    </row>
    <row r="95">
      <c r="A95" s="131" t="inlineStr">
        <is>
          <t>x</t>
        </is>
      </c>
      <c r="B95" s="1" t="inlineStr">
        <is>
          <t>Income/Rental Growth</t>
        </is>
      </c>
      <c r="D95" s="21" t="n">
        <v>0.025</v>
      </c>
    </row>
    <row r="96">
      <c r="A96" s="131" t="inlineStr">
        <is>
          <t>x</t>
        </is>
      </c>
      <c r="B96" s="1" t="inlineStr">
        <is>
          <t>Expense Growth</t>
        </is>
      </c>
      <c r="D96" s="21" t="n">
        <v>0.025</v>
      </c>
    </row>
    <row r="97">
      <c r="A97" s="131" t="inlineStr">
        <is>
          <t>x</t>
        </is>
      </c>
      <c r="B97" s="1" t="inlineStr">
        <is>
          <t>Price Appreciation</t>
        </is>
      </c>
      <c r="D97" s="21" t="n">
        <v>0.055</v>
      </c>
    </row>
    <row r="98">
      <c r="A98" s="131" t="inlineStr">
        <is>
          <t>x</t>
        </is>
      </c>
      <c r="B98" s="1" t="inlineStr">
        <is>
          <t>Tax Value Appreciation</t>
        </is>
      </c>
      <c r="D98" s="21" t="n">
        <v>0.04</v>
      </c>
    </row>
    <row r="99">
      <c r="A99" s="131" t="inlineStr">
        <is>
          <t>x</t>
        </is>
      </c>
      <c r="B99" s="1" t="inlineStr">
        <is>
          <t>Millage Rate Growth</t>
        </is>
      </c>
      <c r="D99" s="21" t="n">
        <v>0.0075</v>
      </c>
    </row>
    <row r="100">
      <c r="D100" s="20" t="n"/>
    </row>
    <row r="101" ht="15.75" customHeight="1" thickBot="1">
      <c r="B101" s="193" t="inlineStr">
        <is>
          <t>Exit Assumptions</t>
        </is>
      </c>
      <c r="C101" s="232" t="n"/>
      <c r="D101" s="232" t="n"/>
    </row>
    <row r="102">
      <c r="A102" s="131" t="inlineStr">
        <is>
          <t>x</t>
        </is>
      </c>
      <c r="B102" s="1" t="inlineStr">
        <is>
          <t>Exit Month</t>
        </is>
      </c>
      <c r="D102" s="4" t="n">
        <v>96</v>
      </c>
    </row>
    <row r="103">
      <c r="B103" s="1" t="inlineStr">
        <is>
          <t>Exit Year NOI</t>
        </is>
      </c>
      <c r="D103" s="281">
        <f>IFERROR(SUM(OFFSET(INDEX('Monthly Proforma'!$D$22:$DT$22,0,MATCH(D102,'Monthly Proforma'!$D$8:$DT$8,0)-11),,,,12)), "n/a")</f>
        <v/>
      </c>
    </row>
    <row r="104">
      <c r="B104" s="6" t="inlineStr">
        <is>
          <t>Exit Cap Rate</t>
        </is>
      </c>
      <c r="D104" s="137">
        <f>IFERROR(D103/O5, "n/a")</f>
        <v/>
      </c>
    </row>
    <row r="105">
      <c r="A105" s="131" t="inlineStr">
        <is>
          <t>x</t>
        </is>
      </c>
      <c r="B105" s="1" t="inlineStr">
        <is>
          <t>Selling Costs (% of Sale Price)</t>
        </is>
      </c>
      <c r="D105" s="21">
        <f>0.05 + 0.015 + 0 + 0.005</f>
        <v/>
      </c>
    </row>
    <row r="106">
      <c r="B106" s="6" t="inlineStr">
        <is>
          <t>Net Sale Proceeds</t>
        </is>
      </c>
      <c r="D106" s="263">
        <f>IFERROR(O5*(1-D105), "n/a")</f>
        <v/>
      </c>
    </row>
    <row r="107"/>
    <row r="108">
      <c r="B108" s="151" t="inlineStr">
        <is>
          <t>Not included in Deal Level Return calculations!</t>
        </is>
      </c>
    </row>
    <row r="109" ht="15.75" customHeight="1" thickBot="1">
      <c r="B109" s="193" t="inlineStr">
        <is>
          <t>Refinance Assumptions</t>
        </is>
      </c>
      <c r="C109" s="232" t="n"/>
      <c r="D109" s="232" t="n"/>
    </row>
    <row r="110">
      <c r="B110" s="1" t="inlineStr">
        <is>
          <t>Refinance Month</t>
        </is>
      </c>
      <c r="D110" s="4" t="n">
        <v>60</v>
      </c>
    </row>
    <row r="111">
      <c r="B111" s="1" t="inlineStr">
        <is>
          <t>Refinance Year</t>
        </is>
      </c>
      <c r="D111" s="282">
        <f>D110/12</f>
        <v/>
      </c>
    </row>
    <row r="112">
      <c r="B112" s="1" t="inlineStr">
        <is>
          <t>Refinance Year NOI</t>
        </is>
      </c>
      <c r="D112" s="281">
        <f>IFERROR(SUM(OFFSET(INDEX('Monthly Proforma'!$D$22:$DT$22,0,MATCH(D110,'Monthly Proforma'!$D$8:$DT$8,0)-11),,,,12)), "n/a")</f>
        <v/>
      </c>
    </row>
    <row r="113">
      <c r="B113" s="1" t="inlineStr">
        <is>
          <t>Refinance Cap Rate</t>
        </is>
      </c>
      <c r="D113" s="176">
        <f>D104</f>
        <v/>
      </c>
    </row>
    <row r="114">
      <c r="B114" s="1" t="inlineStr">
        <is>
          <t>Value at Refinance</t>
        </is>
      </c>
      <c r="D114" s="281">
        <f>IFERROR(D17*((1+D97)^(D110/12)), "n/a")</f>
        <v/>
      </c>
    </row>
    <row r="115">
      <c r="B115" s="1" t="inlineStr">
        <is>
          <t>LTV</t>
        </is>
      </c>
      <c r="D115" s="20" t="n">
        <v>0.8</v>
      </c>
    </row>
    <row r="116">
      <c r="B116" s="1" t="inlineStr">
        <is>
          <t>Loan Amount</t>
        </is>
      </c>
      <c r="D116" s="281">
        <f>IFERROR(D114*D115, "n/a")</f>
        <v/>
      </c>
    </row>
    <row r="117">
      <c r="B117" s="6" t="inlineStr">
        <is>
          <t>Refinance Proceeds</t>
        </is>
      </c>
      <c r="D117" s="263">
        <f>IFERROR(D116-P12, "n/a")</f>
        <v/>
      </c>
    </row>
    <row r="118">
      <c r="B118" s="1" t="inlineStr">
        <is>
          <t>Refinance  Year</t>
        </is>
      </c>
      <c r="D118" s="1">
        <f>D110/12</f>
        <v/>
      </c>
    </row>
    <row r="119">
      <c r="B119" s="1" t="inlineStr">
        <is>
          <t>Interest Rate</t>
        </is>
      </c>
      <c r="D119" s="271">
        <f>D35-0.01</f>
        <v/>
      </c>
    </row>
    <row r="120">
      <c r="B120" s="1" t="inlineStr">
        <is>
          <t>Amortization (Years)</t>
        </is>
      </c>
      <c r="D120" s="4" t="n">
        <v>30</v>
      </c>
    </row>
    <row r="121">
      <c r="B121" s="6" t="inlineStr">
        <is>
          <t>New Monthly Payment</t>
        </is>
      </c>
      <c r="D121" s="263">
        <f>IFERROR(PMT(D119/12,D120*12,-D116), "n/a")</f>
        <v/>
      </c>
    </row>
  </sheetData>
  <mergeCells count="18">
    <mergeCell ref="B33:D33"/>
    <mergeCell ref="W16:Y19"/>
    <mergeCell ref="B67:D67"/>
    <mergeCell ref="B94:D94"/>
    <mergeCell ref="B109:D109"/>
    <mergeCell ref="O5:P5"/>
    <mergeCell ref="B101:D101"/>
    <mergeCell ref="O4:P4"/>
    <mergeCell ref="B25:D25"/>
    <mergeCell ref="B16:D16"/>
    <mergeCell ref="B2:D2"/>
    <mergeCell ref="N26:P113"/>
    <mergeCell ref="B82:D82"/>
    <mergeCell ref="B75:D75"/>
    <mergeCell ref="R16:T20"/>
    <mergeCell ref="B55:D55"/>
    <mergeCell ref="B87:D87"/>
    <mergeCell ref="B51:D51"/>
  </mergeCells>
  <conditionalFormatting sqref="W5:W15">
    <cfRule type="colorScale" priority="1">
      <colorScale>
        <cfvo type="min"/>
        <cfvo type="percentile" val="50"/>
        <cfvo type="max"/>
        <color rgb="FFF8696B"/>
        <color rgb="FFFFEB84"/>
        <color rgb="FF63BE7B"/>
      </colorScale>
    </cfRule>
  </conditionalFormatting>
  <dataValidations count="1">
    <dataValidation sqref="D22 D43" showDropDown="0" showInputMessage="1" showErrorMessage="1" allowBlank="1" type="list">
      <formula1>"Yes, No"</formula1>
    </dataValidation>
  </dataValidations>
  <pageMargins left="0.25" right="0.25" top="0.25" bottom="0.25" header="0.25" footer="0.25"/>
  <pageSetup orientation="landscape" scale="48"/>
  <headerFooter>
    <oddHeader/>
    <oddFooter>&amp;C&amp;"Aptos"&amp;10 &amp;K000000_x000d_# Barings-Public</oddFooter>
    <evenHeader/>
    <evenFooter/>
    <firstHeader/>
    <firstFooter/>
  </headerFooter>
  <colBreaks count="1" manualBreakCount="1">
    <brk id="14" min="0" max="1048575" man="1"/>
  </col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4.25"/>
  <cols>
    <col width="15.25" bestFit="1" customWidth="1" min="1" max="1"/>
  </cols>
  <sheetData>
    <row r="1">
      <c r="A1" t="inlineStr">
        <is>
          <t>Single Family</t>
        </is>
      </c>
      <c r="B1" t="inlineStr">
        <is>
          <t>A</t>
        </is>
      </c>
    </row>
    <row r="2">
      <c r="A2" t="inlineStr">
        <is>
          <t>Multi-Family</t>
        </is>
      </c>
      <c r="B2" t="inlineStr">
        <is>
          <t>B</t>
        </is>
      </c>
    </row>
    <row r="3">
      <c r="A3" t="inlineStr">
        <is>
          <t>Townhouse</t>
        </is>
      </c>
      <c r="B3" t="inlineStr">
        <is>
          <t>C</t>
        </is>
      </c>
    </row>
    <row r="4">
      <c r="A4" t="inlineStr">
        <is>
          <t>Manufactured</t>
        </is>
      </c>
    </row>
    <row r="5">
      <c r="A5" t="inlineStr">
        <is>
          <t>Condo/Apartment</t>
        </is>
      </c>
    </row>
  </sheetData>
  <pageMargins left="0.7" right="0.7" top="0.75" bottom="0.75" header="0.3" footer="0.3"/>
  <headerFooter>
    <oddHeader/>
    <oddFooter>&amp;C&amp;"Aptos"&amp;10 &amp;K000000_x000d_# Barings-Public</oddFooter>
    <evenHeader/>
    <evenFooter/>
    <firstHeader/>
    <firstFooter/>
  </headerFooter>
</worksheet>
</file>

<file path=xl/worksheets/sheet4.xml><?xml version="1.0" encoding="utf-8"?>
<worksheet xmlns="http://schemas.openxmlformats.org/spreadsheetml/2006/main">
  <sheetPr>
    <tabColor theme="5"/>
    <outlinePr summaryBelow="1" summaryRight="1"/>
    <pageSetUpPr/>
  </sheetPr>
  <dimension ref="B1:DT68"/>
  <sheetViews>
    <sheetView showGridLines="0" zoomScale="90" zoomScaleNormal="90" workbookViewId="0">
      <pane xSplit="4" ySplit="8" topLeftCell="E9" activePane="bottomRight" state="frozen"/>
      <selection pane="topRight" activeCell="G1" sqref="G1"/>
      <selection pane="bottomLeft" activeCell="A5" sqref="A5"/>
      <selection pane="bottomRight" activeCell="E9" sqref="E9"/>
    </sheetView>
  </sheetViews>
  <sheetFormatPr baseColWidth="8" defaultColWidth="9" defaultRowHeight="15"/>
  <cols>
    <col width="5.875" customWidth="1" style="1" min="1" max="1"/>
    <col width="28.625" customWidth="1" style="1" min="2" max="2"/>
    <col width="12.375" bestFit="1" customWidth="1" style="1" min="3" max="3"/>
    <col width="11.5" bestFit="1" customWidth="1" style="1" min="4" max="4"/>
    <col width="10" bestFit="1" customWidth="1" style="1" min="5" max="60"/>
    <col width="8.875" bestFit="1" customWidth="1" style="1" min="61" max="63"/>
    <col width="9.5" bestFit="1" customWidth="1" style="1" min="64" max="99"/>
    <col width="10.25" customWidth="1" style="1" min="100" max="100"/>
    <col width="9.5" bestFit="1" customWidth="1" style="1" min="101" max="124"/>
    <col width="9" customWidth="1" style="1" min="125" max="16384"/>
  </cols>
  <sheetData>
    <row r="1">
      <c r="C1" s="153" t="inlineStr">
        <is>
          <t>Reassessment Year</t>
        </is>
      </c>
      <c r="D1" s="283">
        <f t="array" ref="D1">INDEX(E8:DT8, MATCH(1, ('Inputs &amp; Summary'!D71=YEAR(E6:DT6))*(1=MONTH(E6:DT6)), 0))</f>
        <v/>
      </c>
      <c r="E1" s="171">
        <f>IF(MOD(E$8-$D$1, (ReassessmentFreq*12))=0, "x", "")</f>
        <v/>
      </c>
      <c r="F1" s="171">
        <f>IF(MOD(F$8-$D$1, (ReassessmentFreq*12))=0, "x", "")</f>
        <v/>
      </c>
      <c r="G1" s="171">
        <f>IF(MOD(G$8-$D$1, (ReassessmentFreq*12))=0, "x", "")</f>
        <v/>
      </c>
      <c r="H1" s="171">
        <f>IF(MOD(H$8-$D$1, (ReassessmentFreq*12))=0, "x", "")</f>
        <v/>
      </c>
      <c r="I1" s="171">
        <f>IF(MOD(I$8-$D$1, (ReassessmentFreq*12))=0, "x", "")</f>
        <v/>
      </c>
      <c r="J1" s="171">
        <f>IF(MOD(J$8-$D$1, (ReassessmentFreq*12))=0, "x", "")</f>
        <v/>
      </c>
      <c r="K1" s="171">
        <f>IF(MOD(K$8-$D$1, (ReassessmentFreq*12))=0, "x", "")</f>
        <v/>
      </c>
      <c r="L1" s="171">
        <f>IF(MOD(L$8-$D$1, (ReassessmentFreq*12))=0, "x", "")</f>
        <v/>
      </c>
      <c r="M1" s="171">
        <f>IF(MOD(M$8-$D$1, (ReassessmentFreq*12))=0, "x", "")</f>
        <v/>
      </c>
      <c r="N1" s="171">
        <f>IF(MOD(N$8-$D$1, (ReassessmentFreq*12))=0, "x", "")</f>
        <v/>
      </c>
      <c r="O1" s="171">
        <f>IF(MOD(O$8-$D$1, (ReassessmentFreq*12))=0, "x", "")</f>
        <v/>
      </c>
      <c r="P1" s="171">
        <f>IF(MOD(P$8-$D$1, (ReassessmentFreq*12))=0, "x", "")</f>
        <v/>
      </c>
      <c r="Q1" s="171">
        <f>IF(MOD(Q$8-$D$1, (ReassessmentFreq*12))=0, "x", "")</f>
        <v/>
      </c>
      <c r="R1" s="171">
        <f>IF(MOD(R$8-$D$1, (ReassessmentFreq*12))=0, "x", "")</f>
        <v/>
      </c>
      <c r="S1" s="171">
        <f>IF(MOD(S$8-$D$1, (ReassessmentFreq*12))=0, "x", "")</f>
        <v/>
      </c>
      <c r="T1" s="171">
        <f>IF(MOD(T$8-$D$1, (ReassessmentFreq*12))=0, "x", "")</f>
        <v/>
      </c>
      <c r="U1" s="171">
        <f>IF(MOD(U$8-$D$1, (ReassessmentFreq*12))=0, "x", "")</f>
        <v/>
      </c>
      <c r="V1" s="171">
        <f>IF(MOD(V$8-$D$1, (ReassessmentFreq*12))=0, "x", "")</f>
        <v/>
      </c>
      <c r="W1" s="171">
        <f>IF(MOD(W$8-$D$1, (ReassessmentFreq*12))=0, "x", "")</f>
        <v/>
      </c>
      <c r="X1" s="171">
        <f>IF(MOD(X$8-$D$1, (ReassessmentFreq*12))=0, "x", "")</f>
        <v/>
      </c>
      <c r="Y1" s="171">
        <f>IF(MOD(Y$8-$D$1, (ReassessmentFreq*12))=0, "x", "")</f>
        <v/>
      </c>
      <c r="Z1" s="171">
        <f>IF(MOD(Z$8-$D$1, (ReassessmentFreq*12))=0, "x", "")</f>
        <v/>
      </c>
      <c r="AA1" s="171">
        <f>IF(MOD(AA$8-$D$1, (ReassessmentFreq*12))=0, "x", "")</f>
        <v/>
      </c>
      <c r="AB1" s="171">
        <f>IF(MOD(AB$8-$D$1, (ReassessmentFreq*12))=0, "x", "")</f>
        <v/>
      </c>
      <c r="AC1" s="171">
        <f>IF(MOD(AC$8-$D$1, (ReassessmentFreq*12))=0, "x", "")</f>
        <v/>
      </c>
      <c r="AD1" s="171">
        <f>IF(MOD(AD$8-$D$1, (ReassessmentFreq*12))=0, "x", "")</f>
        <v/>
      </c>
      <c r="AE1" s="171">
        <f>IF(MOD(AE$8-$D$1, (ReassessmentFreq*12))=0, "x", "")</f>
        <v/>
      </c>
      <c r="AF1" s="171">
        <f>IF(MOD(AF$8-$D$1, (ReassessmentFreq*12))=0, "x", "")</f>
        <v/>
      </c>
      <c r="AG1" s="171">
        <f>IF(MOD(AG$8-$D$1, (ReassessmentFreq*12))=0, "x", "")</f>
        <v/>
      </c>
      <c r="AH1" s="171">
        <f>IF(MOD(AH$8-$D$1, (ReassessmentFreq*12))=0, "x", "")</f>
        <v/>
      </c>
      <c r="AI1" s="171">
        <f>IF(MOD(AI$8-$D$1, (ReassessmentFreq*12))=0, "x", "")</f>
        <v/>
      </c>
      <c r="AJ1" s="171">
        <f>IF(MOD(AJ$8-$D$1, (ReassessmentFreq*12))=0, "x", "")</f>
        <v/>
      </c>
      <c r="AK1" s="171">
        <f>IF(MOD(AK$8-$D$1, (ReassessmentFreq*12))=0, "x", "")</f>
        <v/>
      </c>
      <c r="AL1" s="171">
        <f>IF(MOD(AL$8-$D$1, (ReassessmentFreq*12))=0, "x", "")</f>
        <v/>
      </c>
      <c r="AM1" s="171">
        <f>IF(MOD(AM$8-$D$1, (ReassessmentFreq*12))=0, "x", "")</f>
        <v/>
      </c>
      <c r="AN1" s="171">
        <f>IF(MOD(AN$8-$D$1, (ReassessmentFreq*12))=0, "x", "")</f>
        <v/>
      </c>
      <c r="AO1" s="171">
        <f>IF(MOD(AO$8-$D$1, (ReassessmentFreq*12))=0, "x", "")</f>
        <v/>
      </c>
      <c r="AP1" s="171">
        <f>IF(MOD(AP$8-$D$1, (ReassessmentFreq*12))=0, "x", "")</f>
        <v/>
      </c>
      <c r="AQ1" s="171">
        <f>IF(MOD(AQ$8-$D$1, (ReassessmentFreq*12))=0, "x", "")</f>
        <v/>
      </c>
      <c r="AR1" s="171">
        <f>IF(MOD(AR$8-$D$1, (ReassessmentFreq*12))=0, "x", "")</f>
        <v/>
      </c>
      <c r="AS1" s="171">
        <f>IF(MOD(AS$8-$D$1, (ReassessmentFreq*12))=0, "x", "")</f>
        <v/>
      </c>
      <c r="AT1" s="171">
        <f>IF(MOD(AT$8-$D$1, (ReassessmentFreq*12))=0, "x", "")</f>
        <v/>
      </c>
      <c r="AU1" s="171">
        <f>IF(MOD(AU$8-$D$1, (ReassessmentFreq*12))=0, "x", "")</f>
        <v/>
      </c>
      <c r="AV1" s="171">
        <f>IF(MOD(AV$8-$D$1, (ReassessmentFreq*12))=0, "x", "")</f>
        <v/>
      </c>
      <c r="AW1" s="171">
        <f>IF(MOD(AW$8-$D$1, (ReassessmentFreq*12))=0, "x", "")</f>
        <v/>
      </c>
      <c r="AX1" s="171">
        <f>IF(MOD(AX$8-$D$1, (ReassessmentFreq*12))=0, "x", "")</f>
        <v/>
      </c>
      <c r="AY1" s="171">
        <f>IF(MOD(AY$8-$D$1, (ReassessmentFreq*12))=0, "x", "")</f>
        <v/>
      </c>
      <c r="AZ1" s="171">
        <f>IF(MOD(AZ$8-$D$1, (ReassessmentFreq*12))=0, "x", "")</f>
        <v/>
      </c>
      <c r="BA1" s="171">
        <f>IF(MOD(BA$8-$D$1, (ReassessmentFreq*12))=0, "x", "")</f>
        <v/>
      </c>
      <c r="BB1" s="171">
        <f>IF(MOD(BB$8-$D$1, (ReassessmentFreq*12))=0, "x", "")</f>
        <v/>
      </c>
      <c r="BC1" s="171">
        <f>IF(MOD(BC$8-$D$1, (ReassessmentFreq*12))=0, "x", "")</f>
        <v/>
      </c>
      <c r="BD1" s="171">
        <f>IF(MOD(BD$8-$D$1, (ReassessmentFreq*12))=0, "x", "")</f>
        <v/>
      </c>
      <c r="BE1" s="171">
        <f>IF(MOD(BE$8-$D$1, (ReassessmentFreq*12))=0, "x", "")</f>
        <v/>
      </c>
      <c r="BF1" s="171">
        <f>IF(MOD(BF$8-$D$1, (ReassessmentFreq*12))=0, "x", "")</f>
        <v/>
      </c>
      <c r="BG1" s="171">
        <f>IF(MOD(BG$8-$D$1, (ReassessmentFreq*12))=0, "x", "")</f>
        <v/>
      </c>
      <c r="BH1" s="171">
        <f>IF(MOD(BH$8-$D$1, (ReassessmentFreq*12))=0, "x", "")</f>
        <v/>
      </c>
      <c r="BI1" s="171">
        <f>IF(MOD(BI$8-$D$1, (ReassessmentFreq*12))=0, "x", "")</f>
        <v/>
      </c>
      <c r="BJ1" s="171">
        <f>IF(MOD(BJ$8-$D$1, (ReassessmentFreq*12))=0, "x", "")</f>
        <v/>
      </c>
      <c r="BK1" s="171">
        <f>IF(MOD(BK$8-$D$1, (ReassessmentFreq*12))=0, "x", "")</f>
        <v/>
      </c>
      <c r="BL1" s="171">
        <f>IF(MOD(BL$8-$D$1, (ReassessmentFreq*12))=0, "x", "")</f>
        <v/>
      </c>
      <c r="BM1" s="171">
        <f>IF(MOD(BM$8-$D$1, (ReassessmentFreq*12))=0, "x", "")</f>
        <v/>
      </c>
      <c r="BN1" s="171">
        <f>IF(MOD(BN$8-$D$1, (ReassessmentFreq*12))=0, "x", "")</f>
        <v/>
      </c>
      <c r="BO1" s="171">
        <f>IF(MOD(BO$8-$D$1, (ReassessmentFreq*12))=0, "x", "")</f>
        <v/>
      </c>
      <c r="BP1" s="171">
        <f>IF(MOD(BP$8-$D$1, (ReassessmentFreq*12))=0, "x", "")</f>
        <v/>
      </c>
      <c r="BQ1" s="171">
        <f>IF(MOD(BQ$8-$D$1, (ReassessmentFreq*12))=0, "x", "")</f>
        <v/>
      </c>
      <c r="BR1" s="171">
        <f>IF(MOD(BR$8-$D$1, (ReassessmentFreq*12))=0, "x", "")</f>
        <v/>
      </c>
      <c r="BS1" s="171">
        <f>IF(MOD(BS$8-$D$1, (ReassessmentFreq*12))=0, "x", "")</f>
        <v/>
      </c>
      <c r="BT1" s="171">
        <f>IF(MOD(BT$8-$D$1, (ReassessmentFreq*12))=0, "x", "")</f>
        <v/>
      </c>
      <c r="BU1" s="171">
        <f>IF(MOD(BU$8-$D$1, (ReassessmentFreq*12))=0, "x", "")</f>
        <v/>
      </c>
      <c r="BV1" s="171">
        <f>IF(MOD(BV$8-$D$1, (ReassessmentFreq*12))=0, "x", "")</f>
        <v/>
      </c>
      <c r="BW1" s="171">
        <f>IF(MOD(BW$8-$D$1, (ReassessmentFreq*12))=0, "x", "")</f>
        <v/>
      </c>
      <c r="BX1" s="171">
        <f>IF(MOD(BX$8-$D$1, (ReassessmentFreq*12))=0, "x", "")</f>
        <v/>
      </c>
      <c r="BY1" s="171">
        <f>IF(MOD(BY$8-$D$1, (ReassessmentFreq*12))=0, "x", "")</f>
        <v/>
      </c>
      <c r="BZ1" s="171">
        <f>IF(MOD(BZ$8-$D$1, (ReassessmentFreq*12))=0, "x", "")</f>
        <v/>
      </c>
      <c r="CA1" s="171">
        <f>IF(MOD(CA$8-$D$1, (ReassessmentFreq*12))=0, "x", "")</f>
        <v/>
      </c>
      <c r="CB1" s="171">
        <f>IF(MOD(CB$8-$D$1, (ReassessmentFreq*12))=0, "x", "")</f>
        <v/>
      </c>
      <c r="CC1" s="171">
        <f>IF(MOD(CC$8-$D$1, (ReassessmentFreq*12))=0, "x", "")</f>
        <v/>
      </c>
      <c r="CD1" s="171">
        <f>IF(MOD(CD$8-$D$1, (ReassessmentFreq*12))=0, "x", "")</f>
        <v/>
      </c>
      <c r="CE1" s="171">
        <f>IF(MOD(CE$8-$D$1, (ReassessmentFreq*12))=0, "x", "")</f>
        <v/>
      </c>
      <c r="CF1" s="171">
        <f>IF(MOD(CF$8-$D$1, (ReassessmentFreq*12))=0, "x", "")</f>
        <v/>
      </c>
      <c r="CG1" s="171">
        <f>IF(MOD(CG$8-$D$1, (ReassessmentFreq*12))=0, "x", "")</f>
        <v/>
      </c>
      <c r="CH1" s="171">
        <f>IF(MOD(CH$8-$D$1, (ReassessmentFreq*12))=0, "x", "")</f>
        <v/>
      </c>
      <c r="CI1" s="171">
        <f>IF(MOD(CI$8-$D$1, (ReassessmentFreq*12))=0, "x", "")</f>
        <v/>
      </c>
      <c r="CJ1" s="171">
        <f>IF(MOD(CJ$8-$D$1, (ReassessmentFreq*12))=0, "x", "")</f>
        <v/>
      </c>
      <c r="CK1" s="171">
        <f>IF(MOD(CK$8-$D$1, (ReassessmentFreq*12))=0, "x", "")</f>
        <v/>
      </c>
      <c r="CL1" s="171">
        <f>IF(MOD(CL$8-$D$1, (ReassessmentFreq*12))=0, "x", "")</f>
        <v/>
      </c>
      <c r="CM1" s="171">
        <f>IF(MOD(CM$8-$D$1, (ReassessmentFreq*12))=0, "x", "")</f>
        <v/>
      </c>
      <c r="CN1" s="171">
        <f>IF(MOD(CN$8-$D$1, (ReassessmentFreq*12))=0, "x", "")</f>
        <v/>
      </c>
      <c r="CO1" s="171">
        <f>IF(MOD(CO$8-$D$1, (ReassessmentFreq*12))=0, "x", "")</f>
        <v/>
      </c>
      <c r="CP1" s="171">
        <f>IF(MOD(CP$8-$D$1, (ReassessmentFreq*12))=0, "x", "")</f>
        <v/>
      </c>
      <c r="CQ1" s="171">
        <f>IF(MOD(CQ$8-$D$1, (ReassessmentFreq*12))=0, "x", "")</f>
        <v/>
      </c>
      <c r="CR1" s="171">
        <f>IF(MOD(CR$8-$D$1, (ReassessmentFreq*12))=0, "x", "")</f>
        <v/>
      </c>
      <c r="CS1" s="171">
        <f>IF(MOD(CS$8-$D$1, (ReassessmentFreq*12))=0, "x", "")</f>
        <v/>
      </c>
      <c r="CT1" s="171">
        <f>IF(MOD(CT$8-$D$1, (ReassessmentFreq*12))=0, "x", "")</f>
        <v/>
      </c>
      <c r="CU1" s="171">
        <f>IF(MOD(CU$8-$D$1, (ReassessmentFreq*12))=0, "x", "")</f>
        <v/>
      </c>
      <c r="CV1" s="171">
        <f>IF(MOD(CV$8-$D$1, (ReassessmentFreq*12))=0, "x", "")</f>
        <v/>
      </c>
      <c r="CW1" s="171">
        <f>IF(MOD(CW$8-$D$1, (ReassessmentFreq*12))=0, "x", "")</f>
        <v/>
      </c>
      <c r="CX1" s="171">
        <f>IF(MOD(CX$8-$D$1, (ReassessmentFreq*12))=0, "x", "")</f>
        <v/>
      </c>
      <c r="CY1" s="171">
        <f>IF(MOD(CY$8-$D$1, (ReassessmentFreq*12))=0, "x", "")</f>
        <v/>
      </c>
      <c r="CZ1" s="171">
        <f>IF(MOD(CZ$8-$D$1, (ReassessmentFreq*12))=0, "x", "")</f>
        <v/>
      </c>
      <c r="DA1" s="171">
        <f>IF(MOD(DA$8-$D$1, (ReassessmentFreq*12))=0, "x", "")</f>
        <v/>
      </c>
      <c r="DB1" s="171">
        <f>IF(MOD(DB$8-$D$1, (ReassessmentFreq*12))=0, "x", "")</f>
        <v/>
      </c>
      <c r="DC1" s="171">
        <f>IF(MOD(DC$8-$D$1, (ReassessmentFreq*12))=0, "x", "")</f>
        <v/>
      </c>
      <c r="DD1" s="171">
        <f>IF(MOD(DD$8-$D$1, (ReassessmentFreq*12))=0, "x", "")</f>
        <v/>
      </c>
      <c r="DE1" s="171">
        <f>IF(MOD(DE$8-$D$1, (ReassessmentFreq*12))=0, "x", "")</f>
        <v/>
      </c>
      <c r="DF1" s="171">
        <f>IF(MOD(DF$8-$D$1, (ReassessmentFreq*12))=0, "x", "")</f>
        <v/>
      </c>
      <c r="DG1" s="171">
        <f>IF(MOD(DG$8-$D$1, (ReassessmentFreq*12))=0, "x", "")</f>
        <v/>
      </c>
      <c r="DH1" s="171">
        <f>IF(MOD(DH$8-$D$1, (ReassessmentFreq*12))=0, "x", "")</f>
        <v/>
      </c>
      <c r="DI1" s="171">
        <f>IF(MOD(DI$8-$D$1, (ReassessmentFreq*12))=0, "x", "")</f>
        <v/>
      </c>
      <c r="DJ1" s="171">
        <f>IF(MOD(DJ$8-$D$1, (ReassessmentFreq*12))=0, "x", "")</f>
        <v/>
      </c>
      <c r="DK1" s="171">
        <f>IF(MOD(DK$8-$D$1, (ReassessmentFreq*12))=0, "x", "")</f>
        <v/>
      </c>
      <c r="DL1" s="171">
        <f>IF(MOD(DL$8-$D$1, (ReassessmentFreq*12))=0, "x", "")</f>
        <v/>
      </c>
      <c r="DM1" s="171">
        <f>IF(MOD(DM$8-$D$1, (ReassessmentFreq*12))=0, "x", "")</f>
        <v/>
      </c>
      <c r="DN1" s="171">
        <f>IF(MOD(DN$8-$D$1, (ReassessmentFreq*12))=0, "x", "")</f>
        <v/>
      </c>
      <c r="DO1" s="171">
        <f>IF(MOD(DO$8-$D$1, (ReassessmentFreq*12))=0, "x", "")</f>
        <v/>
      </c>
      <c r="DP1" s="171">
        <f>IF(MOD(DP$8-$D$1, (ReassessmentFreq*12))=0, "x", "")</f>
        <v/>
      </c>
      <c r="DQ1" s="171">
        <f>IF(MOD(DQ$8-$D$1, (ReassessmentFreq*12))=0, "x", "")</f>
        <v/>
      </c>
      <c r="DR1" s="171">
        <f>IF(MOD(DR$8-$D$1, (ReassessmentFreq*12))=0, "x", "")</f>
        <v/>
      </c>
      <c r="DS1" s="171">
        <f>IF(MOD(DS$8-$D$1, (ReassessmentFreq*12))=0, "x", "")</f>
        <v/>
      </c>
      <c r="DT1" s="171">
        <f>IF(MOD(DT$8-$D$1, (ReassessmentFreq*12))=0, "x", "")</f>
        <v/>
      </c>
    </row>
    <row r="2">
      <c r="C2" s="153" t="inlineStr">
        <is>
          <t>Assessed Value</t>
        </is>
      </c>
      <c r="D2" s="284">
        <f>'Inputs &amp; Summary'!D70</f>
        <v/>
      </c>
      <c r="E2" s="284">
        <f>IF(E$8=$D$1, MAX(D2, PurchasePrice)*((1+TaxValueAppreciation)^($D$1/12)), IF(E$1="x", D2*((1+TaxValueAppreciation)^ReassessmentFreq),D2))</f>
        <v/>
      </c>
      <c r="F2" s="284">
        <f>IF(F$8=$D$1, MAX(E2, PurchasePrice)*((1+TaxValueAppreciation)^($D$1/12)), IF(F$1="x", E2*((1+TaxValueAppreciation)^ReassessmentFreq),E2))</f>
        <v/>
      </c>
      <c r="G2" s="284">
        <f>IF(G$8=$D$1, MAX(F2, PurchasePrice)*((1+TaxValueAppreciation)^($D$1/12)), IF(G$1="x", F2*((1+TaxValueAppreciation)^ReassessmentFreq),F2))</f>
        <v/>
      </c>
      <c r="H2" s="284">
        <f>IF(H$8=$D$1, MAX(G2, PurchasePrice)*((1+TaxValueAppreciation)^($D$1/12)), IF(H$1="x", G2*((1+TaxValueAppreciation)^ReassessmentFreq),G2))</f>
        <v/>
      </c>
      <c r="I2" s="284">
        <f>IF(I$8=$D$1, MAX(H2, PurchasePrice)*((1+TaxValueAppreciation)^($D$1/12)), IF(I$1="x", H2*((1+TaxValueAppreciation)^ReassessmentFreq),H2))</f>
        <v/>
      </c>
      <c r="J2" s="284">
        <f>IF(J$8=$D$1, MAX(I2, PurchasePrice)*((1+TaxValueAppreciation)^($D$1/12)), IF(J$1="x", I2*((1+TaxValueAppreciation)^ReassessmentFreq),I2))</f>
        <v/>
      </c>
      <c r="K2" s="284">
        <f>IF(K$8=$D$1, MAX(J2, PurchasePrice)*((1+TaxValueAppreciation)^($D$1/12)), IF(K$1="x", J2*((1+TaxValueAppreciation)^ReassessmentFreq),J2))</f>
        <v/>
      </c>
      <c r="L2" s="284">
        <f>IF(L$8=$D$1, MAX(K2, PurchasePrice)*((1+TaxValueAppreciation)^($D$1/12)), IF(L$1="x", K2*((1+TaxValueAppreciation)^ReassessmentFreq),K2))</f>
        <v/>
      </c>
      <c r="M2" s="284">
        <f>IF(M$8=$D$1, MAX(L2, PurchasePrice)*((1+TaxValueAppreciation)^($D$1/12)), IF(M$1="x", L2*((1+TaxValueAppreciation)^ReassessmentFreq),L2))</f>
        <v/>
      </c>
      <c r="N2" s="284">
        <f>IF(N$8=$D$1, MAX(M2, PurchasePrice)*((1+TaxValueAppreciation)^($D$1/12)), IF(N$1="x", M2*((1+TaxValueAppreciation)^ReassessmentFreq),M2))</f>
        <v/>
      </c>
      <c r="O2" s="284">
        <f>IF(O$8=$D$1, MAX(N2, PurchasePrice)*((1+TaxValueAppreciation)^($D$1/12)), IF(O$1="x", N2*((1+TaxValueAppreciation)^ReassessmentFreq),N2))</f>
        <v/>
      </c>
      <c r="P2" s="284">
        <f>IF(P$8=$D$1, MAX(O2, PurchasePrice)*((1+TaxValueAppreciation)^($D$1/12)), IF(P$1="x", O2*((1+TaxValueAppreciation)^ReassessmentFreq),O2))</f>
        <v/>
      </c>
      <c r="Q2" s="284">
        <f>IF(Q$8=$D$1, MAX(P2, PurchasePrice)*((1+TaxValueAppreciation)^($D$1/12)), IF(Q$1="x", P2*((1+TaxValueAppreciation)^ReassessmentFreq),P2))</f>
        <v/>
      </c>
      <c r="R2" s="284">
        <f>IF(R$8=$D$1, MAX(Q2, PurchasePrice)*((1+TaxValueAppreciation)^($D$1/12)), IF(R$1="x", Q2*((1+TaxValueAppreciation)^ReassessmentFreq),Q2))</f>
        <v/>
      </c>
      <c r="S2" s="284">
        <f>IF(S$8=$D$1, MAX(R2, PurchasePrice)*((1+TaxValueAppreciation)^($D$1/12)), IF(S$1="x", R2*((1+TaxValueAppreciation)^ReassessmentFreq),R2))</f>
        <v/>
      </c>
      <c r="T2" s="284">
        <f>IF(T$8=$D$1, MAX(S2, PurchasePrice)*((1+TaxValueAppreciation)^($D$1/12)), IF(T$1="x", S2*((1+TaxValueAppreciation)^ReassessmentFreq),S2))</f>
        <v/>
      </c>
      <c r="U2" s="284">
        <f>IF(U$8=$D$1, MAX(T2, PurchasePrice)*((1+TaxValueAppreciation)^($D$1/12)), IF(U$1="x", T2*((1+TaxValueAppreciation)^ReassessmentFreq),T2))</f>
        <v/>
      </c>
      <c r="V2" s="284">
        <f>IF(V$8=$D$1, MAX(U2, PurchasePrice)*((1+TaxValueAppreciation)^($D$1/12)), IF(V$1="x", U2*((1+TaxValueAppreciation)^ReassessmentFreq),U2))</f>
        <v/>
      </c>
      <c r="W2" s="284">
        <f>IF(W$8=$D$1, MAX(V2, PurchasePrice)*((1+TaxValueAppreciation)^($D$1/12)), IF(W$1="x", V2*((1+TaxValueAppreciation)^ReassessmentFreq),V2))</f>
        <v/>
      </c>
      <c r="X2" s="284">
        <f>IF(X$8=$D$1, MAX(W2, PurchasePrice)*((1+TaxValueAppreciation)^($D$1/12)), IF(X$1="x", W2*((1+TaxValueAppreciation)^ReassessmentFreq),W2))</f>
        <v/>
      </c>
      <c r="Y2" s="284">
        <f>IF(Y$8=$D$1, MAX(X2, PurchasePrice)*((1+TaxValueAppreciation)^($D$1/12)), IF(Y$1="x", X2*((1+TaxValueAppreciation)^ReassessmentFreq),X2))</f>
        <v/>
      </c>
      <c r="Z2" s="284">
        <f>IF(Z$8=$D$1, MAX(Y2, PurchasePrice)*((1+TaxValueAppreciation)^($D$1/12)), IF(Z$1="x", Y2*((1+TaxValueAppreciation)^ReassessmentFreq),Y2))</f>
        <v/>
      </c>
      <c r="AA2" s="284">
        <f>IF(AA$8=$D$1, MAX(Z2, PurchasePrice)*((1+TaxValueAppreciation)^($D$1/12)), IF(AA$1="x", Z2*((1+TaxValueAppreciation)^ReassessmentFreq),Z2))</f>
        <v/>
      </c>
      <c r="AB2" s="284">
        <f>IF(AB$8=$D$1, MAX(AA2, PurchasePrice)*((1+TaxValueAppreciation)^($D$1/12)), IF(AB$1="x", AA2*((1+TaxValueAppreciation)^ReassessmentFreq),AA2))</f>
        <v/>
      </c>
      <c r="AC2" s="284">
        <f>IF(AC$8=$D$1, MAX(AB2, PurchasePrice)*((1+TaxValueAppreciation)^($D$1/12)), IF(AC$1="x", AB2*((1+TaxValueAppreciation)^ReassessmentFreq),AB2))</f>
        <v/>
      </c>
      <c r="AD2" s="284">
        <f>IF(AD$8=$D$1, MAX(AC2, PurchasePrice)*((1+TaxValueAppreciation)^($D$1/12)), IF(AD$1="x", AC2*((1+TaxValueAppreciation)^ReassessmentFreq),AC2))</f>
        <v/>
      </c>
      <c r="AE2" s="284">
        <f>IF(AE$8=$D$1, MAX(AD2, PurchasePrice)*((1+TaxValueAppreciation)^($D$1/12)), IF(AE$1="x", AD2*((1+TaxValueAppreciation)^ReassessmentFreq),AD2))</f>
        <v/>
      </c>
      <c r="AF2" s="284">
        <f>IF(AF$8=$D$1, MAX(AE2, PurchasePrice)*((1+TaxValueAppreciation)^($D$1/12)), IF(AF$1="x", AE2*((1+TaxValueAppreciation)^ReassessmentFreq),AE2))</f>
        <v/>
      </c>
      <c r="AG2" s="284">
        <f>IF(AG$8=$D$1, MAX(AF2, PurchasePrice)*((1+TaxValueAppreciation)^($D$1/12)), IF(AG$1="x", AF2*((1+TaxValueAppreciation)^ReassessmentFreq),AF2))</f>
        <v/>
      </c>
      <c r="AH2" s="284">
        <f>IF(AH$8=$D$1, MAX(AG2, PurchasePrice)*((1+TaxValueAppreciation)^($D$1/12)), IF(AH$1="x", AG2*((1+TaxValueAppreciation)^ReassessmentFreq),AG2))</f>
        <v/>
      </c>
      <c r="AI2" s="284">
        <f>IF(AI$8=$D$1, MAX(AH2, PurchasePrice)*((1+TaxValueAppreciation)^($D$1/12)), IF(AI$1="x", AH2*((1+TaxValueAppreciation)^ReassessmentFreq),AH2))</f>
        <v/>
      </c>
      <c r="AJ2" s="284">
        <f>IF(AJ$8=$D$1, MAX(AI2, PurchasePrice)*((1+TaxValueAppreciation)^($D$1/12)), IF(AJ$1="x", AI2*((1+TaxValueAppreciation)^ReassessmentFreq),AI2))</f>
        <v/>
      </c>
      <c r="AK2" s="284">
        <f>IF(AK$8=$D$1, MAX(AJ2, PurchasePrice)*((1+TaxValueAppreciation)^($D$1/12)), IF(AK$1="x", AJ2*((1+TaxValueAppreciation)^ReassessmentFreq),AJ2))</f>
        <v/>
      </c>
      <c r="AL2" s="284">
        <f>IF(AL$8=$D$1, MAX(AK2, PurchasePrice)*((1+TaxValueAppreciation)^($D$1/12)), IF(AL$1="x", AK2*((1+TaxValueAppreciation)^ReassessmentFreq),AK2))</f>
        <v/>
      </c>
      <c r="AM2" s="284">
        <f>IF(AM$8=$D$1, MAX(AL2, PurchasePrice)*((1+TaxValueAppreciation)^($D$1/12)), IF(AM$1="x", AL2*((1+TaxValueAppreciation)^ReassessmentFreq),AL2))</f>
        <v/>
      </c>
      <c r="AN2" s="284">
        <f>IF(AN$8=$D$1, MAX(AM2, PurchasePrice)*((1+TaxValueAppreciation)^($D$1/12)), IF(AN$1="x", AM2*((1+TaxValueAppreciation)^ReassessmentFreq),AM2))</f>
        <v/>
      </c>
      <c r="AO2" s="284">
        <f>IF(AO$8=$D$1, MAX(AN2, PurchasePrice)*((1+TaxValueAppreciation)^($D$1/12)), IF(AO$1="x", AN2*((1+TaxValueAppreciation)^ReassessmentFreq),AN2))</f>
        <v/>
      </c>
      <c r="AP2" s="284">
        <f>IF(AP$8=$D$1, MAX(AO2, PurchasePrice)*((1+TaxValueAppreciation)^($D$1/12)), IF(AP$1="x", AO2*((1+TaxValueAppreciation)^ReassessmentFreq),AO2))</f>
        <v/>
      </c>
      <c r="AQ2" s="284">
        <f>IF(AQ$8=$D$1, MAX(AP2, PurchasePrice)*((1+TaxValueAppreciation)^($D$1/12)), IF(AQ$1="x", AP2*((1+TaxValueAppreciation)^ReassessmentFreq),AP2))</f>
        <v/>
      </c>
      <c r="AR2" s="284">
        <f>IF(AR$8=$D$1, MAX(AQ2, PurchasePrice)*((1+TaxValueAppreciation)^($D$1/12)), IF(AR$1="x", AQ2*((1+TaxValueAppreciation)^ReassessmentFreq),AQ2))</f>
        <v/>
      </c>
      <c r="AS2" s="284">
        <f>IF(AS$8=$D$1, MAX(AR2, PurchasePrice)*((1+TaxValueAppreciation)^($D$1/12)), IF(AS$1="x", AR2*((1+TaxValueAppreciation)^ReassessmentFreq),AR2))</f>
        <v/>
      </c>
      <c r="AT2" s="284">
        <f>IF(AT$8=$D$1, MAX(AS2, PurchasePrice)*((1+TaxValueAppreciation)^($D$1/12)), IF(AT$1="x", AS2*((1+TaxValueAppreciation)^ReassessmentFreq),AS2))</f>
        <v/>
      </c>
      <c r="AU2" s="284">
        <f>IF(AU$8=$D$1, MAX(AT2, PurchasePrice)*((1+TaxValueAppreciation)^($D$1/12)), IF(AU$1="x", AT2*((1+TaxValueAppreciation)^ReassessmentFreq),AT2))</f>
        <v/>
      </c>
      <c r="AV2" s="284">
        <f>IF(AV$8=$D$1, MAX(AU2, PurchasePrice)*((1+TaxValueAppreciation)^($D$1/12)), IF(AV$1="x", AU2*((1+TaxValueAppreciation)^ReassessmentFreq),AU2))</f>
        <v/>
      </c>
      <c r="AW2" s="284">
        <f>IF(AW$8=$D$1, MAX(AV2, PurchasePrice)*((1+TaxValueAppreciation)^($D$1/12)), IF(AW$1="x", AV2*((1+TaxValueAppreciation)^ReassessmentFreq),AV2))</f>
        <v/>
      </c>
      <c r="AX2" s="284">
        <f>IF(AX$8=$D$1, MAX(AW2, PurchasePrice)*((1+TaxValueAppreciation)^($D$1/12)), IF(AX$1="x", AW2*((1+TaxValueAppreciation)^ReassessmentFreq),AW2))</f>
        <v/>
      </c>
      <c r="AY2" s="284">
        <f>IF(AY$8=$D$1, MAX(AX2, PurchasePrice)*((1+TaxValueAppreciation)^($D$1/12)), IF(AY$1="x", AX2*((1+TaxValueAppreciation)^ReassessmentFreq),AX2))</f>
        <v/>
      </c>
      <c r="AZ2" s="284">
        <f>IF(AZ$8=$D$1, MAX(AY2, PurchasePrice)*((1+TaxValueAppreciation)^($D$1/12)), IF(AZ$1="x", AY2*((1+TaxValueAppreciation)^ReassessmentFreq),AY2))</f>
        <v/>
      </c>
      <c r="BA2" s="284">
        <f>IF(BA$8=$D$1, MAX(AZ2, PurchasePrice)*((1+TaxValueAppreciation)^($D$1/12)), IF(BA$1="x", AZ2*((1+TaxValueAppreciation)^ReassessmentFreq),AZ2))</f>
        <v/>
      </c>
      <c r="BB2" s="284">
        <f>IF(BB$8=$D$1, MAX(BA2, PurchasePrice)*((1+TaxValueAppreciation)^($D$1/12)), IF(BB$1="x", BA2*((1+TaxValueAppreciation)^ReassessmentFreq),BA2))</f>
        <v/>
      </c>
      <c r="BC2" s="284">
        <f>IF(BC$8=$D$1, MAX(BB2, PurchasePrice)*((1+TaxValueAppreciation)^($D$1/12)), IF(BC$1="x", BB2*((1+TaxValueAppreciation)^ReassessmentFreq),BB2))</f>
        <v/>
      </c>
      <c r="BD2" s="284">
        <f>IF(BD$8=$D$1, MAX(BC2, PurchasePrice)*((1+TaxValueAppreciation)^($D$1/12)), IF(BD$1="x", BC2*((1+TaxValueAppreciation)^ReassessmentFreq),BC2))</f>
        <v/>
      </c>
      <c r="BE2" s="284">
        <f>IF(BE$8=$D$1, MAX(BD2, PurchasePrice)*((1+TaxValueAppreciation)^($D$1/12)), IF(BE$1="x", BD2*((1+TaxValueAppreciation)^ReassessmentFreq),BD2))</f>
        <v/>
      </c>
      <c r="BF2" s="284">
        <f>IF(BF$8=$D$1, MAX(BE2, PurchasePrice)*((1+TaxValueAppreciation)^($D$1/12)), IF(BF$1="x", BE2*((1+TaxValueAppreciation)^ReassessmentFreq),BE2))</f>
        <v/>
      </c>
      <c r="BG2" s="284">
        <f>IF(BG$8=$D$1, MAX(BF2, PurchasePrice)*((1+TaxValueAppreciation)^($D$1/12)), IF(BG$1="x", BF2*((1+TaxValueAppreciation)^ReassessmentFreq),BF2))</f>
        <v/>
      </c>
      <c r="BH2" s="284">
        <f>IF(BH$8=$D$1, MAX(BG2, PurchasePrice)*((1+TaxValueAppreciation)^($D$1/12)), IF(BH$1="x", BG2*((1+TaxValueAppreciation)^ReassessmentFreq),BG2))</f>
        <v/>
      </c>
      <c r="BI2" s="284">
        <f>IF(BI$8=$D$1, MAX(BH2, PurchasePrice)*((1+TaxValueAppreciation)^($D$1/12)), IF(BI$1="x", BH2*((1+TaxValueAppreciation)^ReassessmentFreq),BH2))</f>
        <v/>
      </c>
      <c r="BJ2" s="284">
        <f>IF(BJ$8=$D$1, MAX(BI2, PurchasePrice)*((1+TaxValueAppreciation)^($D$1/12)), IF(BJ$1="x", BI2*((1+TaxValueAppreciation)^ReassessmentFreq),BI2))</f>
        <v/>
      </c>
      <c r="BK2" s="284">
        <f>IF(BK$8=$D$1, MAX(BJ2, PurchasePrice)*((1+TaxValueAppreciation)^($D$1/12)), IF(BK$1="x", BJ2*((1+TaxValueAppreciation)^ReassessmentFreq),BJ2))</f>
        <v/>
      </c>
      <c r="BL2" s="284">
        <f>IF(BL$8=$D$1, MAX(BK2, PurchasePrice)*((1+TaxValueAppreciation)^($D$1/12)), IF(BL$1="x", BK2*((1+TaxValueAppreciation)^ReassessmentFreq),BK2))</f>
        <v/>
      </c>
      <c r="BM2" s="284">
        <f>IF(BM$8=$D$1, MAX(BL2, PurchasePrice)*((1+TaxValueAppreciation)^($D$1/12)), IF(BM$1="x", BL2*((1+TaxValueAppreciation)^ReassessmentFreq),BL2))</f>
        <v/>
      </c>
      <c r="BN2" s="284">
        <f>IF(BN$8=$D$1, MAX(BM2, PurchasePrice)*((1+TaxValueAppreciation)^($D$1/12)), IF(BN$1="x", BM2*((1+TaxValueAppreciation)^ReassessmentFreq),BM2))</f>
        <v/>
      </c>
      <c r="BO2" s="284">
        <f>IF(BO$8=$D$1, MAX(BN2, PurchasePrice)*((1+TaxValueAppreciation)^($D$1/12)), IF(BO$1="x", BN2*((1+TaxValueAppreciation)^ReassessmentFreq),BN2))</f>
        <v/>
      </c>
      <c r="BP2" s="284">
        <f>IF(BP$8=$D$1, MAX(BO2, PurchasePrice)*((1+TaxValueAppreciation)^($D$1/12)), IF(BP$1="x", BO2*((1+TaxValueAppreciation)^ReassessmentFreq),BO2))</f>
        <v/>
      </c>
      <c r="BQ2" s="284">
        <f>IF(BQ$8=$D$1, MAX(BP2, PurchasePrice)*((1+TaxValueAppreciation)^($D$1/12)), IF(BQ$1="x", BP2*((1+TaxValueAppreciation)^ReassessmentFreq),BP2))</f>
        <v/>
      </c>
      <c r="BR2" s="284">
        <f>IF(BR$8=$D$1, MAX(BQ2, PurchasePrice)*((1+TaxValueAppreciation)^($D$1/12)), IF(BR$1="x", BQ2*((1+TaxValueAppreciation)^ReassessmentFreq),BQ2))</f>
        <v/>
      </c>
      <c r="BS2" s="284">
        <f>IF(BS$8=$D$1, MAX(BR2, PurchasePrice)*((1+TaxValueAppreciation)^($D$1/12)), IF(BS$1="x", BR2*((1+TaxValueAppreciation)^ReassessmentFreq),BR2))</f>
        <v/>
      </c>
      <c r="BT2" s="284">
        <f>IF(BT$8=$D$1, MAX(BS2, PurchasePrice)*((1+TaxValueAppreciation)^($D$1/12)), IF(BT$1="x", BS2*((1+TaxValueAppreciation)^ReassessmentFreq),BS2))</f>
        <v/>
      </c>
      <c r="BU2" s="284">
        <f>IF(BU$8=$D$1, MAX(BT2, PurchasePrice)*((1+TaxValueAppreciation)^($D$1/12)), IF(BU$1="x", BT2*((1+TaxValueAppreciation)^ReassessmentFreq),BT2))</f>
        <v/>
      </c>
      <c r="BV2" s="284">
        <f>IF(BV$8=$D$1, MAX(BU2, PurchasePrice)*((1+TaxValueAppreciation)^($D$1/12)), IF(BV$1="x", BU2*((1+TaxValueAppreciation)^ReassessmentFreq),BU2))</f>
        <v/>
      </c>
      <c r="BW2" s="284">
        <f>IF(BW$8=$D$1, MAX(BV2, PurchasePrice)*((1+TaxValueAppreciation)^($D$1/12)), IF(BW$1="x", BV2*((1+TaxValueAppreciation)^ReassessmentFreq),BV2))</f>
        <v/>
      </c>
      <c r="BX2" s="284">
        <f>IF(BX$8=$D$1, MAX(BW2, PurchasePrice)*((1+TaxValueAppreciation)^($D$1/12)), IF(BX$1="x", BW2*((1+TaxValueAppreciation)^ReassessmentFreq),BW2))</f>
        <v/>
      </c>
      <c r="BY2" s="284">
        <f>IF(BY$8=$D$1, MAX(BX2, PurchasePrice)*((1+TaxValueAppreciation)^($D$1/12)), IF(BY$1="x", BX2*((1+TaxValueAppreciation)^ReassessmentFreq),BX2))</f>
        <v/>
      </c>
      <c r="BZ2" s="284">
        <f>IF(BZ$8=$D$1, MAX(BY2, PurchasePrice)*((1+TaxValueAppreciation)^($D$1/12)), IF(BZ$1="x", BY2*((1+TaxValueAppreciation)^ReassessmentFreq),BY2))</f>
        <v/>
      </c>
      <c r="CA2" s="284">
        <f>IF(CA$8=$D$1, MAX(BZ2, PurchasePrice)*((1+TaxValueAppreciation)^($D$1/12)), IF(CA$1="x", BZ2*((1+TaxValueAppreciation)^ReassessmentFreq),BZ2))</f>
        <v/>
      </c>
      <c r="CB2" s="284">
        <f>IF(CB$8=$D$1, MAX(CA2, PurchasePrice)*((1+TaxValueAppreciation)^($D$1/12)), IF(CB$1="x", CA2*((1+TaxValueAppreciation)^ReassessmentFreq),CA2))</f>
        <v/>
      </c>
      <c r="CC2" s="284">
        <f>IF(CC$8=$D$1, MAX(CB2, PurchasePrice)*((1+TaxValueAppreciation)^($D$1/12)), IF(CC$1="x", CB2*((1+TaxValueAppreciation)^ReassessmentFreq),CB2))</f>
        <v/>
      </c>
      <c r="CD2" s="284">
        <f>IF(CD$8=$D$1, MAX(CC2, PurchasePrice)*((1+TaxValueAppreciation)^($D$1/12)), IF(CD$1="x", CC2*((1+TaxValueAppreciation)^ReassessmentFreq),CC2))</f>
        <v/>
      </c>
      <c r="CE2" s="284">
        <f>IF(CE$8=$D$1, MAX(CD2, PurchasePrice)*((1+TaxValueAppreciation)^($D$1/12)), IF(CE$1="x", CD2*((1+TaxValueAppreciation)^ReassessmentFreq),CD2))</f>
        <v/>
      </c>
      <c r="CF2" s="284">
        <f>IF(CF$8=$D$1, MAX(CE2, PurchasePrice)*((1+TaxValueAppreciation)^($D$1/12)), IF(CF$1="x", CE2*((1+TaxValueAppreciation)^ReassessmentFreq),CE2))</f>
        <v/>
      </c>
      <c r="CG2" s="284">
        <f>IF(CG$8=$D$1, MAX(CF2, PurchasePrice)*((1+TaxValueAppreciation)^($D$1/12)), IF(CG$1="x", CF2*((1+TaxValueAppreciation)^ReassessmentFreq),CF2))</f>
        <v/>
      </c>
      <c r="CH2" s="284">
        <f>IF(CH$8=$D$1, MAX(CG2, PurchasePrice)*((1+TaxValueAppreciation)^($D$1/12)), IF(CH$1="x", CG2*((1+TaxValueAppreciation)^ReassessmentFreq),CG2))</f>
        <v/>
      </c>
      <c r="CI2" s="284">
        <f>IF(CI$8=$D$1, MAX(CH2, PurchasePrice)*((1+TaxValueAppreciation)^($D$1/12)), IF(CI$1="x", CH2*((1+TaxValueAppreciation)^ReassessmentFreq),CH2))</f>
        <v/>
      </c>
      <c r="CJ2" s="284">
        <f>IF(CJ$8=$D$1, MAX(CI2, PurchasePrice)*((1+TaxValueAppreciation)^($D$1/12)), IF(CJ$1="x", CI2*((1+TaxValueAppreciation)^ReassessmentFreq),CI2))</f>
        <v/>
      </c>
      <c r="CK2" s="284">
        <f>IF(CK$8=$D$1, MAX(CJ2, PurchasePrice)*((1+TaxValueAppreciation)^($D$1/12)), IF(CK$1="x", CJ2*((1+TaxValueAppreciation)^ReassessmentFreq),CJ2))</f>
        <v/>
      </c>
      <c r="CL2" s="284">
        <f>IF(CL$8=$D$1, MAX(CK2, PurchasePrice)*((1+TaxValueAppreciation)^($D$1/12)), IF(CL$1="x", CK2*((1+TaxValueAppreciation)^ReassessmentFreq),CK2))</f>
        <v/>
      </c>
      <c r="CM2" s="284">
        <f>IF(CM$8=$D$1, MAX(CL2, PurchasePrice)*((1+TaxValueAppreciation)^($D$1/12)), IF(CM$1="x", CL2*((1+TaxValueAppreciation)^ReassessmentFreq),CL2))</f>
        <v/>
      </c>
      <c r="CN2" s="284">
        <f>IF(CN$8=$D$1, MAX(CM2, PurchasePrice)*((1+TaxValueAppreciation)^($D$1/12)), IF(CN$1="x", CM2*((1+TaxValueAppreciation)^ReassessmentFreq),CM2))</f>
        <v/>
      </c>
      <c r="CO2" s="284">
        <f>IF(CO$8=$D$1, MAX(CN2, PurchasePrice)*((1+TaxValueAppreciation)^($D$1/12)), IF(CO$1="x", CN2*((1+TaxValueAppreciation)^ReassessmentFreq),CN2))</f>
        <v/>
      </c>
      <c r="CP2" s="284">
        <f>IF(CP$8=$D$1, MAX(CO2, PurchasePrice)*((1+TaxValueAppreciation)^($D$1/12)), IF(CP$1="x", CO2*((1+TaxValueAppreciation)^ReassessmentFreq),CO2))</f>
        <v/>
      </c>
      <c r="CQ2" s="284">
        <f>IF(CQ$8=$D$1, MAX(CP2, PurchasePrice)*((1+TaxValueAppreciation)^($D$1/12)), IF(CQ$1="x", CP2*((1+TaxValueAppreciation)^ReassessmentFreq),CP2))</f>
        <v/>
      </c>
      <c r="CR2" s="284">
        <f>IF(CR$8=$D$1, MAX(CQ2, PurchasePrice)*((1+TaxValueAppreciation)^($D$1/12)), IF(CR$1="x", CQ2*((1+TaxValueAppreciation)^ReassessmentFreq),CQ2))</f>
        <v/>
      </c>
      <c r="CS2" s="284">
        <f>IF(CS$8=$D$1, MAX(CR2, PurchasePrice)*((1+TaxValueAppreciation)^($D$1/12)), IF(CS$1="x", CR2*((1+TaxValueAppreciation)^ReassessmentFreq),CR2))</f>
        <v/>
      </c>
      <c r="CT2" s="284">
        <f>IF(CT$8=$D$1, MAX(CS2, PurchasePrice)*((1+TaxValueAppreciation)^($D$1/12)), IF(CT$1="x", CS2*((1+TaxValueAppreciation)^ReassessmentFreq),CS2))</f>
        <v/>
      </c>
      <c r="CU2" s="284">
        <f>IF(CU$8=$D$1, MAX(CT2, PurchasePrice)*((1+TaxValueAppreciation)^($D$1/12)), IF(CU$1="x", CT2*((1+TaxValueAppreciation)^ReassessmentFreq),CT2))</f>
        <v/>
      </c>
      <c r="CV2" s="284">
        <f>IF(CV$8=$D$1, MAX(CU2, PurchasePrice)*((1+TaxValueAppreciation)^($D$1/12)), IF(CV$1="x", CU2*((1+TaxValueAppreciation)^ReassessmentFreq),CU2))</f>
        <v/>
      </c>
      <c r="CW2" s="284">
        <f>IF(CW$8=$D$1, MAX(CV2, PurchasePrice)*((1+TaxValueAppreciation)^($D$1/12)), IF(CW$1="x", CV2*((1+TaxValueAppreciation)^ReassessmentFreq),CV2))</f>
        <v/>
      </c>
      <c r="CX2" s="284">
        <f>IF(CX$8=$D$1, MAX(CW2, PurchasePrice)*((1+TaxValueAppreciation)^($D$1/12)), IF(CX$1="x", CW2*((1+TaxValueAppreciation)^ReassessmentFreq),CW2))</f>
        <v/>
      </c>
      <c r="CY2" s="284">
        <f>IF(CY$8=$D$1, MAX(CX2, PurchasePrice)*((1+TaxValueAppreciation)^($D$1/12)), IF(CY$1="x", CX2*((1+TaxValueAppreciation)^ReassessmentFreq),CX2))</f>
        <v/>
      </c>
      <c r="CZ2" s="284">
        <f>IF(CZ$8=$D$1, MAX(CY2, PurchasePrice)*((1+TaxValueAppreciation)^($D$1/12)), IF(CZ$1="x", CY2*((1+TaxValueAppreciation)^ReassessmentFreq),CY2))</f>
        <v/>
      </c>
      <c r="DA2" s="284">
        <f>IF(DA$8=$D$1, MAX(CZ2, PurchasePrice)*((1+TaxValueAppreciation)^($D$1/12)), IF(DA$1="x", CZ2*((1+TaxValueAppreciation)^ReassessmentFreq),CZ2))</f>
        <v/>
      </c>
      <c r="DB2" s="284">
        <f>IF(DB$8=$D$1, MAX(DA2, PurchasePrice)*((1+TaxValueAppreciation)^($D$1/12)), IF(DB$1="x", DA2*((1+TaxValueAppreciation)^ReassessmentFreq),DA2))</f>
        <v/>
      </c>
      <c r="DC2" s="284">
        <f>IF(DC$8=$D$1, MAX(DB2, PurchasePrice)*((1+TaxValueAppreciation)^($D$1/12)), IF(DC$1="x", DB2*((1+TaxValueAppreciation)^ReassessmentFreq),DB2))</f>
        <v/>
      </c>
      <c r="DD2" s="284">
        <f>IF(DD$8=$D$1, MAX(DC2, PurchasePrice)*((1+TaxValueAppreciation)^($D$1/12)), IF(DD$1="x", DC2*((1+TaxValueAppreciation)^ReassessmentFreq),DC2))</f>
        <v/>
      </c>
      <c r="DE2" s="284">
        <f>IF(DE$8=$D$1, MAX(DD2, PurchasePrice)*((1+TaxValueAppreciation)^($D$1/12)), IF(DE$1="x", DD2*((1+TaxValueAppreciation)^ReassessmentFreq),DD2))</f>
        <v/>
      </c>
      <c r="DF2" s="284">
        <f>IF(DF$8=$D$1, MAX(DE2, PurchasePrice)*((1+TaxValueAppreciation)^($D$1/12)), IF(DF$1="x", DE2*((1+TaxValueAppreciation)^ReassessmentFreq),DE2))</f>
        <v/>
      </c>
      <c r="DG2" s="284">
        <f>IF(DG$8=$D$1, MAX(DF2, PurchasePrice)*((1+TaxValueAppreciation)^($D$1/12)), IF(DG$1="x", DF2*((1+TaxValueAppreciation)^ReassessmentFreq),DF2))</f>
        <v/>
      </c>
      <c r="DH2" s="284">
        <f>IF(DH$8=$D$1, MAX(DG2, PurchasePrice)*((1+TaxValueAppreciation)^($D$1/12)), IF(DH$1="x", DG2*((1+TaxValueAppreciation)^ReassessmentFreq),DG2))</f>
        <v/>
      </c>
      <c r="DI2" s="284">
        <f>IF(DI$8=$D$1, MAX(DH2, PurchasePrice)*((1+TaxValueAppreciation)^($D$1/12)), IF(DI$1="x", DH2*((1+TaxValueAppreciation)^ReassessmentFreq),DH2))</f>
        <v/>
      </c>
      <c r="DJ2" s="284">
        <f>IF(DJ$8=$D$1, MAX(DI2, PurchasePrice)*((1+TaxValueAppreciation)^($D$1/12)), IF(DJ$1="x", DI2*((1+TaxValueAppreciation)^ReassessmentFreq),DI2))</f>
        <v/>
      </c>
      <c r="DK2" s="284">
        <f>IF(DK$8=$D$1, MAX(DJ2, PurchasePrice)*((1+TaxValueAppreciation)^($D$1/12)), IF(DK$1="x", DJ2*((1+TaxValueAppreciation)^ReassessmentFreq),DJ2))</f>
        <v/>
      </c>
      <c r="DL2" s="284">
        <f>IF(DL$8=$D$1, MAX(DK2, PurchasePrice)*((1+TaxValueAppreciation)^($D$1/12)), IF(DL$1="x", DK2*((1+TaxValueAppreciation)^ReassessmentFreq),DK2))</f>
        <v/>
      </c>
      <c r="DM2" s="284">
        <f>IF(DM$8=$D$1, MAX(DL2, PurchasePrice)*((1+TaxValueAppreciation)^($D$1/12)), IF(DM$1="x", DL2*((1+TaxValueAppreciation)^ReassessmentFreq),DL2))</f>
        <v/>
      </c>
      <c r="DN2" s="284">
        <f>IF(DN$8=$D$1, MAX(DM2, PurchasePrice)*((1+TaxValueAppreciation)^($D$1/12)), IF(DN$1="x", DM2*((1+TaxValueAppreciation)^ReassessmentFreq),DM2))</f>
        <v/>
      </c>
      <c r="DO2" s="284">
        <f>IF(DO$8=$D$1, MAX(DN2, PurchasePrice)*((1+TaxValueAppreciation)^($D$1/12)), IF(DO$1="x", DN2*((1+TaxValueAppreciation)^ReassessmentFreq),DN2))</f>
        <v/>
      </c>
      <c r="DP2" s="284">
        <f>IF(DP$8=$D$1, MAX(DO2, PurchasePrice)*((1+TaxValueAppreciation)^($D$1/12)), IF(DP$1="x", DO2*((1+TaxValueAppreciation)^ReassessmentFreq),DO2))</f>
        <v/>
      </c>
      <c r="DQ2" s="284">
        <f>IF(DQ$8=$D$1, MAX(DP2, PurchasePrice)*((1+TaxValueAppreciation)^($D$1/12)), IF(DQ$1="x", DP2*((1+TaxValueAppreciation)^ReassessmentFreq),DP2))</f>
        <v/>
      </c>
      <c r="DR2" s="284">
        <f>IF(DR$8=$D$1, MAX(DQ2, PurchasePrice)*((1+TaxValueAppreciation)^($D$1/12)), IF(DR$1="x", DQ2*((1+TaxValueAppreciation)^ReassessmentFreq),DQ2))</f>
        <v/>
      </c>
      <c r="DS2" s="284">
        <f>IF(DS$8=$D$1, MAX(DR2, PurchasePrice)*((1+TaxValueAppreciation)^($D$1/12)), IF(DS$1="x", DR2*((1+TaxValueAppreciation)^ReassessmentFreq),DR2))</f>
        <v/>
      </c>
      <c r="DT2" s="284">
        <f>IF(DT$8=$D$1, MAX(DS2, PurchasePrice)*((1+TaxValueAppreciation)^($D$1/12)), IF(DT$1="x", DS2*((1+TaxValueAppreciation)^ReassessmentFreq),DS2))</f>
        <v/>
      </c>
    </row>
    <row r="3">
      <c r="C3" s="153" t="inlineStr">
        <is>
          <t>Millage Rate</t>
        </is>
      </c>
      <c r="D3" s="285">
        <f>'Inputs &amp; Summary'!D69</f>
        <v/>
      </c>
      <c r="E3" s="285">
        <f>IF(E$1="x", D3*((1+MillageRateGrowth)^ReassessmentFreq),D3)</f>
        <v/>
      </c>
      <c r="F3" s="285">
        <f>IF(F$1="x", E3*((1+MillageRateGrowth)^ReassessmentFreq),E3)</f>
        <v/>
      </c>
      <c r="G3" s="285">
        <f>IF(G$1="x", F3*((1+MillageRateGrowth)^ReassessmentFreq),F3)</f>
        <v/>
      </c>
      <c r="H3" s="285">
        <f>IF(H$1="x", G3*((1+MillageRateGrowth)^ReassessmentFreq),G3)</f>
        <v/>
      </c>
      <c r="I3" s="285">
        <f>IF(I$1="x", H3*((1+MillageRateGrowth)^ReassessmentFreq),H3)</f>
        <v/>
      </c>
      <c r="J3" s="285">
        <f>IF(J$1="x", I3*((1+MillageRateGrowth)^ReassessmentFreq),I3)</f>
        <v/>
      </c>
      <c r="K3" s="285">
        <f>IF(K$1="x", J3*((1+MillageRateGrowth)^ReassessmentFreq),J3)</f>
        <v/>
      </c>
      <c r="L3" s="285">
        <f>IF(L$1="x", K3*((1+MillageRateGrowth)^ReassessmentFreq),K3)</f>
        <v/>
      </c>
      <c r="M3" s="285">
        <f>IF(M$1="x", L3*((1+MillageRateGrowth)^ReassessmentFreq),L3)</f>
        <v/>
      </c>
      <c r="N3" s="285">
        <f>IF(N$1="x", M3*((1+MillageRateGrowth)^ReassessmentFreq),M3)</f>
        <v/>
      </c>
      <c r="O3" s="285">
        <f>IF(O$1="x", N3*((1+MillageRateGrowth)^ReassessmentFreq),N3)</f>
        <v/>
      </c>
      <c r="P3" s="285">
        <f>IF(P$1="x", O3*((1+MillageRateGrowth)^ReassessmentFreq),O3)</f>
        <v/>
      </c>
      <c r="Q3" s="285">
        <f>IF(Q$1="x", P3*((1+MillageRateGrowth)^ReassessmentFreq),P3)</f>
        <v/>
      </c>
      <c r="R3" s="285">
        <f>IF(R$1="x", Q3*((1+MillageRateGrowth)^ReassessmentFreq),Q3)</f>
        <v/>
      </c>
      <c r="S3" s="285">
        <f>IF(S$1="x", R3*((1+MillageRateGrowth)^ReassessmentFreq),R3)</f>
        <v/>
      </c>
      <c r="T3" s="285">
        <f>IF(T$1="x", S3*((1+MillageRateGrowth)^ReassessmentFreq),S3)</f>
        <v/>
      </c>
      <c r="U3" s="285">
        <f>IF(U$1="x", T3*((1+MillageRateGrowth)^ReassessmentFreq),T3)</f>
        <v/>
      </c>
      <c r="V3" s="285">
        <f>IF(V$1="x", U3*((1+MillageRateGrowth)^ReassessmentFreq),U3)</f>
        <v/>
      </c>
      <c r="W3" s="285">
        <f>IF(W$1="x", V3*((1+MillageRateGrowth)^ReassessmentFreq),V3)</f>
        <v/>
      </c>
      <c r="X3" s="285">
        <f>IF(X$1="x", W3*((1+MillageRateGrowth)^ReassessmentFreq),W3)</f>
        <v/>
      </c>
      <c r="Y3" s="285">
        <f>IF(Y$1="x", X3*((1+MillageRateGrowth)^ReassessmentFreq),X3)</f>
        <v/>
      </c>
      <c r="Z3" s="285">
        <f>IF(Z$1="x", Y3*((1+MillageRateGrowth)^ReassessmentFreq),Y3)</f>
        <v/>
      </c>
      <c r="AA3" s="285">
        <f>IF(AA$1="x", Z3*((1+MillageRateGrowth)^ReassessmentFreq),Z3)</f>
        <v/>
      </c>
      <c r="AB3" s="285">
        <f>IF(AB$1="x", AA3*((1+MillageRateGrowth)^ReassessmentFreq),AA3)</f>
        <v/>
      </c>
      <c r="AC3" s="285">
        <f>IF(AC$1="x", AB3*((1+MillageRateGrowth)^ReassessmentFreq),AB3)</f>
        <v/>
      </c>
      <c r="AD3" s="285">
        <f>IF(AD$1="x", AC3*((1+MillageRateGrowth)^ReassessmentFreq),AC3)</f>
        <v/>
      </c>
      <c r="AE3" s="285">
        <f>IF(AE$1="x", AD3*((1+MillageRateGrowth)^ReassessmentFreq),AD3)</f>
        <v/>
      </c>
      <c r="AF3" s="285">
        <f>IF(AF$1="x", AE3*((1+MillageRateGrowth)^ReassessmentFreq),AE3)</f>
        <v/>
      </c>
      <c r="AG3" s="285">
        <f>IF(AG$1="x", AF3*((1+MillageRateGrowth)^ReassessmentFreq),AF3)</f>
        <v/>
      </c>
      <c r="AH3" s="285">
        <f>IF(AH$1="x", AG3*((1+MillageRateGrowth)^ReassessmentFreq),AG3)</f>
        <v/>
      </c>
      <c r="AI3" s="285">
        <f>IF(AI$1="x", AH3*((1+MillageRateGrowth)^ReassessmentFreq),AH3)</f>
        <v/>
      </c>
      <c r="AJ3" s="285">
        <f>IF(AJ$1="x", AI3*((1+MillageRateGrowth)^ReassessmentFreq),AI3)</f>
        <v/>
      </c>
      <c r="AK3" s="285">
        <f>IF(AK$1="x", AJ3*((1+MillageRateGrowth)^ReassessmentFreq),AJ3)</f>
        <v/>
      </c>
      <c r="AL3" s="285">
        <f>IF(AL$1="x", AK3*((1+MillageRateGrowth)^ReassessmentFreq),AK3)</f>
        <v/>
      </c>
      <c r="AM3" s="285">
        <f>IF(AM$1="x", AL3*((1+MillageRateGrowth)^ReassessmentFreq),AL3)</f>
        <v/>
      </c>
      <c r="AN3" s="285">
        <f>IF(AN$1="x", AM3*((1+MillageRateGrowth)^ReassessmentFreq),AM3)</f>
        <v/>
      </c>
      <c r="AO3" s="285">
        <f>IF(AO$1="x", AN3*((1+MillageRateGrowth)^ReassessmentFreq),AN3)</f>
        <v/>
      </c>
      <c r="AP3" s="285">
        <f>IF(AP$1="x", AO3*((1+MillageRateGrowth)^ReassessmentFreq),AO3)</f>
        <v/>
      </c>
      <c r="AQ3" s="285">
        <f>IF(AQ$1="x", AP3*((1+MillageRateGrowth)^ReassessmentFreq),AP3)</f>
        <v/>
      </c>
      <c r="AR3" s="285">
        <f>IF(AR$1="x", AQ3*((1+MillageRateGrowth)^ReassessmentFreq),AQ3)</f>
        <v/>
      </c>
      <c r="AS3" s="285">
        <f>IF(AS$1="x", AR3*((1+MillageRateGrowth)^ReassessmentFreq),AR3)</f>
        <v/>
      </c>
      <c r="AT3" s="285">
        <f>IF(AT$1="x", AS3*((1+MillageRateGrowth)^ReassessmentFreq),AS3)</f>
        <v/>
      </c>
      <c r="AU3" s="285">
        <f>IF(AU$1="x", AT3*((1+MillageRateGrowth)^ReassessmentFreq),AT3)</f>
        <v/>
      </c>
      <c r="AV3" s="285">
        <f>IF(AV$1="x", AU3*((1+MillageRateGrowth)^ReassessmentFreq),AU3)</f>
        <v/>
      </c>
      <c r="AW3" s="285">
        <f>IF(AW$1="x", AV3*((1+MillageRateGrowth)^ReassessmentFreq),AV3)</f>
        <v/>
      </c>
      <c r="AX3" s="285">
        <f>IF(AX$1="x", AW3*((1+MillageRateGrowth)^ReassessmentFreq),AW3)</f>
        <v/>
      </c>
      <c r="AY3" s="285">
        <f>IF(AY$1="x", AX3*((1+MillageRateGrowth)^ReassessmentFreq),AX3)</f>
        <v/>
      </c>
      <c r="AZ3" s="285">
        <f>IF(AZ$1="x", AY3*((1+MillageRateGrowth)^ReassessmentFreq),AY3)</f>
        <v/>
      </c>
      <c r="BA3" s="285">
        <f>IF(BA$1="x", AZ3*((1+MillageRateGrowth)^ReassessmentFreq),AZ3)</f>
        <v/>
      </c>
      <c r="BB3" s="285">
        <f>IF(BB$1="x", BA3*((1+MillageRateGrowth)^ReassessmentFreq),BA3)</f>
        <v/>
      </c>
      <c r="BC3" s="285">
        <f>IF(BC$1="x", BB3*((1+MillageRateGrowth)^ReassessmentFreq),BB3)</f>
        <v/>
      </c>
      <c r="BD3" s="285">
        <f>IF(BD$1="x", BC3*((1+MillageRateGrowth)^ReassessmentFreq),BC3)</f>
        <v/>
      </c>
      <c r="BE3" s="285">
        <f>IF(BE$1="x", BD3*((1+MillageRateGrowth)^ReassessmentFreq),BD3)</f>
        <v/>
      </c>
      <c r="BF3" s="285">
        <f>IF(BF$1="x", BE3*((1+MillageRateGrowth)^ReassessmentFreq),BE3)</f>
        <v/>
      </c>
      <c r="BG3" s="285">
        <f>IF(BG$1="x", BF3*((1+MillageRateGrowth)^ReassessmentFreq),BF3)</f>
        <v/>
      </c>
      <c r="BH3" s="285">
        <f>IF(BH$1="x", BG3*((1+MillageRateGrowth)^ReassessmentFreq),BG3)</f>
        <v/>
      </c>
      <c r="BI3" s="285">
        <f>IF(BI$1="x", BH3*((1+MillageRateGrowth)^ReassessmentFreq),BH3)</f>
        <v/>
      </c>
      <c r="BJ3" s="285">
        <f>IF(BJ$1="x", BI3*((1+MillageRateGrowth)^ReassessmentFreq),BI3)</f>
        <v/>
      </c>
      <c r="BK3" s="285">
        <f>IF(BK$1="x", BJ3*((1+MillageRateGrowth)^ReassessmentFreq),BJ3)</f>
        <v/>
      </c>
      <c r="BL3" s="285">
        <f>IF(BL$1="x", BK3*((1+MillageRateGrowth)^ReassessmentFreq),BK3)</f>
        <v/>
      </c>
      <c r="BM3" s="285">
        <f>IF(BM$1="x", BL3*((1+MillageRateGrowth)^ReassessmentFreq),BL3)</f>
        <v/>
      </c>
      <c r="BN3" s="285">
        <f>IF(BN$1="x", BM3*((1+MillageRateGrowth)^ReassessmentFreq),BM3)</f>
        <v/>
      </c>
      <c r="BO3" s="285">
        <f>IF(BO$1="x", BN3*((1+MillageRateGrowth)^ReassessmentFreq),BN3)</f>
        <v/>
      </c>
      <c r="BP3" s="285">
        <f>IF(BP$1="x", BO3*((1+MillageRateGrowth)^ReassessmentFreq),BO3)</f>
        <v/>
      </c>
      <c r="BQ3" s="285">
        <f>IF(BQ$1="x", BP3*((1+MillageRateGrowth)^ReassessmentFreq),BP3)</f>
        <v/>
      </c>
      <c r="BR3" s="285">
        <f>IF(BR$1="x", BQ3*((1+MillageRateGrowth)^ReassessmentFreq),BQ3)</f>
        <v/>
      </c>
      <c r="BS3" s="285">
        <f>IF(BS$1="x", BR3*((1+MillageRateGrowth)^ReassessmentFreq),BR3)</f>
        <v/>
      </c>
      <c r="BT3" s="285">
        <f>IF(BT$1="x", BS3*((1+MillageRateGrowth)^ReassessmentFreq),BS3)</f>
        <v/>
      </c>
      <c r="BU3" s="285">
        <f>IF(BU$1="x", BT3*((1+MillageRateGrowth)^ReassessmentFreq),BT3)</f>
        <v/>
      </c>
      <c r="BV3" s="285">
        <f>IF(BV$1="x", BU3*((1+MillageRateGrowth)^ReassessmentFreq),BU3)</f>
        <v/>
      </c>
      <c r="BW3" s="285">
        <f>IF(BW$1="x", BV3*((1+MillageRateGrowth)^ReassessmentFreq),BV3)</f>
        <v/>
      </c>
      <c r="BX3" s="285">
        <f>IF(BX$1="x", BW3*((1+MillageRateGrowth)^ReassessmentFreq),BW3)</f>
        <v/>
      </c>
      <c r="BY3" s="285">
        <f>IF(BY$1="x", BX3*((1+MillageRateGrowth)^ReassessmentFreq),BX3)</f>
        <v/>
      </c>
      <c r="BZ3" s="285">
        <f>IF(BZ$1="x", BY3*((1+MillageRateGrowth)^ReassessmentFreq),BY3)</f>
        <v/>
      </c>
      <c r="CA3" s="285">
        <f>IF(CA$1="x", BZ3*((1+MillageRateGrowth)^ReassessmentFreq),BZ3)</f>
        <v/>
      </c>
      <c r="CB3" s="285">
        <f>IF(CB$1="x", CA3*((1+MillageRateGrowth)^ReassessmentFreq),CA3)</f>
        <v/>
      </c>
      <c r="CC3" s="285">
        <f>IF(CC$1="x", CB3*((1+MillageRateGrowth)^ReassessmentFreq),CB3)</f>
        <v/>
      </c>
      <c r="CD3" s="285">
        <f>IF(CD$1="x", CC3*((1+MillageRateGrowth)^ReassessmentFreq),CC3)</f>
        <v/>
      </c>
      <c r="CE3" s="285">
        <f>IF(CE$1="x", CD3*((1+MillageRateGrowth)^ReassessmentFreq),CD3)</f>
        <v/>
      </c>
      <c r="CF3" s="285">
        <f>IF(CF$1="x", CE3*((1+MillageRateGrowth)^ReassessmentFreq),CE3)</f>
        <v/>
      </c>
      <c r="CG3" s="285">
        <f>IF(CG$1="x", CF3*((1+MillageRateGrowth)^ReassessmentFreq),CF3)</f>
        <v/>
      </c>
      <c r="CH3" s="285">
        <f>IF(CH$1="x", CG3*((1+MillageRateGrowth)^ReassessmentFreq),CG3)</f>
        <v/>
      </c>
      <c r="CI3" s="285">
        <f>IF(CI$1="x", CH3*((1+MillageRateGrowth)^ReassessmentFreq),CH3)</f>
        <v/>
      </c>
      <c r="CJ3" s="285">
        <f>IF(CJ$1="x", CI3*((1+MillageRateGrowth)^ReassessmentFreq),CI3)</f>
        <v/>
      </c>
      <c r="CK3" s="285">
        <f>IF(CK$1="x", CJ3*((1+MillageRateGrowth)^ReassessmentFreq),CJ3)</f>
        <v/>
      </c>
      <c r="CL3" s="285">
        <f>IF(CL$1="x", CK3*((1+MillageRateGrowth)^ReassessmentFreq),CK3)</f>
        <v/>
      </c>
      <c r="CM3" s="285">
        <f>IF(CM$1="x", CL3*((1+MillageRateGrowth)^ReassessmentFreq),CL3)</f>
        <v/>
      </c>
      <c r="CN3" s="285">
        <f>IF(CN$1="x", CM3*((1+MillageRateGrowth)^ReassessmentFreq),CM3)</f>
        <v/>
      </c>
      <c r="CO3" s="285">
        <f>IF(CO$1="x", CN3*((1+MillageRateGrowth)^ReassessmentFreq),CN3)</f>
        <v/>
      </c>
      <c r="CP3" s="285">
        <f>IF(CP$1="x", CO3*((1+MillageRateGrowth)^ReassessmentFreq),CO3)</f>
        <v/>
      </c>
      <c r="CQ3" s="285">
        <f>IF(CQ$1="x", CP3*((1+MillageRateGrowth)^ReassessmentFreq),CP3)</f>
        <v/>
      </c>
      <c r="CR3" s="285">
        <f>IF(CR$1="x", CQ3*((1+MillageRateGrowth)^ReassessmentFreq),CQ3)</f>
        <v/>
      </c>
      <c r="CS3" s="285">
        <f>IF(CS$1="x", CR3*((1+MillageRateGrowth)^ReassessmentFreq),CR3)</f>
        <v/>
      </c>
      <c r="CT3" s="285">
        <f>IF(CT$1="x", CS3*((1+MillageRateGrowth)^ReassessmentFreq),CS3)</f>
        <v/>
      </c>
      <c r="CU3" s="285">
        <f>IF(CU$1="x", CT3*((1+MillageRateGrowth)^ReassessmentFreq),CT3)</f>
        <v/>
      </c>
      <c r="CV3" s="285">
        <f>IF(CV$1="x", CU3*((1+MillageRateGrowth)^ReassessmentFreq),CU3)</f>
        <v/>
      </c>
      <c r="CW3" s="285">
        <f>IF(CW$1="x", CV3*((1+MillageRateGrowth)^ReassessmentFreq),CV3)</f>
        <v/>
      </c>
      <c r="CX3" s="285">
        <f>IF(CX$1="x", CW3*((1+MillageRateGrowth)^ReassessmentFreq),CW3)</f>
        <v/>
      </c>
      <c r="CY3" s="285">
        <f>IF(CY$1="x", CX3*((1+MillageRateGrowth)^ReassessmentFreq),CX3)</f>
        <v/>
      </c>
      <c r="CZ3" s="285">
        <f>IF(CZ$1="x", CY3*((1+MillageRateGrowth)^ReassessmentFreq),CY3)</f>
        <v/>
      </c>
      <c r="DA3" s="285">
        <f>IF(DA$1="x", CZ3*((1+MillageRateGrowth)^ReassessmentFreq),CZ3)</f>
        <v/>
      </c>
      <c r="DB3" s="285">
        <f>IF(DB$1="x", DA3*((1+MillageRateGrowth)^ReassessmentFreq),DA3)</f>
        <v/>
      </c>
      <c r="DC3" s="285">
        <f>IF(DC$1="x", DB3*((1+MillageRateGrowth)^ReassessmentFreq),DB3)</f>
        <v/>
      </c>
      <c r="DD3" s="285">
        <f>IF(DD$1="x", DC3*((1+MillageRateGrowth)^ReassessmentFreq),DC3)</f>
        <v/>
      </c>
      <c r="DE3" s="285">
        <f>IF(DE$1="x", DD3*((1+MillageRateGrowth)^ReassessmentFreq),DD3)</f>
        <v/>
      </c>
      <c r="DF3" s="285">
        <f>IF(DF$1="x", DE3*((1+MillageRateGrowth)^ReassessmentFreq),DE3)</f>
        <v/>
      </c>
      <c r="DG3" s="285">
        <f>IF(DG$1="x", DF3*((1+MillageRateGrowth)^ReassessmentFreq),DF3)</f>
        <v/>
      </c>
      <c r="DH3" s="285">
        <f>IF(DH$1="x", DG3*((1+MillageRateGrowth)^ReassessmentFreq),DG3)</f>
        <v/>
      </c>
      <c r="DI3" s="285">
        <f>IF(DI$1="x", DH3*((1+MillageRateGrowth)^ReassessmentFreq),DH3)</f>
        <v/>
      </c>
      <c r="DJ3" s="285">
        <f>IF(DJ$1="x", DI3*((1+MillageRateGrowth)^ReassessmentFreq),DI3)</f>
        <v/>
      </c>
      <c r="DK3" s="285">
        <f>IF(DK$1="x", DJ3*((1+MillageRateGrowth)^ReassessmentFreq),DJ3)</f>
        <v/>
      </c>
      <c r="DL3" s="285">
        <f>IF(DL$1="x", DK3*((1+MillageRateGrowth)^ReassessmentFreq),DK3)</f>
        <v/>
      </c>
      <c r="DM3" s="285">
        <f>IF(DM$1="x", DL3*((1+MillageRateGrowth)^ReassessmentFreq),DL3)</f>
        <v/>
      </c>
      <c r="DN3" s="285">
        <f>IF(DN$1="x", DM3*((1+MillageRateGrowth)^ReassessmentFreq),DM3)</f>
        <v/>
      </c>
      <c r="DO3" s="285">
        <f>IF(DO$1="x", DN3*((1+MillageRateGrowth)^ReassessmentFreq),DN3)</f>
        <v/>
      </c>
      <c r="DP3" s="285">
        <f>IF(DP$1="x", DO3*((1+MillageRateGrowth)^ReassessmentFreq),DO3)</f>
        <v/>
      </c>
      <c r="DQ3" s="285">
        <f>IF(DQ$1="x", DP3*((1+MillageRateGrowth)^ReassessmentFreq),DP3)</f>
        <v/>
      </c>
      <c r="DR3" s="285">
        <f>IF(DR$1="x", DQ3*((1+MillageRateGrowth)^ReassessmentFreq),DQ3)</f>
        <v/>
      </c>
      <c r="DS3" s="285">
        <f>IF(DS$1="x", DR3*((1+MillageRateGrowth)^ReassessmentFreq),DR3)</f>
        <v/>
      </c>
      <c r="DT3" s="285">
        <f>IF(DT$1="x", DS3*((1+MillageRateGrowth)^ReassessmentFreq),DS3)</f>
        <v/>
      </c>
    </row>
    <row r="4">
      <c r="C4" s="153" t="inlineStr">
        <is>
          <t>Purchase Anniversary</t>
        </is>
      </c>
      <c r="E4" s="171">
        <f>IF(AND(MOD(E$8-13, 12)=0, E$8&gt;=13), "x", "")</f>
        <v/>
      </c>
      <c r="F4" s="171">
        <f>IF(AND(MOD(F$8-13, 12)=0, F$8&gt;=13), "x", "")</f>
        <v/>
      </c>
      <c r="G4" s="171">
        <f>IF(AND(MOD(G$8-13, 12)=0, G$8&gt;=13), "x", "")</f>
        <v/>
      </c>
      <c r="H4" s="171">
        <f>IF(AND(MOD(H$8-13, 12)=0, H$8&gt;=13), "x", "")</f>
        <v/>
      </c>
      <c r="I4" s="171">
        <f>IF(AND(MOD(I$8-13, 12)=0, I$8&gt;=13), "x", "")</f>
        <v/>
      </c>
      <c r="J4" s="171">
        <f>IF(AND(MOD(J$8-13, 12)=0, J$8&gt;=13), "x", "")</f>
        <v/>
      </c>
      <c r="K4" s="171">
        <f>IF(AND(MOD(K$8-13, 12)=0, K$8&gt;=13), "x", "")</f>
        <v/>
      </c>
      <c r="L4" s="171">
        <f>IF(AND(MOD(L$8-13, 12)=0, L$8&gt;=13), "x", "")</f>
        <v/>
      </c>
      <c r="M4" s="171">
        <f>IF(AND(MOD(M$8-13, 12)=0, M$8&gt;=13), "x", "")</f>
        <v/>
      </c>
      <c r="N4" s="171">
        <f>IF(AND(MOD(N$8-13, 12)=0, N$8&gt;=13), "x", "")</f>
        <v/>
      </c>
      <c r="O4" s="171">
        <f>IF(AND(MOD(O$8-13, 12)=0, O$8&gt;=13), "x", "")</f>
        <v/>
      </c>
      <c r="P4" s="171">
        <f>IF(AND(MOD(P$8-13, 12)=0, P$8&gt;=13), "x", "")</f>
        <v/>
      </c>
      <c r="Q4" s="171">
        <f>IF(AND(MOD(Q$8-13, 12)=0, Q$8&gt;=13), "x", "")</f>
        <v/>
      </c>
      <c r="R4" s="171">
        <f>IF(AND(MOD(R$8-13, 12)=0, R$8&gt;=13), "x", "")</f>
        <v/>
      </c>
      <c r="S4" s="171">
        <f>IF(AND(MOD(S$8-13, 12)=0, S$8&gt;=13), "x", "")</f>
        <v/>
      </c>
      <c r="T4" s="171">
        <f>IF(AND(MOD(T$8-13, 12)=0, T$8&gt;=13), "x", "")</f>
        <v/>
      </c>
      <c r="U4" s="171">
        <f>IF(AND(MOD(U$8-13, 12)=0, U$8&gt;=13), "x", "")</f>
        <v/>
      </c>
      <c r="V4" s="171">
        <f>IF(AND(MOD(V$8-13, 12)=0, V$8&gt;=13), "x", "")</f>
        <v/>
      </c>
      <c r="W4" s="171">
        <f>IF(AND(MOD(W$8-13, 12)=0, W$8&gt;=13), "x", "")</f>
        <v/>
      </c>
      <c r="X4" s="171">
        <f>IF(AND(MOD(X$8-13, 12)=0, X$8&gt;=13), "x", "")</f>
        <v/>
      </c>
      <c r="Y4" s="171">
        <f>IF(AND(MOD(Y$8-13, 12)=0, Y$8&gt;=13), "x", "")</f>
        <v/>
      </c>
      <c r="Z4" s="171">
        <f>IF(AND(MOD(Z$8-13, 12)=0, Z$8&gt;=13), "x", "")</f>
        <v/>
      </c>
      <c r="AA4" s="171">
        <f>IF(AND(MOD(AA$8-13, 12)=0, AA$8&gt;=13), "x", "")</f>
        <v/>
      </c>
      <c r="AB4" s="171">
        <f>IF(AND(MOD(AB$8-13, 12)=0, AB$8&gt;=13), "x", "")</f>
        <v/>
      </c>
      <c r="AC4" s="171">
        <f>IF(AND(MOD(AC$8-13, 12)=0, AC$8&gt;=13), "x", "")</f>
        <v/>
      </c>
      <c r="AD4" s="171">
        <f>IF(AND(MOD(AD$8-13, 12)=0, AD$8&gt;=13), "x", "")</f>
        <v/>
      </c>
      <c r="AE4" s="171">
        <f>IF(AND(MOD(AE$8-13, 12)=0, AE$8&gt;=13), "x", "")</f>
        <v/>
      </c>
      <c r="AF4" s="171">
        <f>IF(AND(MOD(AF$8-13, 12)=0, AF$8&gt;=13), "x", "")</f>
        <v/>
      </c>
      <c r="AG4" s="171">
        <f>IF(AND(MOD(AG$8-13, 12)=0, AG$8&gt;=13), "x", "")</f>
        <v/>
      </c>
      <c r="AH4" s="171">
        <f>IF(AND(MOD(AH$8-13, 12)=0, AH$8&gt;=13), "x", "")</f>
        <v/>
      </c>
      <c r="AI4" s="171">
        <f>IF(AND(MOD(AI$8-13, 12)=0, AI$8&gt;=13), "x", "")</f>
        <v/>
      </c>
      <c r="AJ4" s="171">
        <f>IF(AND(MOD(AJ$8-13, 12)=0, AJ$8&gt;=13), "x", "")</f>
        <v/>
      </c>
      <c r="AK4" s="171">
        <f>IF(AND(MOD(AK$8-13, 12)=0, AK$8&gt;=13), "x", "")</f>
        <v/>
      </c>
      <c r="AL4" s="171">
        <f>IF(AND(MOD(AL$8-13, 12)=0, AL$8&gt;=13), "x", "")</f>
        <v/>
      </c>
      <c r="AM4" s="171">
        <f>IF(AND(MOD(AM$8-13, 12)=0, AM$8&gt;=13), "x", "")</f>
        <v/>
      </c>
      <c r="AN4" s="171">
        <f>IF(AND(MOD(AN$8-13, 12)=0, AN$8&gt;=13), "x", "")</f>
        <v/>
      </c>
      <c r="AO4" s="171">
        <f>IF(AND(MOD(AO$8-13, 12)=0, AO$8&gt;=13), "x", "")</f>
        <v/>
      </c>
      <c r="AP4" s="171">
        <f>IF(AND(MOD(AP$8-13, 12)=0, AP$8&gt;=13), "x", "")</f>
        <v/>
      </c>
      <c r="AQ4" s="171">
        <f>IF(AND(MOD(AQ$8-13, 12)=0, AQ$8&gt;=13), "x", "")</f>
        <v/>
      </c>
      <c r="AR4" s="171">
        <f>IF(AND(MOD(AR$8-13, 12)=0, AR$8&gt;=13), "x", "")</f>
        <v/>
      </c>
      <c r="AS4" s="171">
        <f>IF(AND(MOD(AS$8-13, 12)=0, AS$8&gt;=13), "x", "")</f>
        <v/>
      </c>
      <c r="AT4" s="171">
        <f>IF(AND(MOD(AT$8-13, 12)=0, AT$8&gt;=13), "x", "")</f>
        <v/>
      </c>
      <c r="AU4" s="171">
        <f>IF(AND(MOD(AU$8-13, 12)=0, AU$8&gt;=13), "x", "")</f>
        <v/>
      </c>
      <c r="AV4" s="171">
        <f>IF(AND(MOD(AV$8-13, 12)=0, AV$8&gt;=13), "x", "")</f>
        <v/>
      </c>
      <c r="AW4" s="171">
        <f>IF(AND(MOD(AW$8-13, 12)=0, AW$8&gt;=13), "x", "")</f>
        <v/>
      </c>
      <c r="AX4" s="171">
        <f>IF(AND(MOD(AX$8-13, 12)=0, AX$8&gt;=13), "x", "")</f>
        <v/>
      </c>
      <c r="AY4" s="171">
        <f>IF(AND(MOD(AY$8-13, 12)=0, AY$8&gt;=13), "x", "")</f>
        <v/>
      </c>
      <c r="AZ4" s="171">
        <f>IF(AND(MOD(AZ$8-13, 12)=0, AZ$8&gt;=13), "x", "")</f>
        <v/>
      </c>
      <c r="BA4" s="171">
        <f>IF(AND(MOD(BA$8-13, 12)=0, BA$8&gt;=13), "x", "")</f>
        <v/>
      </c>
      <c r="BB4" s="171">
        <f>IF(AND(MOD(BB$8-13, 12)=0, BB$8&gt;=13), "x", "")</f>
        <v/>
      </c>
      <c r="BC4" s="171">
        <f>IF(AND(MOD(BC$8-13, 12)=0, BC$8&gt;=13), "x", "")</f>
        <v/>
      </c>
      <c r="BD4" s="171">
        <f>IF(AND(MOD(BD$8-13, 12)=0, BD$8&gt;=13), "x", "")</f>
        <v/>
      </c>
      <c r="BE4" s="171">
        <f>IF(AND(MOD(BE$8-13, 12)=0, BE$8&gt;=13), "x", "")</f>
        <v/>
      </c>
      <c r="BF4" s="171">
        <f>IF(AND(MOD(BF$8-13, 12)=0, BF$8&gt;=13), "x", "")</f>
        <v/>
      </c>
      <c r="BG4" s="171">
        <f>IF(AND(MOD(BG$8-13, 12)=0, BG$8&gt;=13), "x", "")</f>
        <v/>
      </c>
      <c r="BH4" s="171">
        <f>IF(AND(MOD(BH$8-13, 12)=0, BH$8&gt;=13), "x", "")</f>
        <v/>
      </c>
      <c r="BI4" s="171">
        <f>IF(AND(MOD(BI$8-13, 12)=0, BI$8&gt;=13), "x", "")</f>
        <v/>
      </c>
      <c r="BJ4" s="171">
        <f>IF(AND(MOD(BJ$8-13, 12)=0, BJ$8&gt;=13), "x", "")</f>
        <v/>
      </c>
      <c r="BK4" s="171">
        <f>IF(AND(MOD(BK$8-13, 12)=0, BK$8&gt;=13), "x", "")</f>
        <v/>
      </c>
      <c r="BL4" s="171">
        <f>IF(AND(MOD(BL$8-13, 12)=0, BL$8&gt;=13), "x", "")</f>
        <v/>
      </c>
      <c r="BM4" s="171">
        <f>IF(AND(MOD(BM$8-13, 12)=0, BM$8&gt;=13), "x", "")</f>
        <v/>
      </c>
      <c r="BN4" s="171">
        <f>IF(AND(MOD(BN$8-13, 12)=0, BN$8&gt;=13), "x", "")</f>
        <v/>
      </c>
      <c r="BO4" s="171">
        <f>IF(AND(MOD(BO$8-13, 12)=0, BO$8&gt;=13), "x", "")</f>
        <v/>
      </c>
      <c r="BP4" s="171">
        <f>IF(AND(MOD(BP$8-13, 12)=0, BP$8&gt;=13), "x", "")</f>
        <v/>
      </c>
      <c r="BQ4" s="171">
        <f>IF(AND(MOD(BQ$8-13, 12)=0, BQ$8&gt;=13), "x", "")</f>
        <v/>
      </c>
      <c r="BR4" s="171">
        <f>IF(AND(MOD(BR$8-13, 12)=0, BR$8&gt;=13), "x", "")</f>
        <v/>
      </c>
      <c r="BS4" s="171">
        <f>IF(AND(MOD(BS$8-13, 12)=0, BS$8&gt;=13), "x", "")</f>
        <v/>
      </c>
      <c r="BT4" s="171">
        <f>IF(AND(MOD(BT$8-13, 12)=0, BT$8&gt;=13), "x", "")</f>
        <v/>
      </c>
      <c r="BU4" s="171">
        <f>IF(AND(MOD(BU$8-13, 12)=0, BU$8&gt;=13), "x", "")</f>
        <v/>
      </c>
      <c r="BV4" s="171">
        <f>IF(AND(MOD(BV$8-13, 12)=0, BV$8&gt;=13), "x", "")</f>
        <v/>
      </c>
      <c r="BW4" s="171">
        <f>IF(AND(MOD(BW$8-13, 12)=0, BW$8&gt;=13), "x", "")</f>
        <v/>
      </c>
      <c r="BX4" s="171">
        <f>IF(AND(MOD(BX$8-13, 12)=0, BX$8&gt;=13), "x", "")</f>
        <v/>
      </c>
      <c r="BY4" s="171">
        <f>IF(AND(MOD(BY$8-13, 12)=0, BY$8&gt;=13), "x", "")</f>
        <v/>
      </c>
      <c r="BZ4" s="171">
        <f>IF(AND(MOD(BZ$8-13, 12)=0, BZ$8&gt;=13), "x", "")</f>
        <v/>
      </c>
      <c r="CA4" s="171">
        <f>IF(AND(MOD(CA$8-13, 12)=0, CA$8&gt;=13), "x", "")</f>
        <v/>
      </c>
      <c r="CB4" s="171">
        <f>IF(AND(MOD(CB$8-13, 12)=0, CB$8&gt;=13), "x", "")</f>
        <v/>
      </c>
      <c r="CC4" s="171">
        <f>IF(AND(MOD(CC$8-13, 12)=0, CC$8&gt;=13), "x", "")</f>
        <v/>
      </c>
      <c r="CD4" s="171">
        <f>IF(AND(MOD(CD$8-13, 12)=0, CD$8&gt;=13), "x", "")</f>
        <v/>
      </c>
      <c r="CE4" s="171">
        <f>IF(AND(MOD(CE$8-13, 12)=0, CE$8&gt;=13), "x", "")</f>
        <v/>
      </c>
      <c r="CF4" s="171">
        <f>IF(AND(MOD(CF$8-13, 12)=0, CF$8&gt;=13), "x", "")</f>
        <v/>
      </c>
      <c r="CG4" s="171">
        <f>IF(AND(MOD(CG$8-13, 12)=0, CG$8&gt;=13), "x", "")</f>
        <v/>
      </c>
      <c r="CH4" s="171">
        <f>IF(AND(MOD(CH$8-13, 12)=0, CH$8&gt;=13), "x", "")</f>
        <v/>
      </c>
      <c r="CI4" s="171">
        <f>IF(AND(MOD(CI$8-13, 12)=0, CI$8&gt;=13), "x", "")</f>
        <v/>
      </c>
      <c r="CJ4" s="171">
        <f>IF(AND(MOD(CJ$8-13, 12)=0, CJ$8&gt;=13), "x", "")</f>
        <v/>
      </c>
      <c r="CK4" s="171">
        <f>IF(AND(MOD(CK$8-13, 12)=0, CK$8&gt;=13), "x", "")</f>
        <v/>
      </c>
      <c r="CL4" s="171">
        <f>IF(AND(MOD(CL$8-13, 12)=0, CL$8&gt;=13), "x", "")</f>
        <v/>
      </c>
      <c r="CM4" s="171">
        <f>IF(AND(MOD(CM$8-13, 12)=0, CM$8&gt;=13), "x", "")</f>
        <v/>
      </c>
      <c r="CN4" s="171">
        <f>IF(AND(MOD(CN$8-13, 12)=0, CN$8&gt;=13), "x", "")</f>
        <v/>
      </c>
      <c r="CO4" s="171">
        <f>IF(AND(MOD(CO$8-13, 12)=0, CO$8&gt;=13), "x", "")</f>
        <v/>
      </c>
      <c r="CP4" s="171">
        <f>IF(AND(MOD(CP$8-13, 12)=0, CP$8&gt;=13), "x", "")</f>
        <v/>
      </c>
      <c r="CQ4" s="171">
        <f>IF(AND(MOD(CQ$8-13, 12)=0, CQ$8&gt;=13), "x", "")</f>
        <v/>
      </c>
      <c r="CR4" s="171">
        <f>IF(AND(MOD(CR$8-13, 12)=0, CR$8&gt;=13), "x", "")</f>
        <v/>
      </c>
      <c r="CS4" s="171">
        <f>IF(AND(MOD(CS$8-13, 12)=0, CS$8&gt;=13), "x", "")</f>
        <v/>
      </c>
      <c r="CT4" s="171">
        <f>IF(AND(MOD(CT$8-13, 12)=0, CT$8&gt;=13), "x", "")</f>
        <v/>
      </c>
      <c r="CU4" s="171">
        <f>IF(AND(MOD(CU$8-13, 12)=0, CU$8&gt;=13), "x", "")</f>
        <v/>
      </c>
      <c r="CV4" s="171">
        <f>IF(AND(MOD(CV$8-13, 12)=0, CV$8&gt;=13), "x", "")</f>
        <v/>
      </c>
      <c r="CW4" s="171">
        <f>IF(AND(MOD(CW$8-13, 12)=0, CW$8&gt;=13), "x", "")</f>
        <v/>
      </c>
      <c r="CX4" s="171">
        <f>IF(AND(MOD(CX$8-13, 12)=0, CX$8&gt;=13), "x", "")</f>
        <v/>
      </c>
      <c r="CY4" s="171">
        <f>IF(AND(MOD(CY$8-13, 12)=0, CY$8&gt;=13), "x", "")</f>
        <v/>
      </c>
      <c r="CZ4" s="171">
        <f>IF(AND(MOD(CZ$8-13, 12)=0, CZ$8&gt;=13), "x", "")</f>
        <v/>
      </c>
      <c r="DA4" s="171">
        <f>IF(AND(MOD(DA$8-13, 12)=0, DA$8&gt;=13), "x", "")</f>
        <v/>
      </c>
      <c r="DB4" s="171">
        <f>IF(AND(MOD(DB$8-13, 12)=0, DB$8&gt;=13), "x", "")</f>
        <v/>
      </c>
      <c r="DC4" s="171">
        <f>IF(AND(MOD(DC$8-13, 12)=0, DC$8&gt;=13), "x", "")</f>
        <v/>
      </c>
      <c r="DD4" s="171">
        <f>IF(AND(MOD(DD$8-13, 12)=0, DD$8&gt;=13), "x", "")</f>
        <v/>
      </c>
      <c r="DE4" s="171">
        <f>IF(AND(MOD(DE$8-13, 12)=0, DE$8&gt;=13), "x", "")</f>
        <v/>
      </c>
      <c r="DF4" s="171">
        <f>IF(AND(MOD(DF$8-13, 12)=0, DF$8&gt;=13), "x", "")</f>
        <v/>
      </c>
      <c r="DG4" s="171">
        <f>IF(AND(MOD(DG$8-13, 12)=0, DG$8&gt;=13), "x", "")</f>
        <v/>
      </c>
      <c r="DH4" s="171">
        <f>IF(AND(MOD(DH$8-13, 12)=0, DH$8&gt;=13), "x", "")</f>
        <v/>
      </c>
      <c r="DI4" s="171">
        <f>IF(AND(MOD(DI$8-13, 12)=0, DI$8&gt;=13), "x", "")</f>
        <v/>
      </c>
      <c r="DJ4" s="171">
        <f>IF(AND(MOD(DJ$8-13, 12)=0, DJ$8&gt;=13), "x", "")</f>
        <v/>
      </c>
      <c r="DK4" s="171">
        <f>IF(AND(MOD(DK$8-13, 12)=0, DK$8&gt;=13), "x", "")</f>
        <v/>
      </c>
      <c r="DL4" s="171">
        <f>IF(AND(MOD(DL$8-13, 12)=0, DL$8&gt;=13), "x", "")</f>
        <v/>
      </c>
      <c r="DM4" s="171">
        <f>IF(AND(MOD(DM$8-13, 12)=0, DM$8&gt;=13), "x", "")</f>
        <v/>
      </c>
      <c r="DN4" s="171">
        <f>IF(AND(MOD(DN$8-13, 12)=0, DN$8&gt;=13), "x", "")</f>
        <v/>
      </c>
      <c r="DO4" s="171">
        <f>IF(AND(MOD(DO$8-13, 12)=0, DO$8&gt;=13), "x", "")</f>
        <v/>
      </c>
      <c r="DP4" s="171">
        <f>IF(AND(MOD(DP$8-13, 12)=0, DP$8&gt;=13), "x", "")</f>
        <v/>
      </c>
      <c r="DQ4" s="171">
        <f>IF(AND(MOD(DQ$8-13, 12)=0, DQ$8&gt;=13), "x", "")</f>
        <v/>
      </c>
      <c r="DR4" s="171">
        <f>IF(AND(MOD(DR$8-13, 12)=0, DR$8&gt;=13), "x", "")</f>
        <v/>
      </c>
      <c r="DS4" s="171">
        <f>IF(AND(MOD(DS$8-13, 12)=0, DS$8&gt;=13), "x", "")</f>
        <v/>
      </c>
      <c r="DT4" s="171">
        <f>IF(AND(MOD(DT$8-13, 12)=0, DT$8&gt;=13), "x", "")</f>
        <v/>
      </c>
    </row>
    <row r="5">
      <c r="C5" s="153" t="inlineStr">
        <is>
          <t>Stabalization Anniversary</t>
        </is>
      </c>
      <c r="D5" s="283">
        <f>'Inputs &amp; Summary'!D57</f>
        <v/>
      </c>
      <c r="E5" s="171">
        <f>IF(AND(MOD(E$8-$D$5, 12)=0, E$8&gt;=$D$5), "x", "")</f>
        <v/>
      </c>
      <c r="F5" s="171">
        <f>IF(AND(MOD(F$8-$D$5, 12)=0, F$8&gt;=$D$5), "x", "")</f>
        <v/>
      </c>
      <c r="G5" s="171">
        <f>IF(AND(MOD(G$8-$D$5, 12)=0, G$8&gt;=$D$5), "x", "")</f>
        <v/>
      </c>
      <c r="H5" s="171">
        <f>IF(AND(MOD(H$8-$D$5, 12)=0, H$8&gt;=$D$5), "x", "")</f>
        <v/>
      </c>
      <c r="I5" s="171">
        <f>IF(AND(MOD(I$8-$D$5, 12)=0, I$8&gt;=$D$5), "x", "")</f>
        <v/>
      </c>
      <c r="J5" s="171">
        <f>IF(AND(MOD(J$8-$D$5, 12)=0, J$8&gt;=$D$5), "x", "")</f>
        <v/>
      </c>
      <c r="K5" s="171">
        <f>IF(AND(MOD(K$8-$D$5, 12)=0, K$8&gt;=$D$5), "x", "")</f>
        <v/>
      </c>
      <c r="L5" s="171">
        <f>IF(AND(MOD(L$8-$D$5, 12)=0, L$8&gt;=$D$5), "x", "")</f>
        <v/>
      </c>
      <c r="M5" s="171">
        <f>IF(AND(MOD(M$8-$D$5, 12)=0, M$8&gt;=$D$5), "x", "")</f>
        <v/>
      </c>
      <c r="N5" s="171">
        <f>IF(AND(MOD(N$8-$D$5, 12)=0, N$8&gt;=$D$5), "x", "")</f>
        <v/>
      </c>
      <c r="O5" s="171">
        <f>IF(AND(MOD(O$8-$D$5, 12)=0, O$8&gt;=$D$5), "x", "")</f>
        <v/>
      </c>
      <c r="P5" s="171">
        <f>IF(AND(MOD(P$8-$D$5, 12)=0, P$8&gt;=$D$5), "x", "")</f>
        <v/>
      </c>
      <c r="Q5" s="171">
        <f>IF(AND(MOD(Q$8-$D$5, 12)=0, Q$8&gt;=$D$5), "x", "")</f>
        <v/>
      </c>
      <c r="R5" s="171">
        <f>IF(AND(MOD(R$8-$D$5, 12)=0, R$8&gt;=$D$5), "x", "")</f>
        <v/>
      </c>
      <c r="S5" s="171">
        <f>IF(AND(MOD(S$8-$D$5, 12)=0, S$8&gt;=$D$5), "x", "")</f>
        <v/>
      </c>
      <c r="T5" s="171">
        <f>IF(AND(MOD(T$8-$D$5, 12)=0, T$8&gt;=$D$5), "x", "")</f>
        <v/>
      </c>
      <c r="U5" s="171">
        <f>IF(AND(MOD(U$8-$D$5, 12)=0, U$8&gt;=$D$5), "x", "")</f>
        <v/>
      </c>
      <c r="V5" s="171">
        <f>IF(AND(MOD(V$8-$D$5, 12)=0, V$8&gt;=$D$5), "x", "")</f>
        <v/>
      </c>
      <c r="W5" s="171">
        <f>IF(AND(MOD(W$8-$D$5, 12)=0, W$8&gt;=$D$5), "x", "")</f>
        <v/>
      </c>
      <c r="X5" s="171">
        <f>IF(AND(MOD(X$8-$D$5, 12)=0, X$8&gt;=$D$5), "x", "")</f>
        <v/>
      </c>
      <c r="Y5" s="171">
        <f>IF(AND(MOD(Y$8-$D$5, 12)=0, Y$8&gt;=$D$5), "x", "")</f>
        <v/>
      </c>
      <c r="Z5" s="171">
        <f>IF(AND(MOD(Z$8-$D$5, 12)=0, Z$8&gt;=$D$5), "x", "")</f>
        <v/>
      </c>
      <c r="AA5" s="171">
        <f>IF(AND(MOD(AA$8-$D$5, 12)=0, AA$8&gt;=$D$5), "x", "")</f>
        <v/>
      </c>
      <c r="AB5" s="171">
        <f>IF(AND(MOD(AB$8-$D$5, 12)=0, AB$8&gt;=$D$5), "x", "")</f>
        <v/>
      </c>
      <c r="AC5" s="171">
        <f>IF(AND(MOD(AC$8-$D$5, 12)=0, AC$8&gt;=$D$5), "x", "")</f>
        <v/>
      </c>
      <c r="AD5" s="171">
        <f>IF(AND(MOD(AD$8-$D$5, 12)=0, AD$8&gt;=$D$5), "x", "")</f>
        <v/>
      </c>
      <c r="AE5" s="171">
        <f>IF(AND(MOD(AE$8-$D$5, 12)=0, AE$8&gt;=$D$5), "x", "")</f>
        <v/>
      </c>
      <c r="AF5" s="171">
        <f>IF(AND(MOD(AF$8-$D$5, 12)=0, AF$8&gt;=$D$5), "x", "")</f>
        <v/>
      </c>
      <c r="AG5" s="171">
        <f>IF(AND(MOD(AG$8-$D$5, 12)=0, AG$8&gt;=$D$5), "x", "")</f>
        <v/>
      </c>
      <c r="AH5" s="171">
        <f>IF(AND(MOD(AH$8-$D$5, 12)=0, AH$8&gt;=$D$5), "x", "")</f>
        <v/>
      </c>
      <c r="AI5" s="171">
        <f>IF(AND(MOD(AI$8-$D$5, 12)=0, AI$8&gt;=$D$5), "x", "")</f>
        <v/>
      </c>
      <c r="AJ5" s="171">
        <f>IF(AND(MOD(AJ$8-$D$5, 12)=0, AJ$8&gt;=$D$5), "x", "")</f>
        <v/>
      </c>
      <c r="AK5" s="171">
        <f>IF(AND(MOD(AK$8-$D$5, 12)=0, AK$8&gt;=$D$5), "x", "")</f>
        <v/>
      </c>
      <c r="AL5" s="171">
        <f>IF(AND(MOD(AL$8-$D$5, 12)=0, AL$8&gt;=$D$5), "x", "")</f>
        <v/>
      </c>
      <c r="AM5" s="171">
        <f>IF(AND(MOD(AM$8-$D$5, 12)=0, AM$8&gt;=$D$5), "x", "")</f>
        <v/>
      </c>
      <c r="AN5" s="171">
        <f>IF(AND(MOD(AN$8-$D$5, 12)=0, AN$8&gt;=$D$5), "x", "")</f>
        <v/>
      </c>
      <c r="AO5" s="171">
        <f>IF(AND(MOD(AO$8-$D$5, 12)=0, AO$8&gt;=$D$5), "x", "")</f>
        <v/>
      </c>
      <c r="AP5" s="171">
        <f>IF(AND(MOD(AP$8-$D$5, 12)=0, AP$8&gt;=$D$5), "x", "")</f>
        <v/>
      </c>
      <c r="AQ5" s="171">
        <f>IF(AND(MOD(AQ$8-$D$5, 12)=0, AQ$8&gt;=$D$5), "x", "")</f>
        <v/>
      </c>
      <c r="AR5" s="171">
        <f>IF(AND(MOD(AR$8-$D$5, 12)=0, AR$8&gt;=$D$5), "x", "")</f>
        <v/>
      </c>
      <c r="AS5" s="171">
        <f>IF(AND(MOD(AS$8-$D$5, 12)=0, AS$8&gt;=$D$5), "x", "")</f>
        <v/>
      </c>
      <c r="AT5" s="171">
        <f>IF(AND(MOD(AT$8-$D$5, 12)=0, AT$8&gt;=$D$5), "x", "")</f>
        <v/>
      </c>
      <c r="AU5" s="171">
        <f>IF(AND(MOD(AU$8-$D$5, 12)=0, AU$8&gt;=$D$5), "x", "")</f>
        <v/>
      </c>
      <c r="AV5" s="171">
        <f>IF(AND(MOD(AV$8-$D$5, 12)=0, AV$8&gt;=$D$5), "x", "")</f>
        <v/>
      </c>
      <c r="AW5" s="171">
        <f>IF(AND(MOD(AW$8-$D$5, 12)=0, AW$8&gt;=$D$5), "x", "")</f>
        <v/>
      </c>
      <c r="AX5" s="171">
        <f>IF(AND(MOD(AX$8-$D$5, 12)=0, AX$8&gt;=$D$5), "x", "")</f>
        <v/>
      </c>
      <c r="AY5" s="171">
        <f>IF(AND(MOD(AY$8-$D$5, 12)=0, AY$8&gt;=$D$5), "x", "")</f>
        <v/>
      </c>
      <c r="AZ5" s="171">
        <f>IF(AND(MOD(AZ$8-$D$5, 12)=0, AZ$8&gt;=$D$5), "x", "")</f>
        <v/>
      </c>
      <c r="BA5" s="171">
        <f>IF(AND(MOD(BA$8-$D$5, 12)=0, BA$8&gt;=$D$5), "x", "")</f>
        <v/>
      </c>
      <c r="BB5" s="171">
        <f>IF(AND(MOD(BB$8-$D$5, 12)=0, BB$8&gt;=$D$5), "x", "")</f>
        <v/>
      </c>
      <c r="BC5" s="171">
        <f>IF(AND(MOD(BC$8-$D$5, 12)=0, BC$8&gt;=$D$5), "x", "")</f>
        <v/>
      </c>
      <c r="BD5" s="171">
        <f>IF(AND(MOD(BD$8-$D$5, 12)=0, BD$8&gt;=$D$5), "x", "")</f>
        <v/>
      </c>
      <c r="BE5" s="171">
        <f>IF(AND(MOD(BE$8-$D$5, 12)=0, BE$8&gt;=$D$5), "x", "")</f>
        <v/>
      </c>
      <c r="BF5" s="171">
        <f>IF(AND(MOD(BF$8-$D$5, 12)=0, BF$8&gt;=$D$5), "x", "")</f>
        <v/>
      </c>
      <c r="BG5" s="171">
        <f>IF(AND(MOD(BG$8-$D$5, 12)=0, BG$8&gt;=$D$5), "x", "")</f>
        <v/>
      </c>
      <c r="BH5" s="171">
        <f>IF(AND(MOD(BH$8-$D$5, 12)=0, BH$8&gt;=$D$5), "x", "")</f>
        <v/>
      </c>
      <c r="BI5" s="171">
        <f>IF(AND(MOD(BI$8-$D$5, 12)=0, BI$8&gt;=$D$5), "x", "")</f>
        <v/>
      </c>
      <c r="BJ5" s="171">
        <f>IF(AND(MOD(BJ$8-$D$5, 12)=0, BJ$8&gt;=$D$5), "x", "")</f>
        <v/>
      </c>
      <c r="BK5" s="171">
        <f>IF(AND(MOD(BK$8-$D$5, 12)=0, BK$8&gt;=$D$5), "x", "")</f>
        <v/>
      </c>
      <c r="BL5" s="171">
        <f>IF(AND(MOD(BL$8-$D$5, 12)=0, BL$8&gt;=$D$5), "x", "")</f>
        <v/>
      </c>
      <c r="BM5" s="171">
        <f>IF(AND(MOD(BM$8-$D$5, 12)=0, BM$8&gt;=$D$5), "x", "")</f>
        <v/>
      </c>
      <c r="BN5" s="171">
        <f>IF(AND(MOD(BN$8-$D$5, 12)=0, BN$8&gt;=$D$5), "x", "")</f>
        <v/>
      </c>
      <c r="BO5" s="171">
        <f>IF(AND(MOD(BO$8-$D$5, 12)=0, BO$8&gt;=$D$5), "x", "")</f>
        <v/>
      </c>
      <c r="BP5" s="171">
        <f>IF(AND(MOD(BP$8-$D$5, 12)=0, BP$8&gt;=$D$5), "x", "")</f>
        <v/>
      </c>
      <c r="BQ5" s="171">
        <f>IF(AND(MOD(BQ$8-$D$5, 12)=0, BQ$8&gt;=$D$5), "x", "")</f>
        <v/>
      </c>
      <c r="BR5" s="171">
        <f>IF(AND(MOD(BR$8-$D$5, 12)=0, BR$8&gt;=$D$5), "x", "")</f>
        <v/>
      </c>
      <c r="BS5" s="171">
        <f>IF(AND(MOD(BS$8-$D$5, 12)=0, BS$8&gt;=$D$5), "x", "")</f>
        <v/>
      </c>
      <c r="BT5" s="171">
        <f>IF(AND(MOD(BT$8-$D$5, 12)=0, BT$8&gt;=$D$5), "x", "")</f>
        <v/>
      </c>
      <c r="BU5" s="171">
        <f>IF(AND(MOD(BU$8-$D$5, 12)=0, BU$8&gt;=$D$5), "x", "")</f>
        <v/>
      </c>
      <c r="BV5" s="171">
        <f>IF(AND(MOD(BV$8-$D$5, 12)=0, BV$8&gt;=$D$5), "x", "")</f>
        <v/>
      </c>
      <c r="BW5" s="171">
        <f>IF(AND(MOD(BW$8-$D$5, 12)=0, BW$8&gt;=$D$5), "x", "")</f>
        <v/>
      </c>
      <c r="BX5" s="171">
        <f>IF(AND(MOD(BX$8-$D$5, 12)=0, BX$8&gt;=$D$5), "x", "")</f>
        <v/>
      </c>
      <c r="BY5" s="171">
        <f>IF(AND(MOD(BY$8-$D$5, 12)=0, BY$8&gt;=$D$5), "x", "")</f>
        <v/>
      </c>
      <c r="BZ5" s="171">
        <f>IF(AND(MOD(BZ$8-$D$5, 12)=0, BZ$8&gt;=$D$5), "x", "")</f>
        <v/>
      </c>
      <c r="CA5" s="171">
        <f>IF(AND(MOD(CA$8-$D$5, 12)=0, CA$8&gt;=$D$5), "x", "")</f>
        <v/>
      </c>
      <c r="CB5" s="171">
        <f>IF(AND(MOD(CB$8-$D$5, 12)=0, CB$8&gt;=$D$5), "x", "")</f>
        <v/>
      </c>
      <c r="CC5" s="171">
        <f>IF(AND(MOD(CC$8-$D$5, 12)=0, CC$8&gt;=$D$5), "x", "")</f>
        <v/>
      </c>
      <c r="CD5" s="171">
        <f>IF(AND(MOD(CD$8-$D$5, 12)=0, CD$8&gt;=$D$5), "x", "")</f>
        <v/>
      </c>
      <c r="CE5" s="171">
        <f>IF(AND(MOD(CE$8-$D$5, 12)=0, CE$8&gt;=$D$5), "x", "")</f>
        <v/>
      </c>
      <c r="CF5" s="171">
        <f>IF(AND(MOD(CF$8-$D$5, 12)=0, CF$8&gt;=$D$5), "x", "")</f>
        <v/>
      </c>
      <c r="CG5" s="171">
        <f>IF(AND(MOD(CG$8-$D$5, 12)=0, CG$8&gt;=$D$5), "x", "")</f>
        <v/>
      </c>
      <c r="CH5" s="171">
        <f>IF(AND(MOD(CH$8-$D$5, 12)=0, CH$8&gt;=$D$5), "x", "")</f>
        <v/>
      </c>
      <c r="CI5" s="171">
        <f>IF(AND(MOD(CI$8-$D$5, 12)=0, CI$8&gt;=$D$5), "x", "")</f>
        <v/>
      </c>
      <c r="CJ5" s="171">
        <f>IF(AND(MOD(CJ$8-$D$5, 12)=0, CJ$8&gt;=$D$5), "x", "")</f>
        <v/>
      </c>
      <c r="CK5" s="171">
        <f>IF(AND(MOD(CK$8-$D$5, 12)=0, CK$8&gt;=$D$5), "x", "")</f>
        <v/>
      </c>
      <c r="CL5" s="171">
        <f>IF(AND(MOD(CL$8-$D$5, 12)=0, CL$8&gt;=$D$5), "x", "")</f>
        <v/>
      </c>
      <c r="CM5" s="171">
        <f>IF(AND(MOD(CM$8-$D$5, 12)=0, CM$8&gt;=$D$5), "x", "")</f>
        <v/>
      </c>
      <c r="CN5" s="171">
        <f>IF(AND(MOD(CN$8-$D$5, 12)=0, CN$8&gt;=$D$5), "x", "")</f>
        <v/>
      </c>
      <c r="CO5" s="171">
        <f>IF(AND(MOD(CO$8-$D$5, 12)=0, CO$8&gt;=$D$5), "x", "")</f>
        <v/>
      </c>
      <c r="CP5" s="171">
        <f>IF(AND(MOD(CP$8-$D$5, 12)=0, CP$8&gt;=$D$5), "x", "")</f>
        <v/>
      </c>
      <c r="CQ5" s="171">
        <f>IF(AND(MOD(CQ$8-$D$5, 12)=0, CQ$8&gt;=$D$5), "x", "")</f>
        <v/>
      </c>
      <c r="CR5" s="171">
        <f>IF(AND(MOD(CR$8-$D$5, 12)=0, CR$8&gt;=$D$5), "x", "")</f>
        <v/>
      </c>
      <c r="CS5" s="171">
        <f>IF(AND(MOD(CS$8-$D$5, 12)=0, CS$8&gt;=$D$5), "x", "")</f>
        <v/>
      </c>
      <c r="CT5" s="171">
        <f>IF(AND(MOD(CT$8-$D$5, 12)=0, CT$8&gt;=$D$5), "x", "")</f>
        <v/>
      </c>
      <c r="CU5" s="171">
        <f>IF(AND(MOD(CU$8-$D$5, 12)=0, CU$8&gt;=$D$5), "x", "")</f>
        <v/>
      </c>
      <c r="CV5" s="171">
        <f>IF(AND(MOD(CV$8-$D$5, 12)=0, CV$8&gt;=$D$5), "x", "")</f>
        <v/>
      </c>
      <c r="CW5" s="171">
        <f>IF(AND(MOD(CW$8-$D$5, 12)=0, CW$8&gt;=$D$5), "x", "")</f>
        <v/>
      </c>
      <c r="CX5" s="171">
        <f>IF(AND(MOD(CX$8-$D$5, 12)=0, CX$8&gt;=$D$5), "x", "")</f>
        <v/>
      </c>
      <c r="CY5" s="171">
        <f>IF(AND(MOD(CY$8-$D$5, 12)=0, CY$8&gt;=$D$5), "x", "")</f>
        <v/>
      </c>
      <c r="CZ5" s="171">
        <f>IF(AND(MOD(CZ$8-$D$5, 12)=0, CZ$8&gt;=$D$5), "x", "")</f>
        <v/>
      </c>
      <c r="DA5" s="171">
        <f>IF(AND(MOD(DA$8-$D$5, 12)=0, DA$8&gt;=$D$5), "x", "")</f>
        <v/>
      </c>
      <c r="DB5" s="171">
        <f>IF(AND(MOD(DB$8-$D$5, 12)=0, DB$8&gt;=$D$5), "x", "")</f>
        <v/>
      </c>
      <c r="DC5" s="171">
        <f>IF(AND(MOD(DC$8-$D$5, 12)=0, DC$8&gt;=$D$5), "x", "")</f>
        <v/>
      </c>
      <c r="DD5" s="171">
        <f>IF(AND(MOD(DD$8-$D$5, 12)=0, DD$8&gt;=$D$5), "x", "")</f>
        <v/>
      </c>
      <c r="DE5" s="171">
        <f>IF(AND(MOD(DE$8-$D$5, 12)=0, DE$8&gt;=$D$5), "x", "")</f>
        <v/>
      </c>
      <c r="DF5" s="171">
        <f>IF(AND(MOD(DF$8-$D$5, 12)=0, DF$8&gt;=$D$5), "x", "")</f>
        <v/>
      </c>
      <c r="DG5" s="171">
        <f>IF(AND(MOD(DG$8-$D$5, 12)=0, DG$8&gt;=$D$5), "x", "")</f>
        <v/>
      </c>
      <c r="DH5" s="171">
        <f>IF(AND(MOD(DH$8-$D$5, 12)=0, DH$8&gt;=$D$5), "x", "")</f>
        <v/>
      </c>
      <c r="DI5" s="171">
        <f>IF(AND(MOD(DI$8-$D$5, 12)=0, DI$8&gt;=$D$5), "x", "")</f>
        <v/>
      </c>
      <c r="DJ5" s="171">
        <f>IF(AND(MOD(DJ$8-$D$5, 12)=0, DJ$8&gt;=$D$5), "x", "")</f>
        <v/>
      </c>
      <c r="DK5" s="171">
        <f>IF(AND(MOD(DK$8-$D$5, 12)=0, DK$8&gt;=$D$5), "x", "")</f>
        <v/>
      </c>
      <c r="DL5" s="171">
        <f>IF(AND(MOD(DL$8-$D$5, 12)=0, DL$8&gt;=$D$5), "x", "")</f>
        <v/>
      </c>
      <c r="DM5" s="171">
        <f>IF(AND(MOD(DM$8-$D$5, 12)=0, DM$8&gt;=$D$5), "x", "")</f>
        <v/>
      </c>
      <c r="DN5" s="171">
        <f>IF(AND(MOD(DN$8-$D$5, 12)=0, DN$8&gt;=$D$5), "x", "")</f>
        <v/>
      </c>
      <c r="DO5" s="171">
        <f>IF(AND(MOD(DO$8-$D$5, 12)=0, DO$8&gt;=$D$5), "x", "")</f>
        <v/>
      </c>
      <c r="DP5" s="171">
        <f>IF(AND(MOD(DP$8-$D$5, 12)=0, DP$8&gt;=$D$5), "x", "")</f>
        <v/>
      </c>
      <c r="DQ5" s="171">
        <f>IF(AND(MOD(DQ$8-$D$5, 12)=0, DQ$8&gt;=$D$5), "x", "")</f>
        <v/>
      </c>
      <c r="DR5" s="171">
        <f>IF(AND(MOD(DR$8-$D$5, 12)=0, DR$8&gt;=$D$5), "x", "")</f>
        <v/>
      </c>
      <c r="DS5" s="171">
        <f>IF(AND(MOD(DS$8-$D$5, 12)=0, DS$8&gt;=$D$5), "x", "")</f>
        <v/>
      </c>
      <c r="DT5" s="171">
        <f>IF(AND(MOD(DT$8-$D$5, 12)=0, DT$8&gt;=$D$5), "x", "")</f>
        <v/>
      </c>
    </row>
    <row r="6">
      <c r="C6" s="25" t="inlineStr">
        <is>
          <t>Date</t>
        </is>
      </c>
      <c r="D6" s="286">
        <f>'Inputs &amp; Summary'!$D$20</f>
        <v/>
      </c>
      <c r="E6" s="286">
        <f>EOMONTH(D6,1)</f>
        <v/>
      </c>
      <c r="F6" s="286">
        <f>EOMONTH(E6,1)</f>
        <v/>
      </c>
      <c r="G6" s="286">
        <f>EOMONTH(F6,1)</f>
        <v/>
      </c>
      <c r="H6" s="286">
        <f>EOMONTH(G6,1)</f>
        <v/>
      </c>
      <c r="I6" s="286">
        <f>EOMONTH(H6,1)</f>
        <v/>
      </c>
      <c r="J6" s="286">
        <f>EOMONTH(I6,1)</f>
        <v/>
      </c>
      <c r="K6" s="286">
        <f>EOMONTH(J6,1)</f>
        <v/>
      </c>
      <c r="L6" s="286">
        <f>EOMONTH(K6,1)</f>
        <v/>
      </c>
      <c r="M6" s="286">
        <f>EOMONTH(L6,1)</f>
        <v/>
      </c>
      <c r="N6" s="286">
        <f>EOMONTH(M6,1)</f>
        <v/>
      </c>
      <c r="O6" s="286">
        <f>EOMONTH(N6,1)</f>
        <v/>
      </c>
      <c r="P6" s="286">
        <f>EOMONTH(O6,1)</f>
        <v/>
      </c>
      <c r="Q6" s="286">
        <f>EOMONTH(P6,1)</f>
        <v/>
      </c>
      <c r="R6" s="286">
        <f>EOMONTH(Q6,1)</f>
        <v/>
      </c>
      <c r="S6" s="286">
        <f>EOMONTH(R6,1)</f>
        <v/>
      </c>
      <c r="T6" s="286">
        <f>EOMONTH(S6,1)</f>
        <v/>
      </c>
      <c r="U6" s="286">
        <f>EOMONTH(T6,1)</f>
        <v/>
      </c>
      <c r="V6" s="286">
        <f>EOMONTH(U6,1)</f>
        <v/>
      </c>
      <c r="W6" s="286">
        <f>EOMONTH(V6,1)</f>
        <v/>
      </c>
      <c r="X6" s="286">
        <f>EOMONTH(W6,1)</f>
        <v/>
      </c>
      <c r="Y6" s="286">
        <f>EOMONTH(X6,1)</f>
        <v/>
      </c>
      <c r="Z6" s="286">
        <f>EOMONTH(Y6,1)</f>
        <v/>
      </c>
      <c r="AA6" s="286">
        <f>EOMONTH(Z6,1)</f>
        <v/>
      </c>
      <c r="AB6" s="286">
        <f>EOMONTH(AA6,1)</f>
        <v/>
      </c>
      <c r="AC6" s="286">
        <f>EOMONTH(AB6,1)</f>
        <v/>
      </c>
      <c r="AD6" s="286">
        <f>EOMONTH(AC6,1)</f>
        <v/>
      </c>
      <c r="AE6" s="286">
        <f>EOMONTH(AD6,1)</f>
        <v/>
      </c>
      <c r="AF6" s="286">
        <f>EOMONTH(AE6,1)</f>
        <v/>
      </c>
      <c r="AG6" s="286">
        <f>EOMONTH(AF6,1)</f>
        <v/>
      </c>
      <c r="AH6" s="286">
        <f>EOMONTH(AG6,1)</f>
        <v/>
      </c>
      <c r="AI6" s="286">
        <f>EOMONTH(AH6,1)</f>
        <v/>
      </c>
      <c r="AJ6" s="286">
        <f>EOMONTH(AI6,1)</f>
        <v/>
      </c>
      <c r="AK6" s="286">
        <f>EOMONTH(AJ6,1)</f>
        <v/>
      </c>
      <c r="AL6" s="286">
        <f>EOMONTH(AK6,1)</f>
        <v/>
      </c>
      <c r="AM6" s="286">
        <f>EOMONTH(AL6,1)</f>
        <v/>
      </c>
      <c r="AN6" s="286">
        <f>EOMONTH(AM6,1)</f>
        <v/>
      </c>
      <c r="AO6" s="286">
        <f>EOMONTH(AN6,1)</f>
        <v/>
      </c>
      <c r="AP6" s="286">
        <f>EOMONTH(AO6,1)</f>
        <v/>
      </c>
      <c r="AQ6" s="286">
        <f>EOMONTH(AP6,1)</f>
        <v/>
      </c>
      <c r="AR6" s="286">
        <f>EOMONTH(AQ6,1)</f>
        <v/>
      </c>
      <c r="AS6" s="286">
        <f>EOMONTH(AR6,1)</f>
        <v/>
      </c>
      <c r="AT6" s="286">
        <f>EOMONTH(AS6,1)</f>
        <v/>
      </c>
      <c r="AU6" s="286">
        <f>EOMONTH(AT6,1)</f>
        <v/>
      </c>
      <c r="AV6" s="286">
        <f>EOMONTH(AU6,1)</f>
        <v/>
      </c>
      <c r="AW6" s="286">
        <f>EOMONTH(AV6,1)</f>
        <v/>
      </c>
      <c r="AX6" s="286">
        <f>EOMONTH(AW6,1)</f>
        <v/>
      </c>
      <c r="AY6" s="286">
        <f>EOMONTH(AX6,1)</f>
        <v/>
      </c>
      <c r="AZ6" s="286">
        <f>EOMONTH(AY6,1)</f>
        <v/>
      </c>
      <c r="BA6" s="286">
        <f>EOMONTH(AZ6,1)</f>
        <v/>
      </c>
      <c r="BB6" s="286">
        <f>EOMONTH(BA6,1)</f>
        <v/>
      </c>
      <c r="BC6" s="286">
        <f>EOMONTH(BB6,1)</f>
        <v/>
      </c>
      <c r="BD6" s="286">
        <f>EOMONTH(BC6,1)</f>
        <v/>
      </c>
      <c r="BE6" s="286">
        <f>EOMONTH(BD6,1)</f>
        <v/>
      </c>
      <c r="BF6" s="286">
        <f>EOMONTH(BE6,1)</f>
        <v/>
      </c>
      <c r="BG6" s="286">
        <f>EOMONTH(BF6,1)</f>
        <v/>
      </c>
      <c r="BH6" s="286">
        <f>EOMONTH(BG6,1)</f>
        <v/>
      </c>
      <c r="BI6" s="286">
        <f>EOMONTH(BH6,1)</f>
        <v/>
      </c>
      <c r="BJ6" s="286">
        <f>EOMONTH(BI6,1)</f>
        <v/>
      </c>
      <c r="BK6" s="286">
        <f>EOMONTH(BJ6,1)</f>
        <v/>
      </c>
      <c r="BL6" s="286">
        <f>EOMONTH(BK6,1)</f>
        <v/>
      </c>
      <c r="BM6" s="286">
        <f>EOMONTH(BL6,1)</f>
        <v/>
      </c>
      <c r="BN6" s="286">
        <f>EOMONTH(BM6,1)</f>
        <v/>
      </c>
      <c r="BO6" s="286">
        <f>EOMONTH(BN6,1)</f>
        <v/>
      </c>
      <c r="BP6" s="286">
        <f>EOMONTH(BO6,1)</f>
        <v/>
      </c>
      <c r="BQ6" s="286">
        <f>EOMONTH(BP6,1)</f>
        <v/>
      </c>
      <c r="BR6" s="286">
        <f>EOMONTH(BQ6,1)</f>
        <v/>
      </c>
      <c r="BS6" s="286">
        <f>EOMONTH(BR6,1)</f>
        <v/>
      </c>
      <c r="BT6" s="286">
        <f>EOMONTH(BS6,1)</f>
        <v/>
      </c>
      <c r="BU6" s="286">
        <f>EOMONTH(BT6,1)</f>
        <v/>
      </c>
      <c r="BV6" s="286">
        <f>EOMONTH(BU6,1)</f>
        <v/>
      </c>
      <c r="BW6" s="286">
        <f>EOMONTH(BV6,1)</f>
        <v/>
      </c>
      <c r="BX6" s="286">
        <f>EOMONTH(BW6,1)</f>
        <v/>
      </c>
      <c r="BY6" s="286">
        <f>EOMONTH(BX6,1)</f>
        <v/>
      </c>
      <c r="BZ6" s="286">
        <f>EOMONTH(BY6,1)</f>
        <v/>
      </c>
      <c r="CA6" s="286">
        <f>EOMONTH(BZ6,1)</f>
        <v/>
      </c>
      <c r="CB6" s="286">
        <f>EOMONTH(CA6,1)</f>
        <v/>
      </c>
      <c r="CC6" s="286">
        <f>EOMONTH(CB6,1)</f>
        <v/>
      </c>
      <c r="CD6" s="286">
        <f>EOMONTH(CC6,1)</f>
        <v/>
      </c>
      <c r="CE6" s="286">
        <f>EOMONTH(CD6,1)</f>
        <v/>
      </c>
      <c r="CF6" s="286">
        <f>EOMONTH(CE6,1)</f>
        <v/>
      </c>
      <c r="CG6" s="286">
        <f>EOMONTH(CF6,1)</f>
        <v/>
      </c>
      <c r="CH6" s="286">
        <f>EOMONTH(CG6,1)</f>
        <v/>
      </c>
      <c r="CI6" s="286">
        <f>EOMONTH(CH6,1)</f>
        <v/>
      </c>
      <c r="CJ6" s="286">
        <f>EOMONTH(CI6,1)</f>
        <v/>
      </c>
      <c r="CK6" s="286">
        <f>EOMONTH(CJ6,1)</f>
        <v/>
      </c>
      <c r="CL6" s="286">
        <f>EOMONTH(CK6,1)</f>
        <v/>
      </c>
      <c r="CM6" s="286">
        <f>EOMONTH(CL6,1)</f>
        <v/>
      </c>
      <c r="CN6" s="286">
        <f>EOMONTH(CM6,1)</f>
        <v/>
      </c>
      <c r="CO6" s="286">
        <f>EOMONTH(CN6,1)</f>
        <v/>
      </c>
      <c r="CP6" s="286">
        <f>EOMONTH(CO6,1)</f>
        <v/>
      </c>
      <c r="CQ6" s="286">
        <f>EOMONTH(CP6,1)</f>
        <v/>
      </c>
      <c r="CR6" s="286">
        <f>EOMONTH(CQ6,1)</f>
        <v/>
      </c>
      <c r="CS6" s="286">
        <f>EOMONTH(CR6,1)</f>
        <v/>
      </c>
      <c r="CT6" s="286">
        <f>EOMONTH(CS6,1)</f>
        <v/>
      </c>
      <c r="CU6" s="286">
        <f>EOMONTH(CT6,1)</f>
        <v/>
      </c>
      <c r="CV6" s="286">
        <f>EOMONTH(CU6,1)</f>
        <v/>
      </c>
      <c r="CW6" s="286">
        <f>EOMONTH(CV6,1)</f>
        <v/>
      </c>
      <c r="CX6" s="286">
        <f>EOMONTH(CW6,1)</f>
        <v/>
      </c>
      <c r="CY6" s="286">
        <f>EOMONTH(CX6,1)</f>
        <v/>
      </c>
      <c r="CZ6" s="286">
        <f>EOMONTH(CY6,1)</f>
        <v/>
      </c>
      <c r="DA6" s="286">
        <f>EOMONTH(CZ6,1)</f>
        <v/>
      </c>
      <c r="DB6" s="286">
        <f>EOMONTH(DA6,1)</f>
        <v/>
      </c>
      <c r="DC6" s="286">
        <f>EOMONTH(DB6,1)</f>
        <v/>
      </c>
      <c r="DD6" s="286">
        <f>EOMONTH(DC6,1)</f>
        <v/>
      </c>
      <c r="DE6" s="286">
        <f>EOMONTH(DD6,1)</f>
        <v/>
      </c>
      <c r="DF6" s="286">
        <f>EOMONTH(DE6,1)</f>
        <v/>
      </c>
      <c r="DG6" s="286">
        <f>EOMONTH(DF6,1)</f>
        <v/>
      </c>
      <c r="DH6" s="286">
        <f>EOMONTH(DG6,1)</f>
        <v/>
      </c>
      <c r="DI6" s="286">
        <f>EOMONTH(DH6,1)</f>
        <v/>
      </c>
      <c r="DJ6" s="286">
        <f>EOMONTH(DI6,1)</f>
        <v/>
      </c>
      <c r="DK6" s="286">
        <f>EOMONTH(DJ6,1)</f>
        <v/>
      </c>
      <c r="DL6" s="286">
        <f>EOMONTH(DK6,1)</f>
        <v/>
      </c>
      <c r="DM6" s="286">
        <f>EOMONTH(DL6,1)</f>
        <v/>
      </c>
      <c r="DN6" s="286">
        <f>EOMONTH(DM6,1)</f>
        <v/>
      </c>
      <c r="DO6" s="286">
        <f>EOMONTH(DN6,1)</f>
        <v/>
      </c>
      <c r="DP6" s="286">
        <f>EOMONTH(DO6,1)</f>
        <v/>
      </c>
      <c r="DQ6" s="286">
        <f>EOMONTH(DP6,1)</f>
        <v/>
      </c>
      <c r="DR6" s="286">
        <f>EOMONTH(DQ6,1)</f>
        <v/>
      </c>
      <c r="DS6" s="286">
        <f>EOMONTH(DR6,1)</f>
        <v/>
      </c>
      <c r="DT6" s="286">
        <f>EOMONTH(DS6,1)</f>
        <v/>
      </c>
    </row>
    <row r="7">
      <c r="C7" s="25" t="inlineStr">
        <is>
          <t>Year</t>
        </is>
      </c>
      <c r="D7" s="287" t="n">
        <v>0</v>
      </c>
      <c r="E7" s="287">
        <f>ROUNDUP(E8/12,0)</f>
        <v/>
      </c>
      <c r="F7" s="287">
        <f>ROUNDUP(F8/12,0)</f>
        <v/>
      </c>
      <c r="G7" s="287">
        <f>ROUNDUP(G8/12,0)</f>
        <v/>
      </c>
      <c r="H7" s="287">
        <f>ROUNDUP(H8/12,0)</f>
        <v/>
      </c>
      <c r="I7" s="287">
        <f>ROUNDUP(I8/12,0)</f>
        <v/>
      </c>
      <c r="J7" s="287">
        <f>ROUNDUP(J8/12,0)</f>
        <v/>
      </c>
      <c r="K7" s="287">
        <f>ROUNDUP(K8/12,0)</f>
        <v/>
      </c>
      <c r="L7" s="287">
        <f>ROUNDUP(L8/12,0)</f>
        <v/>
      </c>
      <c r="M7" s="287">
        <f>ROUNDUP(M8/12,0)</f>
        <v/>
      </c>
      <c r="N7" s="287">
        <f>ROUNDUP(N8/12,0)</f>
        <v/>
      </c>
      <c r="O7" s="287">
        <f>ROUNDUP(O8/12,0)</f>
        <v/>
      </c>
      <c r="P7" s="287">
        <f>ROUNDUP(P8/12,0)</f>
        <v/>
      </c>
      <c r="Q7" s="287">
        <f>ROUNDUP(Q8/12,0)</f>
        <v/>
      </c>
      <c r="R7" s="287">
        <f>ROUNDUP(R8/12,0)</f>
        <v/>
      </c>
      <c r="S7" s="287">
        <f>ROUNDUP(S8/12,0)</f>
        <v/>
      </c>
      <c r="T7" s="287">
        <f>ROUNDUP(T8/12,0)</f>
        <v/>
      </c>
      <c r="U7" s="287">
        <f>ROUNDUP(U8/12,0)</f>
        <v/>
      </c>
      <c r="V7" s="287">
        <f>ROUNDUP(V8/12,0)</f>
        <v/>
      </c>
      <c r="W7" s="287">
        <f>ROUNDUP(W8/12,0)</f>
        <v/>
      </c>
      <c r="X7" s="287">
        <f>ROUNDUP(X8/12,0)</f>
        <v/>
      </c>
      <c r="Y7" s="287">
        <f>ROUNDUP(Y8/12,0)</f>
        <v/>
      </c>
      <c r="Z7" s="287">
        <f>ROUNDUP(Z8/12,0)</f>
        <v/>
      </c>
      <c r="AA7" s="287">
        <f>ROUNDUP(AA8/12,0)</f>
        <v/>
      </c>
      <c r="AB7" s="287">
        <f>ROUNDUP(AB8/12,0)</f>
        <v/>
      </c>
      <c r="AC7" s="287">
        <f>ROUNDUP(AC8/12,0)</f>
        <v/>
      </c>
      <c r="AD7" s="287">
        <f>ROUNDUP(AD8/12,0)</f>
        <v/>
      </c>
      <c r="AE7" s="287">
        <f>ROUNDUP(AE8/12,0)</f>
        <v/>
      </c>
      <c r="AF7" s="287">
        <f>ROUNDUP(AF8/12,0)</f>
        <v/>
      </c>
      <c r="AG7" s="287">
        <f>ROUNDUP(AG8/12,0)</f>
        <v/>
      </c>
      <c r="AH7" s="287">
        <f>ROUNDUP(AH8/12,0)</f>
        <v/>
      </c>
      <c r="AI7" s="287">
        <f>ROUNDUP(AI8/12,0)</f>
        <v/>
      </c>
      <c r="AJ7" s="287">
        <f>ROUNDUP(AJ8/12,0)</f>
        <v/>
      </c>
      <c r="AK7" s="287">
        <f>ROUNDUP(AK8/12,0)</f>
        <v/>
      </c>
      <c r="AL7" s="287">
        <f>ROUNDUP(AL8/12,0)</f>
        <v/>
      </c>
      <c r="AM7" s="287">
        <f>ROUNDUP(AM8/12,0)</f>
        <v/>
      </c>
      <c r="AN7" s="287">
        <f>ROUNDUP(AN8/12,0)</f>
        <v/>
      </c>
      <c r="AO7" s="287">
        <f>ROUNDUP(AO8/12,0)</f>
        <v/>
      </c>
      <c r="AP7" s="287">
        <f>ROUNDUP(AP8/12,0)</f>
        <v/>
      </c>
      <c r="AQ7" s="287">
        <f>ROUNDUP(AQ8/12,0)</f>
        <v/>
      </c>
      <c r="AR7" s="287">
        <f>ROUNDUP(AR8/12,0)</f>
        <v/>
      </c>
      <c r="AS7" s="287">
        <f>ROUNDUP(AS8/12,0)</f>
        <v/>
      </c>
      <c r="AT7" s="287">
        <f>ROUNDUP(AT8/12,0)</f>
        <v/>
      </c>
      <c r="AU7" s="287">
        <f>ROUNDUP(AU8/12,0)</f>
        <v/>
      </c>
      <c r="AV7" s="287">
        <f>ROUNDUP(AV8/12,0)</f>
        <v/>
      </c>
      <c r="AW7" s="287">
        <f>ROUNDUP(AW8/12,0)</f>
        <v/>
      </c>
      <c r="AX7" s="287">
        <f>ROUNDUP(AX8/12,0)</f>
        <v/>
      </c>
      <c r="AY7" s="287">
        <f>ROUNDUP(AY8/12,0)</f>
        <v/>
      </c>
      <c r="AZ7" s="287">
        <f>ROUNDUP(AZ8/12,0)</f>
        <v/>
      </c>
      <c r="BA7" s="287">
        <f>ROUNDUP(BA8/12,0)</f>
        <v/>
      </c>
      <c r="BB7" s="287">
        <f>ROUNDUP(BB8/12,0)</f>
        <v/>
      </c>
      <c r="BC7" s="287">
        <f>ROUNDUP(BC8/12,0)</f>
        <v/>
      </c>
      <c r="BD7" s="287">
        <f>ROUNDUP(BD8/12,0)</f>
        <v/>
      </c>
      <c r="BE7" s="287">
        <f>ROUNDUP(BE8/12,0)</f>
        <v/>
      </c>
      <c r="BF7" s="287">
        <f>ROUNDUP(BF8/12,0)</f>
        <v/>
      </c>
      <c r="BG7" s="287">
        <f>ROUNDUP(BG8/12,0)</f>
        <v/>
      </c>
      <c r="BH7" s="287">
        <f>ROUNDUP(BH8/12,0)</f>
        <v/>
      </c>
      <c r="BI7" s="287">
        <f>ROUNDUP(BI8/12,0)</f>
        <v/>
      </c>
      <c r="BJ7" s="287">
        <f>ROUNDUP(BJ8/12,0)</f>
        <v/>
      </c>
      <c r="BK7" s="287">
        <f>ROUNDUP(BK8/12,0)</f>
        <v/>
      </c>
      <c r="BL7" s="287">
        <f>ROUNDUP(BL8/12,0)</f>
        <v/>
      </c>
      <c r="BM7" s="287">
        <f>ROUNDUP(BM8/12,0)</f>
        <v/>
      </c>
      <c r="BN7" s="287">
        <f>ROUNDUP(BN8/12,0)</f>
        <v/>
      </c>
      <c r="BO7" s="287">
        <f>ROUNDUP(BO8/12,0)</f>
        <v/>
      </c>
      <c r="BP7" s="287">
        <f>ROUNDUP(BP8/12,0)</f>
        <v/>
      </c>
      <c r="BQ7" s="287">
        <f>ROUNDUP(BQ8/12,0)</f>
        <v/>
      </c>
      <c r="BR7" s="287">
        <f>ROUNDUP(BR8/12,0)</f>
        <v/>
      </c>
      <c r="BS7" s="287">
        <f>ROUNDUP(BS8/12,0)</f>
        <v/>
      </c>
      <c r="BT7" s="287">
        <f>ROUNDUP(BT8/12,0)</f>
        <v/>
      </c>
      <c r="BU7" s="287">
        <f>ROUNDUP(BU8/12,0)</f>
        <v/>
      </c>
      <c r="BV7" s="287">
        <f>ROUNDUP(BV8/12,0)</f>
        <v/>
      </c>
      <c r="BW7" s="287">
        <f>ROUNDUP(BW8/12,0)</f>
        <v/>
      </c>
      <c r="BX7" s="287">
        <f>ROUNDUP(BX8/12,0)</f>
        <v/>
      </c>
      <c r="BY7" s="287">
        <f>ROUNDUP(BY8/12,0)</f>
        <v/>
      </c>
      <c r="BZ7" s="287">
        <f>ROUNDUP(BZ8/12,0)</f>
        <v/>
      </c>
      <c r="CA7" s="287">
        <f>ROUNDUP(CA8/12,0)</f>
        <v/>
      </c>
      <c r="CB7" s="287">
        <f>ROUNDUP(CB8/12,0)</f>
        <v/>
      </c>
      <c r="CC7" s="287">
        <f>ROUNDUP(CC8/12,0)</f>
        <v/>
      </c>
      <c r="CD7" s="287">
        <f>ROUNDUP(CD8/12,0)</f>
        <v/>
      </c>
      <c r="CE7" s="287">
        <f>ROUNDUP(CE8/12,0)</f>
        <v/>
      </c>
      <c r="CF7" s="287">
        <f>ROUNDUP(CF8/12,0)</f>
        <v/>
      </c>
      <c r="CG7" s="287">
        <f>ROUNDUP(CG8/12,0)</f>
        <v/>
      </c>
      <c r="CH7" s="287">
        <f>ROUNDUP(CH8/12,0)</f>
        <v/>
      </c>
      <c r="CI7" s="287">
        <f>ROUNDUP(CI8/12,0)</f>
        <v/>
      </c>
      <c r="CJ7" s="287">
        <f>ROUNDUP(CJ8/12,0)</f>
        <v/>
      </c>
      <c r="CK7" s="287">
        <f>ROUNDUP(CK8/12,0)</f>
        <v/>
      </c>
      <c r="CL7" s="287">
        <f>ROUNDUP(CL8/12,0)</f>
        <v/>
      </c>
      <c r="CM7" s="287">
        <f>ROUNDUP(CM8/12,0)</f>
        <v/>
      </c>
      <c r="CN7" s="287">
        <f>ROUNDUP(CN8/12,0)</f>
        <v/>
      </c>
      <c r="CO7" s="287">
        <f>ROUNDUP(CO8/12,0)</f>
        <v/>
      </c>
      <c r="CP7" s="287">
        <f>ROUNDUP(CP8/12,0)</f>
        <v/>
      </c>
      <c r="CQ7" s="287">
        <f>ROUNDUP(CQ8/12,0)</f>
        <v/>
      </c>
      <c r="CR7" s="287">
        <f>ROUNDUP(CR8/12,0)</f>
        <v/>
      </c>
      <c r="CS7" s="287">
        <f>ROUNDUP(CS8/12,0)</f>
        <v/>
      </c>
      <c r="CT7" s="287">
        <f>ROUNDUP(CT8/12,0)</f>
        <v/>
      </c>
      <c r="CU7" s="287">
        <f>ROUNDUP(CU8/12,0)</f>
        <v/>
      </c>
      <c r="CV7" s="287">
        <f>ROUNDUP(CV8/12,0)</f>
        <v/>
      </c>
      <c r="CW7" s="287">
        <f>ROUNDUP(CW8/12,0)</f>
        <v/>
      </c>
      <c r="CX7" s="287">
        <f>ROUNDUP(CX8/12,0)</f>
        <v/>
      </c>
      <c r="CY7" s="287">
        <f>ROUNDUP(CY8/12,0)</f>
        <v/>
      </c>
      <c r="CZ7" s="287">
        <f>ROUNDUP(CZ8/12,0)</f>
        <v/>
      </c>
      <c r="DA7" s="287">
        <f>ROUNDUP(DA8/12,0)</f>
        <v/>
      </c>
      <c r="DB7" s="287">
        <f>ROUNDUP(DB8/12,0)</f>
        <v/>
      </c>
      <c r="DC7" s="287">
        <f>ROUNDUP(DC8/12,0)</f>
        <v/>
      </c>
      <c r="DD7" s="287">
        <f>ROUNDUP(DD8/12,0)</f>
        <v/>
      </c>
      <c r="DE7" s="287">
        <f>ROUNDUP(DE8/12,0)</f>
        <v/>
      </c>
      <c r="DF7" s="287">
        <f>ROUNDUP(DF8/12,0)</f>
        <v/>
      </c>
      <c r="DG7" s="287">
        <f>ROUNDUP(DG8/12,0)</f>
        <v/>
      </c>
      <c r="DH7" s="287">
        <f>ROUNDUP(DH8/12,0)</f>
        <v/>
      </c>
      <c r="DI7" s="287">
        <f>ROUNDUP(DI8/12,0)</f>
        <v/>
      </c>
      <c r="DJ7" s="287">
        <f>ROUNDUP(DJ8/12,0)</f>
        <v/>
      </c>
      <c r="DK7" s="287">
        <f>ROUNDUP(DK8/12,0)</f>
        <v/>
      </c>
      <c r="DL7" s="287">
        <f>ROUNDUP(DL8/12,0)</f>
        <v/>
      </c>
      <c r="DM7" s="287">
        <f>ROUNDUP(DM8/12,0)</f>
        <v/>
      </c>
      <c r="DN7" s="287">
        <f>ROUNDUP(DN8/12,0)</f>
        <v/>
      </c>
      <c r="DO7" s="287">
        <f>ROUNDUP(DO8/12,0)</f>
        <v/>
      </c>
      <c r="DP7" s="287">
        <f>ROUNDUP(DP8/12,0)</f>
        <v/>
      </c>
      <c r="DQ7" s="287">
        <f>ROUNDUP(DQ8/12,0)</f>
        <v/>
      </c>
      <c r="DR7" s="287">
        <f>ROUNDUP(DR8/12,0)</f>
        <v/>
      </c>
      <c r="DS7" s="287">
        <f>ROUNDUP(DS8/12,0)</f>
        <v/>
      </c>
      <c r="DT7" s="287">
        <f>ROUNDUP(DT8/12,0)</f>
        <v/>
      </c>
    </row>
    <row r="8">
      <c r="C8" s="26" t="inlineStr">
        <is>
          <t>Month</t>
        </is>
      </c>
      <c r="D8" s="288" t="n">
        <v>0</v>
      </c>
      <c r="E8" s="288">
        <f>D8+1</f>
        <v/>
      </c>
      <c r="F8" s="288">
        <f>E8+1</f>
        <v/>
      </c>
      <c r="G8" s="288">
        <f>F8+1</f>
        <v/>
      </c>
      <c r="H8" s="288">
        <f>G8+1</f>
        <v/>
      </c>
      <c r="I8" s="288">
        <f>H8+1</f>
        <v/>
      </c>
      <c r="J8" s="288">
        <f>I8+1</f>
        <v/>
      </c>
      <c r="K8" s="288">
        <f>J8+1</f>
        <v/>
      </c>
      <c r="L8" s="288">
        <f>K8+1</f>
        <v/>
      </c>
      <c r="M8" s="288">
        <f>L8+1</f>
        <v/>
      </c>
      <c r="N8" s="288">
        <f>M8+1</f>
        <v/>
      </c>
      <c r="O8" s="288">
        <f>N8+1</f>
        <v/>
      </c>
      <c r="P8" s="288">
        <f>O8+1</f>
        <v/>
      </c>
      <c r="Q8" s="288">
        <f>P8+1</f>
        <v/>
      </c>
      <c r="R8" s="288">
        <f>Q8+1</f>
        <v/>
      </c>
      <c r="S8" s="288">
        <f>R8+1</f>
        <v/>
      </c>
      <c r="T8" s="288">
        <f>S8+1</f>
        <v/>
      </c>
      <c r="U8" s="288">
        <f>T8+1</f>
        <v/>
      </c>
      <c r="V8" s="288">
        <f>U8+1</f>
        <v/>
      </c>
      <c r="W8" s="288">
        <f>V8+1</f>
        <v/>
      </c>
      <c r="X8" s="288">
        <f>W8+1</f>
        <v/>
      </c>
      <c r="Y8" s="288">
        <f>X8+1</f>
        <v/>
      </c>
      <c r="Z8" s="288">
        <f>Y8+1</f>
        <v/>
      </c>
      <c r="AA8" s="288">
        <f>Z8+1</f>
        <v/>
      </c>
      <c r="AB8" s="288">
        <f>AA8+1</f>
        <v/>
      </c>
      <c r="AC8" s="288">
        <f>AB8+1</f>
        <v/>
      </c>
      <c r="AD8" s="288">
        <f>AC8+1</f>
        <v/>
      </c>
      <c r="AE8" s="288">
        <f>AD8+1</f>
        <v/>
      </c>
      <c r="AF8" s="288">
        <f>AE8+1</f>
        <v/>
      </c>
      <c r="AG8" s="288">
        <f>AF8+1</f>
        <v/>
      </c>
      <c r="AH8" s="288">
        <f>AG8+1</f>
        <v/>
      </c>
      <c r="AI8" s="288">
        <f>AH8+1</f>
        <v/>
      </c>
      <c r="AJ8" s="288">
        <f>AI8+1</f>
        <v/>
      </c>
      <c r="AK8" s="288">
        <f>AJ8+1</f>
        <v/>
      </c>
      <c r="AL8" s="288">
        <f>AK8+1</f>
        <v/>
      </c>
      <c r="AM8" s="288">
        <f>AL8+1</f>
        <v/>
      </c>
      <c r="AN8" s="288">
        <f>AM8+1</f>
        <v/>
      </c>
      <c r="AO8" s="288">
        <f>AN8+1</f>
        <v/>
      </c>
      <c r="AP8" s="288">
        <f>AO8+1</f>
        <v/>
      </c>
      <c r="AQ8" s="288">
        <f>AP8+1</f>
        <v/>
      </c>
      <c r="AR8" s="288">
        <f>AQ8+1</f>
        <v/>
      </c>
      <c r="AS8" s="288">
        <f>AR8+1</f>
        <v/>
      </c>
      <c r="AT8" s="288">
        <f>AS8+1</f>
        <v/>
      </c>
      <c r="AU8" s="288">
        <f>AT8+1</f>
        <v/>
      </c>
      <c r="AV8" s="288">
        <f>AU8+1</f>
        <v/>
      </c>
      <c r="AW8" s="288">
        <f>AV8+1</f>
        <v/>
      </c>
      <c r="AX8" s="288">
        <f>AW8+1</f>
        <v/>
      </c>
      <c r="AY8" s="288">
        <f>AX8+1</f>
        <v/>
      </c>
      <c r="AZ8" s="288">
        <f>AY8+1</f>
        <v/>
      </c>
      <c r="BA8" s="288">
        <f>AZ8+1</f>
        <v/>
      </c>
      <c r="BB8" s="288">
        <f>BA8+1</f>
        <v/>
      </c>
      <c r="BC8" s="288">
        <f>BB8+1</f>
        <v/>
      </c>
      <c r="BD8" s="288">
        <f>BC8+1</f>
        <v/>
      </c>
      <c r="BE8" s="288">
        <f>BD8+1</f>
        <v/>
      </c>
      <c r="BF8" s="288">
        <f>BE8+1</f>
        <v/>
      </c>
      <c r="BG8" s="288">
        <f>BF8+1</f>
        <v/>
      </c>
      <c r="BH8" s="288">
        <f>BG8+1</f>
        <v/>
      </c>
      <c r="BI8" s="288">
        <f>BH8+1</f>
        <v/>
      </c>
      <c r="BJ8" s="288">
        <f>BI8+1</f>
        <v/>
      </c>
      <c r="BK8" s="288">
        <f>BJ8+1</f>
        <v/>
      </c>
      <c r="BL8" s="288">
        <f>BK8+1</f>
        <v/>
      </c>
      <c r="BM8" s="288">
        <f>BL8+1</f>
        <v/>
      </c>
      <c r="BN8" s="288">
        <f>BM8+1</f>
        <v/>
      </c>
      <c r="BO8" s="288">
        <f>BN8+1</f>
        <v/>
      </c>
      <c r="BP8" s="288">
        <f>BO8+1</f>
        <v/>
      </c>
      <c r="BQ8" s="288">
        <f>BP8+1</f>
        <v/>
      </c>
      <c r="BR8" s="288">
        <f>BQ8+1</f>
        <v/>
      </c>
      <c r="BS8" s="288">
        <f>BR8+1</f>
        <v/>
      </c>
      <c r="BT8" s="288">
        <f>BS8+1</f>
        <v/>
      </c>
      <c r="BU8" s="288">
        <f>BT8+1</f>
        <v/>
      </c>
      <c r="BV8" s="288">
        <f>BU8+1</f>
        <v/>
      </c>
      <c r="BW8" s="288">
        <f>BV8+1</f>
        <v/>
      </c>
      <c r="BX8" s="288">
        <f>BW8+1</f>
        <v/>
      </c>
      <c r="BY8" s="288">
        <f>BX8+1</f>
        <v/>
      </c>
      <c r="BZ8" s="288">
        <f>BY8+1</f>
        <v/>
      </c>
      <c r="CA8" s="288">
        <f>BZ8+1</f>
        <v/>
      </c>
      <c r="CB8" s="288">
        <f>CA8+1</f>
        <v/>
      </c>
      <c r="CC8" s="288">
        <f>CB8+1</f>
        <v/>
      </c>
      <c r="CD8" s="288">
        <f>CC8+1</f>
        <v/>
      </c>
      <c r="CE8" s="288">
        <f>CD8+1</f>
        <v/>
      </c>
      <c r="CF8" s="288">
        <f>CE8+1</f>
        <v/>
      </c>
      <c r="CG8" s="288">
        <f>CF8+1</f>
        <v/>
      </c>
      <c r="CH8" s="288">
        <f>CG8+1</f>
        <v/>
      </c>
      <c r="CI8" s="288">
        <f>CH8+1</f>
        <v/>
      </c>
      <c r="CJ8" s="288">
        <f>CI8+1</f>
        <v/>
      </c>
      <c r="CK8" s="288">
        <f>CJ8+1</f>
        <v/>
      </c>
      <c r="CL8" s="288">
        <f>CK8+1</f>
        <v/>
      </c>
      <c r="CM8" s="288">
        <f>CL8+1</f>
        <v/>
      </c>
      <c r="CN8" s="288">
        <f>CM8+1</f>
        <v/>
      </c>
      <c r="CO8" s="288">
        <f>CN8+1</f>
        <v/>
      </c>
      <c r="CP8" s="288">
        <f>CO8+1</f>
        <v/>
      </c>
      <c r="CQ8" s="288">
        <f>CP8+1</f>
        <v/>
      </c>
      <c r="CR8" s="288">
        <f>CQ8+1</f>
        <v/>
      </c>
      <c r="CS8" s="288">
        <f>CR8+1</f>
        <v/>
      </c>
      <c r="CT8" s="288">
        <f>CS8+1</f>
        <v/>
      </c>
      <c r="CU8" s="288">
        <f>CT8+1</f>
        <v/>
      </c>
      <c r="CV8" s="288">
        <f>CU8+1</f>
        <v/>
      </c>
      <c r="CW8" s="288">
        <f>CV8+1</f>
        <v/>
      </c>
      <c r="CX8" s="288">
        <f>CW8+1</f>
        <v/>
      </c>
      <c r="CY8" s="288">
        <f>CX8+1</f>
        <v/>
      </c>
      <c r="CZ8" s="288">
        <f>CY8+1</f>
        <v/>
      </c>
      <c r="DA8" s="288">
        <f>CZ8+1</f>
        <v/>
      </c>
      <c r="DB8" s="288">
        <f>DA8+1</f>
        <v/>
      </c>
      <c r="DC8" s="288">
        <f>DB8+1</f>
        <v/>
      </c>
      <c r="DD8" s="288">
        <f>DC8+1</f>
        <v/>
      </c>
      <c r="DE8" s="288">
        <f>DD8+1</f>
        <v/>
      </c>
      <c r="DF8" s="288">
        <f>DE8+1</f>
        <v/>
      </c>
      <c r="DG8" s="288">
        <f>DF8+1</f>
        <v/>
      </c>
      <c r="DH8" s="288">
        <f>DG8+1</f>
        <v/>
      </c>
      <c r="DI8" s="288">
        <f>DH8+1</f>
        <v/>
      </c>
      <c r="DJ8" s="288">
        <f>DI8+1</f>
        <v/>
      </c>
      <c r="DK8" s="288">
        <f>DJ8+1</f>
        <v/>
      </c>
      <c r="DL8" s="288">
        <f>DK8+1</f>
        <v/>
      </c>
      <c r="DM8" s="288">
        <f>DL8+1</f>
        <v/>
      </c>
      <c r="DN8" s="288">
        <f>DM8+1</f>
        <v/>
      </c>
      <c r="DO8" s="288">
        <f>DN8+1</f>
        <v/>
      </c>
      <c r="DP8" s="288">
        <f>DO8+1</f>
        <v/>
      </c>
      <c r="DQ8" s="288">
        <f>DP8+1</f>
        <v/>
      </c>
      <c r="DR8" s="288">
        <f>DQ8+1</f>
        <v/>
      </c>
      <c r="DS8" s="288">
        <f>DR8+1</f>
        <v/>
      </c>
      <c r="DT8" s="288">
        <f>DS8+1</f>
        <v/>
      </c>
    </row>
    <row r="9">
      <c r="B9" s="60" t="inlineStr">
        <is>
          <t>Unit Mix &amp; Lease-Up</t>
        </is>
      </c>
      <c r="C9" s="61" t="inlineStr">
        <is>
          <t>In-Place Rent</t>
        </is>
      </c>
      <c r="D9" s="61" t="inlineStr">
        <is>
          <t>Stabilized Rent</t>
        </is>
      </c>
      <c r="E9" s="289" t="n"/>
      <c r="F9" s="289" t="n"/>
      <c r="G9" s="289" t="n"/>
      <c r="H9" s="289" t="n"/>
      <c r="I9" s="289" t="n"/>
      <c r="J9" s="289" t="n"/>
      <c r="K9" s="289" t="n"/>
      <c r="L9" s="289" t="n"/>
      <c r="M9" s="289" t="n"/>
      <c r="N9" s="289" t="n"/>
      <c r="O9" s="289" t="n"/>
      <c r="P9" s="289" t="n"/>
      <c r="Q9" s="289" t="n"/>
      <c r="R9" s="289" t="n"/>
      <c r="S9" s="289" t="n"/>
      <c r="T9" s="289" t="n"/>
      <c r="U9" s="289" t="n"/>
      <c r="V9" s="289" t="n"/>
      <c r="W9" s="289" t="n"/>
      <c r="X9" s="289" t="n"/>
      <c r="Y9" s="289" t="n"/>
      <c r="Z9" s="289" t="n"/>
      <c r="AA9" s="289" t="n"/>
      <c r="AB9" s="289" t="n"/>
      <c r="AC9" s="289" t="n"/>
      <c r="AD9" s="289" t="n"/>
      <c r="AE9" s="289" t="n"/>
      <c r="AF9" s="289" t="n"/>
      <c r="AG9" s="289" t="n"/>
      <c r="AH9" s="289" t="n"/>
      <c r="AI9" s="289" t="n"/>
      <c r="AJ9" s="289" t="n"/>
      <c r="AK9" s="289" t="n"/>
      <c r="AL9" s="289" t="n"/>
      <c r="AM9" s="289" t="n"/>
      <c r="AN9" s="289" t="n"/>
      <c r="AO9" s="289" t="n"/>
      <c r="AP9" s="289" t="n"/>
      <c r="AQ9" s="289" t="n"/>
      <c r="AR9" s="289" t="n"/>
      <c r="AS9" s="289" t="n"/>
      <c r="AT9" s="289" t="n"/>
      <c r="AU9" s="289" t="n"/>
      <c r="AV9" s="289" t="n"/>
      <c r="AW9" s="289" t="n"/>
      <c r="AX9" s="289" t="n"/>
      <c r="AY9" s="289" t="n"/>
      <c r="AZ9" s="289" t="n"/>
      <c r="BA9" s="289" t="n"/>
      <c r="BB9" s="289" t="n"/>
      <c r="BC9" s="289" t="n"/>
      <c r="BD9" s="289" t="n"/>
      <c r="BE9" s="289" t="n"/>
      <c r="BF9" s="289" t="n"/>
      <c r="BG9" s="289" t="n"/>
      <c r="BH9" s="289" t="n"/>
      <c r="BI9" s="289" t="n"/>
      <c r="BJ9" s="289" t="n"/>
      <c r="BK9" s="289" t="n"/>
      <c r="BL9" s="289" t="n"/>
      <c r="BM9" s="289" t="n"/>
      <c r="BN9" s="289" t="n"/>
      <c r="BO9" s="289" t="n"/>
      <c r="BP9" s="289" t="n"/>
      <c r="BQ9" s="289" t="n"/>
      <c r="BR9" s="289" t="n"/>
      <c r="BS9" s="289" t="n"/>
      <c r="BT9" s="289" t="n"/>
      <c r="BU9" s="289" t="n"/>
      <c r="BV9" s="289" t="n"/>
      <c r="BW9" s="289" t="n"/>
      <c r="BX9" s="289" t="n"/>
      <c r="BY9" s="289" t="n"/>
      <c r="BZ9" s="289" t="n"/>
      <c r="CA9" s="289" t="n"/>
      <c r="CB9" s="289" t="n"/>
      <c r="CC9" s="289" t="n"/>
      <c r="CD9" s="289" t="n"/>
      <c r="CE9" s="289" t="n"/>
      <c r="CF9" s="289" t="n"/>
      <c r="CG9" s="289" t="n"/>
      <c r="CH9" s="289" t="n"/>
      <c r="CI9" s="289" t="n"/>
      <c r="CJ9" s="289" t="n"/>
      <c r="CK9" s="289" t="n"/>
      <c r="CL9" s="289" t="n"/>
      <c r="CM9" s="289" t="n"/>
      <c r="CN9" s="289" t="n"/>
      <c r="CO9" s="289" t="n"/>
      <c r="CP9" s="289" t="n"/>
      <c r="CQ9" s="289" t="n"/>
      <c r="CR9" s="289" t="n"/>
      <c r="CS9" s="289" t="n"/>
      <c r="CT9" s="289" t="n"/>
      <c r="CU9" s="289" t="n"/>
      <c r="CV9" s="289" t="n"/>
      <c r="CW9" s="289" t="n"/>
      <c r="CX9" s="289" t="n"/>
      <c r="CY9" s="289" t="n"/>
      <c r="CZ9" s="289" t="n"/>
      <c r="DA9" s="289" t="n"/>
      <c r="DB9" s="289" t="n"/>
      <c r="DC9" s="289" t="n"/>
      <c r="DD9" s="289" t="n"/>
      <c r="DE9" s="289" t="n"/>
      <c r="DF9" s="289" t="n"/>
      <c r="DG9" s="289" t="n"/>
      <c r="DH9" s="289" t="n"/>
      <c r="DI9" s="289" t="n"/>
      <c r="DJ9" s="289" t="n"/>
      <c r="DK9" s="289" t="n"/>
      <c r="DL9" s="289" t="n"/>
      <c r="DM9" s="289" t="n"/>
      <c r="DN9" s="289" t="n"/>
      <c r="DO9" s="289" t="n"/>
      <c r="DP9" s="289" t="n"/>
      <c r="DQ9" s="289" t="n"/>
      <c r="DR9" s="289" t="n"/>
      <c r="DS9" s="289" t="n"/>
      <c r="DT9" s="289" t="n"/>
    </row>
    <row r="10">
      <c r="B10" s="28">
        <f>'Inputs &amp; Summary'!F4</f>
        <v/>
      </c>
      <c r="C10" s="290">
        <f>'Inputs &amp; Summary'!G4</f>
        <v/>
      </c>
      <c r="D10" s="290">
        <f>'Inputs &amp; Summary'!K4</f>
        <v/>
      </c>
      <c r="E10" s="291">
        <f>IF(E$8=$D5,$D10,IF(E$8=1,$C10,IF(E$5="x", D10*(1+IncomeGrowth), D10)))</f>
        <v/>
      </c>
      <c r="F10" s="291">
        <f>IF(F$8=$D5,$D10,IF(F$8=1,$C10,IF(F$5="x", E10*(1+IncomeGrowth), E10)))</f>
        <v/>
      </c>
      <c r="G10" s="291">
        <f>IF(G$8=$D5,$D10,IF(G$8=1,$C10,IF(G$5="x", F10*(1+IncomeGrowth), F10)))</f>
        <v/>
      </c>
      <c r="H10" s="291">
        <f>IF(H$8=$D5,$D10,IF(H$8=1,$C10,IF(H$5="x", G10*(1+IncomeGrowth), G10)))</f>
        <v/>
      </c>
      <c r="I10" s="291">
        <f>IF(I$8=$D5,$D10,IF(I$8=1,$C10,IF(I$5="x", H10*(1+IncomeGrowth), H10)))</f>
        <v/>
      </c>
      <c r="J10" s="291">
        <f>IF(J$8=$D5,$D10,IF(J$8=1,$C10,IF(J$5="x", I10*(1+IncomeGrowth), I10)))</f>
        <v/>
      </c>
      <c r="K10" s="291">
        <f>IF(K$8=$D5,$D10,IF(K$8=1,$C10,IF(K$5="x", J10*(1+IncomeGrowth), J10)))</f>
        <v/>
      </c>
      <c r="L10" s="291">
        <f>IF(L$8=$D5,$D10,IF(L$8=1,$C10,IF(L$5="x", K10*(1+IncomeGrowth), K10)))</f>
        <v/>
      </c>
      <c r="M10" s="291">
        <f>IF(M$8=$D5,$D10,IF(M$8=1,$C10,IF(M$5="x", L10*(1+IncomeGrowth), L10)))</f>
        <v/>
      </c>
      <c r="N10" s="291">
        <f>IF(N$8=$D5,$D10,IF(N$8=1,$C10,IF(N$5="x", M10*(1+IncomeGrowth), M10)))</f>
        <v/>
      </c>
      <c r="O10" s="291">
        <f>IF(O$8=$D5,$D10,IF(O$8=1,$C10,IF(O$5="x", N10*(1+IncomeGrowth), N10)))</f>
        <v/>
      </c>
      <c r="P10" s="291">
        <f>IF(P$8=$D5,$D10,IF(P$8=1,$C10,IF(P$5="x", O10*(1+IncomeGrowth), O10)))</f>
        <v/>
      </c>
      <c r="Q10" s="291">
        <f>IF(Q$8=$D5,$D10,IF(Q$8=1,$C10,IF(Q$5="x", P10*(1+IncomeGrowth), P10)))</f>
        <v/>
      </c>
      <c r="R10" s="291">
        <f>IF(R$8=$D5,$D10,IF(R$8=1,$C10,IF(R$5="x", Q10*(1+IncomeGrowth), Q10)))</f>
        <v/>
      </c>
      <c r="S10" s="291">
        <f>IF(S$8=$D5,$D10,IF(S$8=1,$C10,IF(S$5="x", R10*(1+IncomeGrowth), R10)))</f>
        <v/>
      </c>
      <c r="T10" s="291">
        <f>IF(T$8=$D5,$D10,IF(T$8=1,$C10,IF(T$5="x", S10*(1+IncomeGrowth), S10)))</f>
        <v/>
      </c>
      <c r="U10" s="291">
        <f>IF(U$8=$D5,$D10,IF(U$8=1,$C10,IF(U$5="x", T10*(1+IncomeGrowth), T10)))</f>
        <v/>
      </c>
      <c r="V10" s="291">
        <f>IF(V$8=$D5,$D10,IF(V$8=1,$C10,IF(V$5="x", U10*(1+IncomeGrowth), U10)))</f>
        <v/>
      </c>
      <c r="W10" s="291">
        <f>IF(W$8=$D5,$D10,IF(W$8=1,$C10,IF(W$5="x", V10*(1+IncomeGrowth), V10)))</f>
        <v/>
      </c>
      <c r="X10" s="291">
        <f>IF(X$8=$D5,$D10,IF(X$8=1,$C10,IF(X$5="x", W10*(1+IncomeGrowth), W10)))</f>
        <v/>
      </c>
      <c r="Y10" s="291">
        <f>IF(Y$8=$D5,$D10,IF(Y$8=1,$C10,IF(Y$5="x", X10*(1+IncomeGrowth), X10)))</f>
        <v/>
      </c>
      <c r="Z10" s="291">
        <f>IF(Z$8=$D5,$D10,IF(Z$8=1,$C10,IF(Z$5="x", Y10*(1+IncomeGrowth), Y10)))</f>
        <v/>
      </c>
      <c r="AA10" s="291">
        <f>IF(AA$8=$D5,$D10,IF(AA$8=1,$C10,IF(AA$5="x", Z10*(1+IncomeGrowth), Z10)))</f>
        <v/>
      </c>
      <c r="AB10" s="291">
        <f>IF(AB$8=$D5,$D10,IF(AB$8=1,$C10,IF(AB$5="x", AA10*(1+IncomeGrowth), AA10)))</f>
        <v/>
      </c>
      <c r="AC10" s="291">
        <f>IF(AC$8=$D5,$D10,IF(AC$8=1,$C10,IF(AC$5="x", AB10*(1+IncomeGrowth), AB10)))</f>
        <v/>
      </c>
      <c r="AD10" s="291">
        <f>IF(AD$8=$D5,$D10,IF(AD$8=1,$C10,IF(AD$5="x", AC10*(1+IncomeGrowth), AC10)))</f>
        <v/>
      </c>
      <c r="AE10" s="291">
        <f>IF(AE$8=$D5,$D10,IF(AE$8=1,$C10,IF(AE$5="x", AD10*(1+IncomeGrowth), AD10)))</f>
        <v/>
      </c>
      <c r="AF10" s="291">
        <f>IF(AF$8=$D5,$D10,IF(AF$8=1,$C10,IF(AF$5="x", AE10*(1+IncomeGrowth), AE10)))</f>
        <v/>
      </c>
      <c r="AG10" s="291">
        <f>IF(AG$8=$D5,$D10,IF(AG$8=1,$C10,IF(AG$5="x", AF10*(1+IncomeGrowth), AF10)))</f>
        <v/>
      </c>
      <c r="AH10" s="291">
        <f>IF(AH$8=$D5,$D10,IF(AH$8=1,$C10,IF(AH$5="x", AG10*(1+IncomeGrowth), AG10)))</f>
        <v/>
      </c>
      <c r="AI10" s="291">
        <f>IF(AI$8=$D5,$D10,IF(AI$8=1,$C10,IF(AI$5="x", AH10*(1+IncomeGrowth), AH10)))</f>
        <v/>
      </c>
      <c r="AJ10" s="291">
        <f>IF(AJ$8=$D5,$D10,IF(AJ$8=1,$C10,IF(AJ$5="x", AI10*(1+IncomeGrowth), AI10)))</f>
        <v/>
      </c>
      <c r="AK10" s="291">
        <f>IF(AK$8=$D5,$D10,IF(AK$8=1,$C10,IF(AK$5="x", AJ10*(1+IncomeGrowth), AJ10)))</f>
        <v/>
      </c>
      <c r="AL10" s="291">
        <f>IF(AL$8=$D5,$D10,IF(AL$8=1,$C10,IF(AL$5="x", AK10*(1+IncomeGrowth), AK10)))</f>
        <v/>
      </c>
      <c r="AM10" s="291">
        <f>IF(AM$8=$D5,$D10,IF(AM$8=1,$C10,IF(AM$5="x", AL10*(1+IncomeGrowth), AL10)))</f>
        <v/>
      </c>
      <c r="AN10" s="291">
        <f>IF(AN$8=$D5,$D10,IF(AN$8=1,$C10,IF(AN$5="x", AM10*(1+IncomeGrowth), AM10)))</f>
        <v/>
      </c>
      <c r="AO10" s="291">
        <f>IF(AO$8=$D5,$D10,IF(AO$8=1,$C10,IF(AO$5="x", AN10*(1+IncomeGrowth), AN10)))</f>
        <v/>
      </c>
      <c r="AP10" s="291">
        <f>IF(AP$8=$D5,$D10,IF(AP$8=1,$C10,IF(AP$5="x", AO10*(1+IncomeGrowth), AO10)))</f>
        <v/>
      </c>
      <c r="AQ10" s="291">
        <f>IF(AQ$8=$D5,$D10,IF(AQ$8=1,$C10,IF(AQ$5="x", AP10*(1+IncomeGrowth), AP10)))</f>
        <v/>
      </c>
      <c r="AR10" s="291">
        <f>IF(AR$8=$D5,$D10,IF(AR$8=1,$C10,IF(AR$5="x", AQ10*(1+IncomeGrowth), AQ10)))</f>
        <v/>
      </c>
      <c r="AS10" s="291">
        <f>IF(AS$8=$D5,$D10,IF(AS$8=1,$C10,IF(AS$5="x", AR10*(1+IncomeGrowth), AR10)))</f>
        <v/>
      </c>
      <c r="AT10" s="291">
        <f>IF(AT$8=$D5,$D10,IF(AT$8=1,$C10,IF(AT$5="x", AS10*(1+IncomeGrowth), AS10)))</f>
        <v/>
      </c>
      <c r="AU10" s="291">
        <f>IF(AU$8=$D5,$D10,IF(AU$8=1,$C10,IF(AU$5="x", AT10*(1+IncomeGrowth), AT10)))</f>
        <v/>
      </c>
      <c r="AV10" s="291">
        <f>IF(AV$8=$D5,$D10,IF(AV$8=1,$C10,IF(AV$5="x", AU10*(1+IncomeGrowth), AU10)))</f>
        <v/>
      </c>
      <c r="AW10" s="291">
        <f>IF(AW$8=$D5,$D10,IF(AW$8=1,$C10,IF(AW$5="x", AV10*(1+IncomeGrowth), AV10)))</f>
        <v/>
      </c>
      <c r="AX10" s="291">
        <f>IF(AX$8=$D5,$D10,IF(AX$8=1,$C10,IF(AX$5="x", AW10*(1+IncomeGrowth), AW10)))</f>
        <v/>
      </c>
      <c r="AY10" s="291">
        <f>IF(AY$8=$D5,$D10,IF(AY$8=1,$C10,IF(AY$5="x", AX10*(1+IncomeGrowth), AX10)))</f>
        <v/>
      </c>
      <c r="AZ10" s="291">
        <f>IF(AZ$8=$D5,$D10,IF(AZ$8=1,$C10,IF(AZ$5="x", AY10*(1+IncomeGrowth), AY10)))</f>
        <v/>
      </c>
      <c r="BA10" s="291">
        <f>IF(BA$8=$D5,$D10,IF(BA$8=1,$C10,IF(BA$5="x", AZ10*(1+IncomeGrowth), AZ10)))</f>
        <v/>
      </c>
      <c r="BB10" s="291">
        <f>IF(BB$8=$D5,$D10,IF(BB$8=1,$C10,IF(BB$5="x", BA10*(1+IncomeGrowth), BA10)))</f>
        <v/>
      </c>
      <c r="BC10" s="291">
        <f>IF(BC$8=$D5,$D10,IF(BC$8=1,$C10,IF(BC$5="x", BB10*(1+IncomeGrowth), BB10)))</f>
        <v/>
      </c>
      <c r="BD10" s="291">
        <f>IF(BD$8=$D5,$D10,IF(BD$8=1,$C10,IF(BD$5="x", BC10*(1+IncomeGrowth), BC10)))</f>
        <v/>
      </c>
      <c r="BE10" s="291">
        <f>IF(BE$8=$D5,$D10,IF(BE$8=1,$C10,IF(BE$5="x", BD10*(1+IncomeGrowth), BD10)))</f>
        <v/>
      </c>
      <c r="BF10" s="291">
        <f>IF(BF$8=$D5,$D10,IF(BF$8=1,$C10,IF(BF$5="x", BE10*(1+IncomeGrowth), BE10)))</f>
        <v/>
      </c>
      <c r="BG10" s="291">
        <f>IF(BG$8=$D5,$D10,IF(BG$8=1,$C10,IF(BG$5="x", BF10*(1+IncomeGrowth), BF10)))</f>
        <v/>
      </c>
      <c r="BH10" s="291">
        <f>IF(BH$8=$D5,$D10,IF(BH$8=1,$C10,IF(BH$5="x", BG10*(1+IncomeGrowth), BG10)))</f>
        <v/>
      </c>
      <c r="BI10" s="291">
        <f>IF(BI$8=$D5,$D10,IF(BI$8=1,$C10,IF(BI$5="x", BH10*(1+IncomeGrowth), BH10)))</f>
        <v/>
      </c>
      <c r="BJ10" s="291">
        <f>IF(BJ$8=$D5,$D10,IF(BJ$8=1,$C10,IF(BJ$5="x", BI10*(1+IncomeGrowth), BI10)))</f>
        <v/>
      </c>
      <c r="BK10" s="291">
        <f>IF(BK$8=$D5,$D10,IF(BK$8=1,$C10,IF(BK$5="x", BJ10*(1+IncomeGrowth), BJ10)))</f>
        <v/>
      </c>
      <c r="BL10" s="291">
        <f>IF(BL$8=$D5,$D10,IF(BL$8=1,$C10,IF(BL$5="x", BK10*(1+IncomeGrowth), BK10)))</f>
        <v/>
      </c>
      <c r="BM10" s="291">
        <f>IF(BM$8=$D5,$D10,IF(BM$8=1,$C10,IF(BM$5="x", BL10*(1+IncomeGrowth), BL10)))</f>
        <v/>
      </c>
      <c r="BN10" s="291">
        <f>IF(BN$8=$D5,$D10,IF(BN$8=1,$C10,IF(BN$5="x", BM10*(1+IncomeGrowth), BM10)))</f>
        <v/>
      </c>
      <c r="BO10" s="291">
        <f>IF(BO$8=$D5,$D10,IF(BO$8=1,$C10,IF(BO$5="x", BN10*(1+IncomeGrowth), BN10)))</f>
        <v/>
      </c>
      <c r="BP10" s="291">
        <f>IF(BP$8=$D5,$D10,IF(BP$8=1,$C10,IF(BP$5="x", BO10*(1+IncomeGrowth), BO10)))</f>
        <v/>
      </c>
      <c r="BQ10" s="291">
        <f>IF(BQ$8=$D5,$D10,IF(BQ$8=1,$C10,IF(BQ$5="x", BP10*(1+IncomeGrowth), BP10)))</f>
        <v/>
      </c>
      <c r="BR10" s="291">
        <f>IF(BR$8=$D5,$D10,IF(BR$8=1,$C10,IF(BR$5="x", BQ10*(1+IncomeGrowth), BQ10)))</f>
        <v/>
      </c>
      <c r="BS10" s="291">
        <f>IF(BS$8=$D5,$D10,IF(BS$8=1,$C10,IF(BS$5="x", BR10*(1+IncomeGrowth), BR10)))</f>
        <v/>
      </c>
      <c r="BT10" s="291">
        <f>IF(BT$8=$D5,$D10,IF(BT$8=1,$C10,IF(BT$5="x", BS10*(1+IncomeGrowth), BS10)))</f>
        <v/>
      </c>
      <c r="BU10" s="291">
        <f>IF(BU$8=$D5,$D10,IF(BU$8=1,$C10,IF(BU$5="x", BT10*(1+IncomeGrowth), BT10)))</f>
        <v/>
      </c>
      <c r="BV10" s="291">
        <f>IF(BV$8=$D5,$D10,IF(BV$8=1,$C10,IF(BV$5="x", BU10*(1+IncomeGrowth), BU10)))</f>
        <v/>
      </c>
      <c r="BW10" s="291">
        <f>IF(BW$8=$D5,$D10,IF(BW$8=1,$C10,IF(BW$5="x", BV10*(1+IncomeGrowth), BV10)))</f>
        <v/>
      </c>
      <c r="BX10" s="291">
        <f>IF(BX$8=$D5,$D10,IF(BX$8=1,$C10,IF(BX$5="x", BW10*(1+IncomeGrowth), BW10)))</f>
        <v/>
      </c>
      <c r="BY10" s="291">
        <f>IF(BY$8=$D5,$D10,IF(BY$8=1,$C10,IF(BY$5="x", BX10*(1+IncomeGrowth), BX10)))</f>
        <v/>
      </c>
      <c r="BZ10" s="291">
        <f>IF(BZ$8=$D5,$D10,IF(BZ$8=1,$C10,IF(BZ$5="x", BY10*(1+IncomeGrowth), BY10)))</f>
        <v/>
      </c>
      <c r="CA10" s="291">
        <f>IF(CA$8=$D5,$D10,IF(CA$8=1,$C10,IF(CA$5="x", BZ10*(1+IncomeGrowth), BZ10)))</f>
        <v/>
      </c>
      <c r="CB10" s="291">
        <f>IF(CB$8=$D5,$D10,IF(CB$8=1,$C10,IF(CB$5="x", CA10*(1+IncomeGrowth), CA10)))</f>
        <v/>
      </c>
      <c r="CC10" s="291">
        <f>IF(CC$8=$D5,$D10,IF(CC$8=1,$C10,IF(CC$5="x", CB10*(1+IncomeGrowth), CB10)))</f>
        <v/>
      </c>
      <c r="CD10" s="291">
        <f>IF(CD$8=$D5,$D10,IF(CD$8=1,$C10,IF(CD$5="x", CC10*(1+IncomeGrowth), CC10)))</f>
        <v/>
      </c>
      <c r="CE10" s="291">
        <f>IF(CE$8=$D5,$D10,IF(CE$8=1,$C10,IF(CE$5="x", CD10*(1+IncomeGrowth), CD10)))</f>
        <v/>
      </c>
      <c r="CF10" s="291">
        <f>IF(CF$8=$D5,$D10,IF(CF$8=1,$C10,IF(CF$5="x", CE10*(1+IncomeGrowth), CE10)))</f>
        <v/>
      </c>
      <c r="CG10" s="291">
        <f>IF(CG$8=$D5,$D10,IF(CG$8=1,$C10,IF(CG$5="x", CF10*(1+IncomeGrowth), CF10)))</f>
        <v/>
      </c>
      <c r="CH10" s="291">
        <f>IF(CH$8=$D5,$D10,IF(CH$8=1,$C10,IF(CH$5="x", CG10*(1+IncomeGrowth), CG10)))</f>
        <v/>
      </c>
      <c r="CI10" s="291">
        <f>IF(CI$8=$D5,$D10,IF(CI$8=1,$C10,IF(CI$5="x", CH10*(1+IncomeGrowth), CH10)))</f>
        <v/>
      </c>
      <c r="CJ10" s="291">
        <f>IF(CJ$8=$D5,$D10,IF(CJ$8=1,$C10,IF(CJ$5="x", CI10*(1+IncomeGrowth), CI10)))</f>
        <v/>
      </c>
      <c r="CK10" s="291">
        <f>IF(CK$8=$D5,$D10,IF(CK$8=1,$C10,IF(CK$5="x", CJ10*(1+IncomeGrowth), CJ10)))</f>
        <v/>
      </c>
      <c r="CL10" s="291">
        <f>IF(CL$8=$D5,$D10,IF(CL$8=1,$C10,IF(CL$5="x", CK10*(1+IncomeGrowth), CK10)))</f>
        <v/>
      </c>
      <c r="CM10" s="291">
        <f>IF(CM$8=$D5,$D10,IF(CM$8=1,$C10,IF(CM$5="x", CL10*(1+IncomeGrowth), CL10)))</f>
        <v/>
      </c>
      <c r="CN10" s="291">
        <f>IF(CN$8=$D5,$D10,IF(CN$8=1,$C10,IF(CN$5="x", CM10*(1+IncomeGrowth), CM10)))</f>
        <v/>
      </c>
      <c r="CO10" s="291">
        <f>IF(CO$8=$D5,$D10,IF(CO$8=1,$C10,IF(CO$5="x", CN10*(1+IncomeGrowth), CN10)))</f>
        <v/>
      </c>
      <c r="CP10" s="291">
        <f>IF(CP$8=$D5,$D10,IF(CP$8=1,$C10,IF(CP$5="x", CO10*(1+IncomeGrowth), CO10)))</f>
        <v/>
      </c>
      <c r="CQ10" s="291">
        <f>IF(CQ$8=$D5,$D10,IF(CQ$8=1,$C10,IF(CQ$5="x", CP10*(1+IncomeGrowth), CP10)))</f>
        <v/>
      </c>
      <c r="CR10" s="291">
        <f>IF(CR$8=$D5,$D10,IF(CR$8=1,$C10,IF(CR$5="x", CQ10*(1+IncomeGrowth), CQ10)))</f>
        <v/>
      </c>
      <c r="CS10" s="291">
        <f>IF(CS$8=$D5,$D10,IF(CS$8=1,$C10,IF(CS$5="x", CR10*(1+IncomeGrowth), CR10)))</f>
        <v/>
      </c>
      <c r="CT10" s="291">
        <f>IF(CT$8=$D5,$D10,IF(CT$8=1,$C10,IF(CT$5="x", CS10*(1+IncomeGrowth), CS10)))</f>
        <v/>
      </c>
      <c r="CU10" s="291">
        <f>IF(CU$8=$D5,$D10,IF(CU$8=1,$C10,IF(CU$5="x", CT10*(1+IncomeGrowth), CT10)))</f>
        <v/>
      </c>
      <c r="CV10" s="291">
        <f>IF(CV$8=$D5,$D10,IF(CV$8=1,$C10,IF(CV$5="x", CU10*(1+IncomeGrowth), CU10)))</f>
        <v/>
      </c>
      <c r="CW10" s="291">
        <f>IF(CW$8=$D5,$D10,IF(CW$8=1,$C10,IF(CW$5="x", CV10*(1+IncomeGrowth), CV10)))</f>
        <v/>
      </c>
      <c r="CX10" s="291">
        <f>IF(CX$8=$D5,$D10,IF(CX$8=1,$C10,IF(CX$5="x", CW10*(1+IncomeGrowth), CW10)))</f>
        <v/>
      </c>
      <c r="CY10" s="291">
        <f>IF(CY$8=$D5,$D10,IF(CY$8=1,$C10,IF(CY$5="x", CX10*(1+IncomeGrowth), CX10)))</f>
        <v/>
      </c>
      <c r="CZ10" s="291">
        <f>IF(CZ$8=$D5,$D10,IF(CZ$8=1,$C10,IF(CZ$5="x", CY10*(1+IncomeGrowth), CY10)))</f>
        <v/>
      </c>
      <c r="DA10" s="291">
        <f>IF(DA$8=$D5,$D10,IF(DA$8=1,$C10,IF(DA$5="x", CZ10*(1+IncomeGrowth), CZ10)))</f>
        <v/>
      </c>
      <c r="DB10" s="291">
        <f>IF(DB$8=$D5,$D10,IF(DB$8=1,$C10,IF(DB$5="x", DA10*(1+IncomeGrowth), DA10)))</f>
        <v/>
      </c>
      <c r="DC10" s="291">
        <f>IF(DC$8=$D5,$D10,IF(DC$8=1,$C10,IF(DC$5="x", DB10*(1+IncomeGrowth), DB10)))</f>
        <v/>
      </c>
      <c r="DD10" s="291">
        <f>IF(DD$8=$D5,$D10,IF(DD$8=1,$C10,IF(DD$5="x", DC10*(1+IncomeGrowth), DC10)))</f>
        <v/>
      </c>
      <c r="DE10" s="291">
        <f>IF(DE$8=$D5,$D10,IF(DE$8=1,$C10,IF(DE$5="x", DD10*(1+IncomeGrowth), DD10)))</f>
        <v/>
      </c>
      <c r="DF10" s="291">
        <f>IF(DF$8=$D5,$D10,IF(DF$8=1,$C10,IF(DF$5="x", DE10*(1+IncomeGrowth), DE10)))</f>
        <v/>
      </c>
      <c r="DG10" s="291">
        <f>IF(DG$8=$D5,$D10,IF(DG$8=1,$C10,IF(DG$5="x", DF10*(1+IncomeGrowth), DF10)))</f>
        <v/>
      </c>
      <c r="DH10" s="291">
        <f>IF(DH$8=$D5,$D10,IF(DH$8=1,$C10,IF(DH$5="x", DG10*(1+IncomeGrowth), DG10)))</f>
        <v/>
      </c>
      <c r="DI10" s="291">
        <f>IF(DI$8=$D5,$D10,IF(DI$8=1,$C10,IF(DI$5="x", DH10*(1+IncomeGrowth), DH10)))</f>
        <v/>
      </c>
      <c r="DJ10" s="291">
        <f>IF(DJ$8=$D5,$D10,IF(DJ$8=1,$C10,IF(DJ$5="x", DI10*(1+IncomeGrowth), DI10)))</f>
        <v/>
      </c>
      <c r="DK10" s="291">
        <f>IF(DK$8=$D5,$D10,IF(DK$8=1,$C10,IF(DK$5="x", DJ10*(1+IncomeGrowth), DJ10)))</f>
        <v/>
      </c>
      <c r="DL10" s="291">
        <f>IF(DL$8=$D5,$D10,IF(DL$8=1,$C10,IF(DL$5="x", DK10*(1+IncomeGrowth), DK10)))</f>
        <v/>
      </c>
      <c r="DM10" s="291">
        <f>IF(DM$8=$D5,$D10,IF(DM$8=1,$C10,IF(DM$5="x", DL10*(1+IncomeGrowth), DL10)))</f>
        <v/>
      </c>
      <c r="DN10" s="291">
        <f>IF(DN$8=$D5,$D10,IF(DN$8=1,$C10,IF(DN$5="x", DM10*(1+IncomeGrowth), DM10)))</f>
        <v/>
      </c>
      <c r="DO10" s="291">
        <f>IF(DO$8=$D5,$D10,IF(DO$8=1,$C10,IF(DO$5="x", DN10*(1+IncomeGrowth), DN10)))</f>
        <v/>
      </c>
      <c r="DP10" s="291">
        <f>IF(DP$8=$D5,$D10,IF(DP$8=1,$C10,IF(DP$5="x", DO10*(1+IncomeGrowth), DO10)))</f>
        <v/>
      </c>
      <c r="DQ10" s="291">
        <f>IF(DQ$8=$D5,$D10,IF(DQ$8=1,$C10,IF(DQ$5="x", DP10*(1+IncomeGrowth), DP10)))</f>
        <v/>
      </c>
      <c r="DR10" s="291">
        <f>IF(DR$8=$D5,$D10,IF(DR$8=1,$C10,IF(DR$5="x", DQ10*(1+IncomeGrowth), DQ10)))</f>
        <v/>
      </c>
      <c r="DS10" s="291">
        <f>IF(DS$8=$D5,$D10,IF(DS$8=1,$C10,IF(DS$5="x", DR10*(1+IncomeGrowth), DR10)))</f>
        <v/>
      </c>
      <c r="DT10" s="291">
        <f>IF(DT$8=$D5,$D10,IF(DT$8=1,$C10,IF(DT$5="x", DS10*(1+IncomeGrowth), DS10)))</f>
        <v/>
      </c>
    </row>
    <row r="11">
      <c r="B11" s="9" t="inlineStr">
        <is>
          <t>(+) Rental Income</t>
        </is>
      </c>
      <c r="C11" s="104" t="n"/>
      <c r="D11" s="104" t="n"/>
      <c r="E11" s="250">
        <f>SUM(E10:E10)</f>
        <v/>
      </c>
      <c r="F11" s="292">
        <f>SUM(F10:F10)</f>
        <v/>
      </c>
      <c r="G11" s="292">
        <f>SUM(G10:G10)</f>
        <v/>
      </c>
      <c r="H11" s="292">
        <f>SUM(H10:H10)</f>
        <v/>
      </c>
      <c r="I11" s="292">
        <f>SUM(I10:I10)</f>
        <v/>
      </c>
      <c r="J11" s="292">
        <f>SUM(J10:J10)</f>
        <v/>
      </c>
      <c r="K11" s="292">
        <f>SUM(K10:K10)</f>
        <v/>
      </c>
      <c r="L11" s="292">
        <f>SUM(L10:L10)</f>
        <v/>
      </c>
      <c r="M11" s="292">
        <f>SUM(M10:M10)</f>
        <v/>
      </c>
      <c r="N11" s="292">
        <f>SUM(N10:N10)</f>
        <v/>
      </c>
      <c r="O11" s="292">
        <f>SUM(O10:O10)</f>
        <v/>
      </c>
      <c r="P11" s="292">
        <f>SUM(P10:P10)</f>
        <v/>
      </c>
      <c r="Q11" s="292">
        <f>SUM(Q10:Q10)</f>
        <v/>
      </c>
      <c r="R11" s="292">
        <f>SUM(R10:R10)</f>
        <v/>
      </c>
      <c r="S11" s="292">
        <f>SUM(S10:S10)</f>
        <v/>
      </c>
      <c r="T11" s="292">
        <f>SUM(T10:T10)</f>
        <v/>
      </c>
      <c r="U11" s="292">
        <f>SUM(U10:U10)</f>
        <v/>
      </c>
      <c r="V11" s="292">
        <f>SUM(V10:V10)</f>
        <v/>
      </c>
      <c r="W11" s="292">
        <f>SUM(W10:W10)</f>
        <v/>
      </c>
      <c r="X11" s="292">
        <f>SUM(X10:X10)</f>
        <v/>
      </c>
      <c r="Y11" s="292">
        <f>SUM(Y10:Y10)</f>
        <v/>
      </c>
      <c r="Z11" s="293">
        <f>SUM(Z10:Z10)</f>
        <v/>
      </c>
      <c r="AA11" s="293">
        <f>SUM(AA10:AA10)</f>
        <v/>
      </c>
      <c r="AB11" s="293">
        <f>SUM(AB10:AB10)</f>
        <v/>
      </c>
      <c r="AC11" s="293">
        <f>SUM(AC10:AC10)</f>
        <v/>
      </c>
      <c r="AD11" s="293">
        <f>SUM(AD10:AD10)</f>
        <v/>
      </c>
      <c r="AE11" s="293">
        <f>SUM(AE10:AE10)</f>
        <v/>
      </c>
      <c r="AF11" s="293">
        <f>SUM(AF10:AF10)</f>
        <v/>
      </c>
      <c r="AG11" s="293">
        <f>SUM(AG10:AG10)</f>
        <v/>
      </c>
      <c r="AH11" s="293">
        <f>SUM(AH10:AH10)</f>
        <v/>
      </c>
      <c r="AI11" s="293">
        <f>SUM(AI10:AI10)</f>
        <v/>
      </c>
      <c r="AJ11" s="293">
        <f>SUM(AJ10:AJ10)</f>
        <v/>
      </c>
      <c r="AK11" s="293">
        <f>SUM(AK10:AK10)</f>
        <v/>
      </c>
      <c r="AL11" s="293">
        <f>SUM(AL10:AL10)</f>
        <v/>
      </c>
      <c r="AM11" s="293">
        <f>SUM(AM10:AM10)</f>
        <v/>
      </c>
      <c r="AN11" s="293">
        <f>SUM(AN10:AN10)</f>
        <v/>
      </c>
      <c r="AO11" s="293">
        <f>SUM(AO10:AO10)</f>
        <v/>
      </c>
      <c r="AP11" s="293">
        <f>SUM(AP10:AP10)</f>
        <v/>
      </c>
      <c r="AQ11" s="293">
        <f>SUM(AQ10:AQ10)</f>
        <v/>
      </c>
      <c r="AR11" s="293">
        <f>SUM(AR10:AR10)</f>
        <v/>
      </c>
      <c r="AS11" s="293">
        <f>SUM(AS10:AS10)</f>
        <v/>
      </c>
      <c r="AT11" s="293">
        <f>SUM(AT10:AT10)</f>
        <v/>
      </c>
      <c r="AU11" s="293">
        <f>SUM(AU10:AU10)</f>
        <v/>
      </c>
      <c r="AV11" s="293">
        <f>SUM(AV10:AV10)</f>
        <v/>
      </c>
      <c r="AW11" s="293">
        <f>SUM(AW10:AW10)</f>
        <v/>
      </c>
      <c r="AX11" s="293">
        <f>SUM(AX10:AX10)</f>
        <v/>
      </c>
      <c r="AY11" s="293">
        <f>SUM(AY10:AY10)</f>
        <v/>
      </c>
      <c r="AZ11" s="293">
        <f>SUM(AZ10:AZ10)</f>
        <v/>
      </c>
      <c r="BA11" s="293">
        <f>SUM(BA10:BA10)</f>
        <v/>
      </c>
      <c r="BB11" s="293">
        <f>SUM(BB10:BB10)</f>
        <v/>
      </c>
      <c r="BC11" s="293">
        <f>SUM(BC10:BC10)</f>
        <v/>
      </c>
      <c r="BD11" s="293">
        <f>SUM(BD10:BD10)</f>
        <v/>
      </c>
      <c r="BE11" s="293">
        <f>SUM(BE10:BE10)</f>
        <v/>
      </c>
      <c r="BF11" s="293">
        <f>SUM(BF10:BF10)</f>
        <v/>
      </c>
      <c r="BG11" s="293">
        <f>SUM(BG10:BG10)</f>
        <v/>
      </c>
      <c r="BH11" s="293">
        <f>SUM(BH10:BH10)</f>
        <v/>
      </c>
      <c r="BI11" s="293">
        <f>SUM(BI10:BI10)</f>
        <v/>
      </c>
      <c r="BJ11" s="293">
        <f>SUM(BJ10:BJ10)</f>
        <v/>
      </c>
      <c r="BK11" s="293">
        <f>SUM(BK10:BK10)</f>
        <v/>
      </c>
      <c r="BL11" s="293">
        <f>SUM(BL10:BL10)</f>
        <v/>
      </c>
      <c r="BM11" s="293">
        <f>SUM(BM10:BM10)</f>
        <v/>
      </c>
      <c r="BN11" s="293">
        <f>SUM(BN10:BN10)</f>
        <v/>
      </c>
      <c r="BO11" s="293">
        <f>SUM(BO10:BO10)</f>
        <v/>
      </c>
      <c r="BP11" s="293">
        <f>SUM(BP10:BP10)</f>
        <v/>
      </c>
      <c r="BQ11" s="293">
        <f>SUM(BQ10:BQ10)</f>
        <v/>
      </c>
      <c r="BR11" s="293">
        <f>SUM(BR10:BR10)</f>
        <v/>
      </c>
      <c r="BS11" s="293">
        <f>SUM(BS10:BS10)</f>
        <v/>
      </c>
      <c r="BT11" s="293">
        <f>SUM(BT10:BT10)</f>
        <v/>
      </c>
      <c r="BU11" s="293">
        <f>SUM(BU10:BU10)</f>
        <v/>
      </c>
      <c r="BV11" s="293">
        <f>SUM(BV10:BV10)</f>
        <v/>
      </c>
      <c r="BW11" s="293">
        <f>SUM(BW10:BW10)</f>
        <v/>
      </c>
      <c r="BX11" s="293">
        <f>SUM(BX10:BX10)</f>
        <v/>
      </c>
      <c r="BY11" s="293">
        <f>SUM(BY10:BY10)</f>
        <v/>
      </c>
      <c r="BZ11" s="293">
        <f>SUM(BZ10:BZ10)</f>
        <v/>
      </c>
      <c r="CA11" s="293">
        <f>SUM(CA10:CA10)</f>
        <v/>
      </c>
      <c r="CB11" s="293">
        <f>SUM(CB10:CB10)</f>
        <v/>
      </c>
      <c r="CC11" s="293">
        <f>SUM(CC10:CC10)</f>
        <v/>
      </c>
      <c r="CD11" s="293">
        <f>SUM(CD10:CD10)</f>
        <v/>
      </c>
      <c r="CE11" s="293">
        <f>SUM(CE10:CE10)</f>
        <v/>
      </c>
      <c r="CF11" s="293">
        <f>SUM(CF10:CF10)</f>
        <v/>
      </c>
      <c r="CG11" s="293">
        <f>SUM(CG10:CG10)</f>
        <v/>
      </c>
      <c r="CH11" s="293">
        <f>SUM(CH10:CH10)</f>
        <v/>
      </c>
      <c r="CI11" s="293">
        <f>SUM(CI10:CI10)</f>
        <v/>
      </c>
      <c r="CJ11" s="293">
        <f>SUM(CJ10:CJ10)</f>
        <v/>
      </c>
      <c r="CK11" s="293">
        <f>SUM(CK10:CK10)</f>
        <v/>
      </c>
      <c r="CL11" s="293">
        <f>SUM(CL10:CL10)</f>
        <v/>
      </c>
      <c r="CM11" s="293">
        <f>SUM(CM10:CM10)</f>
        <v/>
      </c>
      <c r="CN11" s="293">
        <f>SUM(CN10:CN10)</f>
        <v/>
      </c>
      <c r="CO11" s="293">
        <f>SUM(CO10:CO10)</f>
        <v/>
      </c>
      <c r="CP11" s="293">
        <f>SUM(CP10:CP10)</f>
        <v/>
      </c>
      <c r="CQ11" s="293">
        <f>SUM(CQ10:CQ10)</f>
        <v/>
      </c>
      <c r="CR11" s="293">
        <f>SUM(CR10:CR10)</f>
        <v/>
      </c>
      <c r="CS11" s="293">
        <f>SUM(CS10:CS10)</f>
        <v/>
      </c>
      <c r="CT11" s="293">
        <f>SUM(CT10:CT10)</f>
        <v/>
      </c>
      <c r="CU11" s="293">
        <f>SUM(CU10:CU10)</f>
        <v/>
      </c>
      <c r="CV11" s="293">
        <f>SUM(CV10:CV10)</f>
        <v/>
      </c>
      <c r="CW11" s="293">
        <f>SUM(CW10:CW10)</f>
        <v/>
      </c>
      <c r="CX11" s="293">
        <f>SUM(CX10:CX10)</f>
        <v/>
      </c>
      <c r="CY11" s="293">
        <f>SUM(CY10:CY10)</f>
        <v/>
      </c>
      <c r="CZ11" s="293">
        <f>SUM(CZ10:CZ10)</f>
        <v/>
      </c>
      <c r="DA11" s="293">
        <f>SUM(DA10:DA10)</f>
        <v/>
      </c>
      <c r="DB11" s="293">
        <f>SUM(DB10:DB10)</f>
        <v/>
      </c>
      <c r="DC11" s="293">
        <f>SUM(DC10:DC10)</f>
        <v/>
      </c>
      <c r="DD11" s="293">
        <f>SUM(DD10:DD10)</f>
        <v/>
      </c>
      <c r="DE11" s="293">
        <f>SUM(DE10:DE10)</f>
        <v/>
      </c>
      <c r="DF11" s="293">
        <f>SUM(DF10:DF10)</f>
        <v/>
      </c>
      <c r="DG11" s="293">
        <f>SUM(DG10:DG10)</f>
        <v/>
      </c>
      <c r="DH11" s="293">
        <f>SUM(DH10:DH10)</f>
        <v/>
      </c>
      <c r="DI11" s="293">
        <f>SUM(DI10:DI10)</f>
        <v/>
      </c>
      <c r="DJ11" s="293">
        <f>SUM(DJ10:DJ10)</f>
        <v/>
      </c>
      <c r="DK11" s="293">
        <f>SUM(DK10:DK10)</f>
        <v/>
      </c>
      <c r="DL11" s="293">
        <f>SUM(DL10:DL10)</f>
        <v/>
      </c>
      <c r="DM11" s="293">
        <f>SUM(DM10:DM10)</f>
        <v/>
      </c>
      <c r="DN11" s="293">
        <f>SUM(DN10:DN10)</f>
        <v/>
      </c>
      <c r="DO11" s="293">
        <f>SUM(DO10:DO10)</f>
        <v/>
      </c>
      <c r="DP11" s="293">
        <f>SUM(DP10:DP10)</f>
        <v/>
      </c>
      <c r="DQ11" s="293">
        <f>SUM(DQ10:DQ10)</f>
        <v/>
      </c>
      <c r="DR11" s="293">
        <f>SUM(DR10:DR10)</f>
        <v/>
      </c>
      <c r="DS11" s="293">
        <f>SUM(DS10:DS10)</f>
        <v/>
      </c>
      <c r="DT11" s="293">
        <f>SUM(DT10:DT10)</f>
        <v/>
      </c>
    </row>
    <row r="12" customFormat="1" s="6">
      <c r="B12" s="6" t="inlineStr">
        <is>
          <t>Potential Gross Income</t>
        </is>
      </c>
      <c r="C12" s="33" t="n"/>
      <c r="D12" s="33" t="n"/>
      <c r="E12" s="212">
        <f>SUM(E11:E11)</f>
        <v/>
      </c>
      <c r="F12" s="294">
        <f>SUM(F11:F11)</f>
        <v/>
      </c>
      <c r="G12" s="294">
        <f>SUM(G11:G11)</f>
        <v/>
      </c>
      <c r="H12" s="294">
        <f>SUM(H11:H11)</f>
        <v/>
      </c>
      <c r="I12" s="294">
        <f>SUM(I11:I11)</f>
        <v/>
      </c>
      <c r="J12" s="294">
        <f>SUM(J11:J11)</f>
        <v/>
      </c>
      <c r="K12" s="294">
        <f>SUM(K11:K11)</f>
        <v/>
      </c>
      <c r="L12" s="294">
        <f>SUM(L11:L11)</f>
        <v/>
      </c>
      <c r="M12" s="294">
        <f>SUM(M11:M11)</f>
        <v/>
      </c>
      <c r="N12" s="294">
        <f>SUM(N11:N11)</f>
        <v/>
      </c>
      <c r="O12" s="294">
        <f>SUM(O11:O11)</f>
        <v/>
      </c>
      <c r="P12" s="294">
        <f>SUM(P11:P11)</f>
        <v/>
      </c>
      <c r="Q12" s="294">
        <f>SUM(Q11:Q11)</f>
        <v/>
      </c>
      <c r="R12" s="294">
        <f>SUM(R11:R11)</f>
        <v/>
      </c>
      <c r="S12" s="294">
        <f>SUM(S11:S11)</f>
        <v/>
      </c>
      <c r="T12" s="294">
        <f>SUM(T11:T11)</f>
        <v/>
      </c>
      <c r="U12" s="294">
        <f>SUM(U11:U11)</f>
        <v/>
      </c>
      <c r="V12" s="294">
        <f>SUM(V11:V11)</f>
        <v/>
      </c>
      <c r="W12" s="294">
        <f>SUM(W11:W11)</f>
        <v/>
      </c>
      <c r="X12" s="294">
        <f>SUM(X11:X11)</f>
        <v/>
      </c>
      <c r="Y12" s="294">
        <f>SUM(Y11:Y11)</f>
        <v/>
      </c>
      <c r="Z12" s="295">
        <f>SUM(Z11:Z11)</f>
        <v/>
      </c>
      <c r="AA12" s="295">
        <f>SUM(AA11:AA11)</f>
        <v/>
      </c>
      <c r="AB12" s="295">
        <f>SUM(AB11:AB11)</f>
        <v/>
      </c>
      <c r="AC12" s="295">
        <f>SUM(AC11:AC11)</f>
        <v/>
      </c>
      <c r="AD12" s="295">
        <f>SUM(AD11:AD11)</f>
        <v/>
      </c>
      <c r="AE12" s="295">
        <f>SUM(AE11:AE11)</f>
        <v/>
      </c>
      <c r="AF12" s="295">
        <f>SUM(AF11:AF11)</f>
        <v/>
      </c>
      <c r="AG12" s="295">
        <f>SUM(AG11:AG11)</f>
        <v/>
      </c>
      <c r="AH12" s="295">
        <f>SUM(AH11:AH11)</f>
        <v/>
      </c>
      <c r="AI12" s="295">
        <f>SUM(AI11:AI11)</f>
        <v/>
      </c>
      <c r="AJ12" s="295">
        <f>SUM(AJ11:AJ11)</f>
        <v/>
      </c>
      <c r="AK12" s="295">
        <f>SUM(AK11:AK11)</f>
        <v/>
      </c>
      <c r="AL12" s="295">
        <f>SUM(AL11:AL11)</f>
        <v/>
      </c>
      <c r="AM12" s="295">
        <f>SUM(AM11:AM11)</f>
        <v/>
      </c>
      <c r="AN12" s="295">
        <f>SUM(AN11:AN11)</f>
        <v/>
      </c>
      <c r="AO12" s="295">
        <f>SUM(AO11:AO11)</f>
        <v/>
      </c>
      <c r="AP12" s="295">
        <f>SUM(AP11:AP11)</f>
        <v/>
      </c>
      <c r="AQ12" s="295">
        <f>SUM(AQ11:AQ11)</f>
        <v/>
      </c>
      <c r="AR12" s="295">
        <f>SUM(AR11:AR11)</f>
        <v/>
      </c>
      <c r="AS12" s="295">
        <f>SUM(AS11:AS11)</f>
        <v/>
      </c>
      <c r="AT12" s="295">
        <f>SUM(AT11:AT11)</f>
        <v/>
      </c>
      <c r="AU12" s="295">
        <f>SUM(AU11:AU11)</f>
        <v/>
      </c>
      <c r="AV12" s="295">
        <f>SUM(AV11:AV11)</f>
        <v/>
      </c>
      <c r="AW12" s="295">
        <f>SUM(AW11:AW11)</f>
        <v/>
      </c>
      <c r="AX12" s="295">
        <f>SUM(AX11:AX11)</f>
        <v/>
      </c>
      <c r="AY12" s="295">
        <f>SUM(AY11:AY11)</f>
        <v/>
      </c>
      <c r="AZ12" s="295">
        <f>SUM(AZ11:AZ11)</f>
        <v/>
      </c>
      <c r="BA12" s="295">
        <f>SUM(BA11:BA11)</f>
        <v/>
      </c>
      <c r="BB12" s="295">
        <f>SUM(BB11:BB11)</f>
        <v/>
      </c>
      <c r="BC12" s="295">
        <f>SUM(BC11:BC11)</f>
        <v/>
      </c>
      <c r="BD12" s="295">
        <f>SUM(BD11:BD11)</f>
        <v/>
      </c>
      <c r="BE12" s="295">
        <f>SUM(BE11:BE11)</f>
        <v/>
      </c>
      <c r="BF12" s="295">
        <f>SUM(BF11:BF11)</f>
        <v/>
      </c>
      <c r="BG12" s="295">
        <f>SUM(BG11:BG11)</f>
        <v/>
      </c>
      <c r="BH12" s="295">
        <f>SUM(BH11:BH11)</f>
        <v/>
      </c>
      <c r="BI12" s="295">
        <f>SUM(BI11:BI11)</f>
        <v/>
      </c>
      <c r="BJ12" s="295">
        <f>SUM(BJ11:BJ11)</f>
        <v/>
      </c>
      <c r="BK12" s="295">
        <f>SUM(BK11:BK11)</f>
        <v/>
      </c>
      <c r="BL12" s="295">
        <f>SUM(BL11:BL11)</f>
        <v/>
      </c>
      <c r="BM12" s="295">
        <f>SUM(BM11:BM11)</f>
        <v/>
      </c>
      <c r="BN12" s="295">
        <f>SUM(BN11:BN11)</f>
        <v/>
      </c>
      <c r="BO12" s="295">
        <f>SUM(BO11:BO11)</f>
        <v/>
      </c>
      <c r="BP12" s="295">
        <f>SUM(BP11:BP11)</f>
        <v/>
      </c>
      <c r="BQ12" s="295">
        <f>SUM(BQ11:BQ11)</f>
        <v/>
      </c>
      <c r="BR12" s="295">
        <f>SUM(BR11:BR11)</f>
        <v/>
      </c>
      <c r="BS12" s="295">
        <f>SUM(BS11:BS11)</f>
        <v/>
      </c>
      <c r="BT12" s="295">
        <f>SUM(BT11:BT11)</f>
        <v/>
      </c>
      <c r="BU12" s="295">
        <f>SUM(BU11:BU11)</f>
        <v/>
      </c>
      <c r="BV12" s="295">
        <f>SUM(BV11:BV11)</f>
        <v/>
      </c>
      <c r="BW12" s="295">
        <f>SUM(BW11:BW11)</f>
        <v/>
      </c>
      <c r="BX12" s="295">
        <f>SUM(BX11:BX11)</f>
        <v/>
      </c>
      <c r="BY12" s="295">
        <f>SUM(BY11:BY11)</f>
        <v/>
      </c>
      <c r="BZ12" s="295">
        <f>SUM(BZ11:BZ11)</f>
        <v/>
      </c>
      <c r="CA12" s="295">
        <f>SUM(CA11:CA11)</f>
        <v/>
      </c>
      <c r="CB12" s="295">
        <f>SUM(CB11:CB11)</f>
        <v/>
      </c>
      <c r="CC12" s="295">
        <f>SUM(CC11:CC11)</f>
        <v/>
      </c>
      <c r="CD12" s="295">
        <f>SUM(CD11:CD11)</f>
        <v/>
      </c>
      <c r="CE12" s="295">
        <f>SUM(CE11:CE11)</f>
        <v/>
      </c>
      <c r="CF12" s="295">
        <f>SUM(CF11:CF11)</f>
        <v/>
      </c>
      <c r="CG12" s="295">
        <f>SUM(CG11:CG11)</f>
        <v/>
      </c>
      <c r="CH12" s="295">
        <f>SUM(CH11:CH11)</f>
        <v/>
      </c>
      <c r="CI12" s="295">
        <f>SUM(CI11:CI11)</f>
        <v/>
      </c>
      <c r="CJ12" s="295">
        <f>SUM(CJ11:CJ11)</f>
        <v/>
      </c>
      <c r="CK12" s="295">
        <f>SUM(CK11:CK11)</f>
        <v/>
      </c>
      <c r="CL12" s="295">
        <f>SUM(CL11:CL11)</f>
        <v/>
      </c>
      <c r="CM12" s="295">
        <f>SUM(CM11:CM11)</f>
        <v/>
      </c>
      <c r="CN12" s="295">
        <f>SUM(CN11:CN11)</f>
        <v/>
      </c>
      <c r="CO12" s="295">
        <f>SUM(CO11:CO11)</f>
        <v/>
      </c>
      <c r="CP12" s="295">
        <f>SUM(CP11:CP11)</f>
        <v/>
      </c>
      <c r="CQ12" s="295">
        <f>SUM(CQ11:CQ11)</f>
        <v/>
      </c>
      <c r="CR12" s="295">
        <f>SUM(CR11:CR11)</f>
        <v/>
      </c>
      <c r="CS12" s="295">
        <f>SUM(CS11:CS11)</f>
        <v/>
      </c>
      <c r="CT12" s="295">
        <f>SUM(CT11:CT11)</f>
        <v/>
      </c>
      <c r="CU12" s="295">
        <f>SUM(CU11:CU11)</f>
        <v/>
      </c>
      <c r="CV12" s="295">
        <f>SUM(CV11:CV11)</f>
        <v/>
      </c>
      <c r="CW12" s="295">
        <f>SUM(CW11:CW11)</f>
        <v/>
      </c>
      <c r="CX12" s="295">
        <f>SUM(CX11:CX11)</f>
        <v/>
      </c>
      <c r="CY12" s="295">
        <f>SUM(CY11:CY11)</f>
        <v/>
      </c>
      <c r="CZ12" s="295">
        <f>SUM(CZ11:CZ11)</f>
        <v/>
      </c>
      <c r="DA12" s="295">
        <f>SUM(DA11:DA11)</f>
        <v/>
      </c>
      <c r="DB12" s="295">
        <f>SUM(DB11:DB11)</f>
        <v/>
      </c>
      <c r="DC12" s="295">
        <f>SUM(DC11:DC11)</f>
        <v/>
      </c>
      <c r="DD12" s="295">
        <f>SUM(DD11:DD11)</f>
        <v/>
      </c>
      <c r="DE12" s="295">
        <f>SUM(DE11:DE11)</f>
        <v/>
      </c>
      <c r="DF12" s="295">
        <f>SUM(DF11:DF11)</f>
        <v/>
      </c>
      <c r="DG12" s="295">
        <f>SUM(DG11:DG11)</f>
        <v/>
      </c>
      <c r="DH12" s="295">
        <f>SUM(DH11:DH11)</f>
        <v/>
      </c>
      <c r="DI12" s="295">
        <f>SUM(DI11:DI11)</f>
        <v/>
      </c>
      <c r="DJ12" s="295">
        <f>SUM(DJ11:DJ11)</f>
        <v/>
      </c>
      <c r="DK12" s="295">
        <f>SUM(DK11:DK11)</f>
        <v/>
      </c>
      <c r="DL12" s="295">
        <f>SUM(DL11:DL11)</f>
        <v/>
      </c>
      <c r="DM12" s="295">
        <f>SUM(DM11:DM11)</f>
        <v/>
      </c>
      <c r="DN12" s="295">
        <f>SUM(DN11:DN11)</f>
        <v/>
      </c>
      <c r="DO12" s="295">
        <f>SUM(DO11:DO11)</f>
        <v/>
      </c>
      <c r="DP12" s="295">
        <f>SUM(DP11:DP11)</f>
        <v/>
      </c>
      <c r="DQ12" s="295">
        <f>SUM(DQ11:DQ11)</f>
        <v/>
      </c>
      <c r="DR12" s="295">
        <f>SUM(DR11:DR11)</f>
        <v/>
      </c>
      <c r="DS12" s="295">
        <f>SUM(DS11:DS11)</f>
        <v/>
      </c>
      <c r="DT12" s="295">
        <f>SUM(DT11:DT11)</f>
        <v/>
      </c>
    </row>
    <row r="13">
      <c r="B13" s="1" t="inlineStr">
        <is>
          <t>(-) General Vacancy</t>
        </is>
      </c>
      <c r="C13" s="31" t="n"/>
      <c r="D13" s="296">
        <f>-'Inputs &amp; Summary'!D88</f>
        <v/>
      </c>
      <c r="E13" s="206">
        <f>E12*$D$13</f>
        <v/>
      </c>
      <c r="F13" s="206">
        <f>F12*$D$13</f>
        <v/>
      </c>
      <c r="G13" s="206">
        <f>G12*$D$13</f>
        <v/>
      </c>
      <c r="H13" s="206">
        <f>H12*$D$13</f>
        <v/>
      </c>
      <c r="I13" s="206">
        <f>I12*$D$13</f>
        <v/>
      </c>
      <c r="J13" s="206">
        <f>J12*$D$13</f>
        <v/>
      </c>
      <c r="K13" s="206">
        <f>K12*$D$13</f>
        <v/>
      </c>
      <c r="L13" s="206">
        <f>L12*$D$13</f>
        <v/>
      </c>
      <c r="M13" s="206">
        <f>M12*$D$13</f>
        <v/>
      </c>
      <c r="N13" s="206">
        <f>N12*$D$13</f>
        <v/>
      </c>
      <c r="O13" s="206">
        <f>O12*$D$13</f>
        <v/>
      </c>
      <c r="P13" s="206">
        <f>P12*$D$13</f>
        <v/>
      </c>
      <c r="Q13" s="206">
        <f>Q12*$D$13</f>
        <v/>
      </c>
      <c r="R13" s="206">
        <f>R12*$D$13</f>
        <v/>
      </c>
      <c r="S13" s="206">
        <f>S12*$D$13</f>
        <v/>
      </c>
      <c r="T13" s="206">
        <f>T12*$D$13</f>
        <v/>
      </c>
      <c r="U13" s="206">
        <f>U12*$D$13</f>
        <v/>
      </c>
      <c r="V13" s="206">
        <f>V12*$D$13</f>
        <v/>
      </c>
      <c r="W13" s="206">
        <f>W12*$D$13</f>
        <v/>
      </c>
      <c r="X13" s="206">
        <f>X12*$D$13</f>
        <v/>
      </c>
      <c r="Y13" s="206">
        <f>Y12*$D$13</f>
        <v/>
      </c>
      <c r="Z13" s="206">
        <f>Z12*$D$13</f>
        <v/>
      </c>
      <c r="AA13" s="206">
        <f>AA12*$D$13</f>
        <v/>
      </c>
      <c r="AB13" s="206">
        <f>AB12*$D$13</f>
        <v/>
      </c>
      <c r="AC13" s="206">
        <f>AC12*$D$13</f>
        <v/>
      </c>
      <c r="AD13" s="206">
        <f>AD12*$D$13</f>
        <v/>
      </c>
      <c r="AE13" s="206">
        <f>AE12*$D$13</f>
        <v/>
      </c>
      <c r="AF13" s="206">
        <f>AF12*$D$13</f>
        <v/>
      </c>
      <c r="AG13" s="206">
        <f>AG12*$D$13</f>
        <v/>
      </c>
      <c r="AH13" s="206">
        <f>AH12*$D$13</f>
        <v/>
      </c>
      <c r="AI13" s="206">
        <f>AI12*$D$13</f>
        <v/>
      </c>
      <c r="AJ13" s="206">
        <f>AJ12*$D$13</f>
        <v/>
      </c>
      <c r="AK13" s="206">
        <f>AK12*$D$13</f>
        <v/>
      </c>
      <c r="AL13" s="206">
        <f>AL12*$D$13</f>
        <v/>
      </c>
      <c r="AM13" s="206">
        <f>AM12*$D$13</f>
        <v/>
      </c>
      <c r="AN13" s="206">
        <f>AN12*$D$13</f>
        <v/>
      </c>
      <c r="AO13" s="206">
        <f>AO12*$D$13</f>
        <v/>
      </c>
      <c r="AP13" s="206">
        <f>AP12*$D$13</f>
        <v/>
      </c>
      <c r="AQ13" s="206">
        <f>AQ12*$D$13</f>
        <v/>
      </c>
      <c r="AR13" s="206">
        <f>AR12*$D$13</f>
        <v/>
      </c>
      <c r="AS13" s="206">
        <f>AS12*$D$13</f>
        <v/>
      </c>
      <c r="AT13" s="206">
        <f>AT12*$D$13</f>
        <v/>
      </c>
      <c r="AU13" s="206">
        <f>AU12*$D$13</f>
        <v/>
      </c>
      <c r="AV13" s="206">
        <f>AV12*$D$13</f>
        <v/>
      </c>
      <c r="AW13" s="206">
        <f>AW12*$D$13</f>
        <v/>
      </c>
      <c r="AX13" s="206">
        <f>AX12*$D$13</f>
        <v/>
      </c>
      <c r="AY13" s="206">
        <f>AY12*$D$13</f>
        <v/>
      </c>
      <c r="AZ13" s="206">
        <f>AZ12*$D$13</f>
        <v/>
      </c>
      <c r="BA13" s="206">
        <f>BA12*$D$13</f>
        <v/>
      </c>
      <c r="BB13" s="206">
        <f>BB12*$D$13</f>
        <v/>
      </c>
      <c r="BC13" s="206">
        <f>BC12*$D$13</f>
        <v/>
      </c>
      <c r="BD13" s="206">
        <f>BD12*$D$13</f>
        <v/>
      </c>
      <c r="BE13" s="206">
        <f>BE12*$D$13</f>
        <v/>
      </c>
      <c r="BF13" s="206">
        <f>BF12*$D$13</f>
        <v/>
      </c>
      <c r="BG13" s="206">
        <f>BG12*$D$13</f>
        <v/>
      </c>
      <c r="BH13" s="206">
        <f>BH12*$D$13</f>
        <v/>
      </c>
      <c r="BI13" s="206">
        <f>BI12*$D$13</f>
        <v/>
      </c>
      <c r="BJ13" s="206">
        <f>BJ12*$D$13</f>
        <v/>
      </c>
      <c r="BK13" s="206">
        <f>BK12*$D$13</f>
        <v/>
      </c>
      <c r="BL13" s="206">
        <f>BL12*$D$13</f>
        <v/>
      </c>
      <c r="BM13" s="206">
        <f>BM12*$D$13</f>
        <v/>
      </c>
      <c r="BN13" s="206">
        <f>BN12*$D$13</f>
        <v/>
      </c>
      <c r="BO13" s="206">
        <f>BO12*$D$13</f>
        <v/>
      </c>
      <c r="BP13" s="206">
        <f>BP12*$D$13</f>
        <v/>
      </c>
      <c r="BQ13" s="206">
        <f>BQ12*$D$13</f>
        <v/>
      </c>
      <c r="BR13" s="206">
        <f>BR12*$D$13</f>
        <v/>
      </c>
      <c r="BS13" s="206">
        <f>BS12*$D$13</f>
        <v/>
      </c>
      <c r="BT13" s="206">
        <f>BT12*$D$13</f>
        <v/>
      </c>
      <c r="BU13" s="206">
        <f>BU12*$D$13</f>
        <v/>
      </c>
      <c r="BV13" s="206">
        <f>BV12*$D$13</f>
        <v/>
      </c>
      <c r="BW13" s="206">
        <f>BW12*$D$13</f>
        <v/>
      </c>
      <c r="BX13" s="206">
        <f>BX12*$D$13</f>
        <v/>
      </c>
      <c r="BY13" s="206">
        <f>BY12*$D$13</f>
        <v/>
      </c>
      <c r="BZ13" s="206">
        <f>BZ12*$D$13</f>
        <v/>
      </c>
      <c r="CA13" s="206">
        <f>CA12*$D$13</f>
        <v/>
      </c>
      <c r="CB13" s="206">
        <f>CB12*$D$13</f>
        <v/>
      </c>
      <c r="CC13" s="206">
        <f>CC12*$D$13</f>
        <v/>
      </c>
      <c r="CD13" s="206">
        <f>CD12*$D$13</f>
        <v/>
      </c>
      <c r="CE13" s="206">
        <f>CE12*$D$13</f>
        <v/>
      </c>
      <c r="CF13" s="206">
        <f>CF12*$D$13</f>
        <v/>
      </c>
      <c r="CG13" s="206">
        <f>CG12*$D$13</f>
        <v/>
      </c>
      <c r="CH13" s="206">
        <f>CH12*$D$13</f>
        <v/>
      </c>
      <c r="CI13" s="206">
        <f>CI12*$D$13</f>
        <v/>
      </c>
      <c r="CJ13" s="206">
        <f>CJ12*$D$13</f>
        <v/>
      </c>
      <c r="CK13" s="206">
        <f>CK12*$D$13</f>
        <v/>
      </c>
      <c r="CL13" s="206">
        <f>CL12*$D$13</f>
        <v/>
      </c>
      <c r="CM13" s="206">
        <f>CM12*$D$13</f>
        <v/>
      </c>
      <c r="CN13" s="206">
        <f>CN12*$D$13</f>
        <v/>
      </c>
      <c r="CO13" s="206">
        <f>CO12*$D$13</f>
        <v/>
      </c>
      <c r="CP13" s="206">
        <f>CP12*$D$13</f>
        <v/>
      </c>
      <c r="CQ13" s="206">
        <f>CQ12*$D$13</f>
        <v/>
      </c>
      <c r="CR13" s="206">
        <f>CR12*$D$13</f>
        <v/>
      </c>
      <c r="CS13" s="206">
        <f>CS12*$D$13</f>
        <v/>
      </c>
      <c r="CT13" s="206">
        <f>CT12*$D$13</f>
        <v/>
      </c>
      <c r="CU13" s="206">
        <f>CU12*$D$13</f>
        <v/>
      </c>
      <c r="CV13" s="206">
        <f>CV12*$D$13</f>
        <v/>
      </c>
      <c r="CW13" s="206">
        <f>CW12*$D$13</f>
        <v/>
      </c>
      <c r="CX13" s="206">
        <f>CX12*$D$13</f>
        <v/>
      </c>
      <c r="CY13" s="206">
        <f>CY12*$D$13</f>
        <v/>
      </c>
      <c r="CZ13" s="206">
        <f>CZ12*$D$13</f>
        <v/>
      </c>
      <c r="DA13" s="206">
        <f>DA12*$D$13</f>
        <v/>
      </c>
      <c r="DB13" s="206">
        <f>DB12*$D$13</f>
        <v/>
      </c>
      <c r="DC13" s="206">
        <f>DC12*$D$13</f>
        <v/>
      </c>
      <c r="DD13" s="206">
        <f>DD12*$D$13</f>
        <v/>
      </c>
      <c r="DE13" s="206">
        <f>DE12*$D$13</f>
        <v/>
      </c>
      <c r="DF13" s="206">
        <f>DF12*$D$13</f>
        <v/>
      </c>
      <c r="DG13" s="206">
        <f>DG12*$D$13</f>
        <v/>
      </c>
      <c r="DH13" s="206">
        <f>DH12*$D$13</f>
        <v/>
      </c>
      <c r="DI13" s="206">
        <f>DI12*$D$13</f>
        <v/>
      </c>
      <c r="DJ13" s="206">
        <f>DJ12*$D$13</f>
        <v/>
      </c>
      <c r="DK13" s="206">
        <f>DK12*$D$13</f>
        <v/>
      </c>
      <c r="DL13" s="206">
        <f>DL12*$D$13</f>
        <v/>
      </c>
      <c r="DM13" s="206">
        <f>DM12*$D$13</f>
        <v/>
      </c>
      <c r="DN13" s="206">
        <f>DN12*$D$13</f>
        <v/>
      </c>
      <c r="DO13" s="206">
        <f>DO12*$D$13</f>
        <v/>
      </c>
      <c r="DP13" s="206">
        <f>DP12*$D$13</f>
        <v/>
      </c>
      <c r="DQ13" s="206">
        <f>DQ12*$D$13</f>
        <v/>
      </c>
      <c r="DR13" s="206">
        <f>DR12*$D$13</f>
        <v/>
      </c>
      <c r="DS13" s="206">
        <f>DS12*$D$13</f>
        <v/>
      </c>
      <c r="DT13" s="206">
        <f>DT12*$D$13</f>
        <v/>
      </c>
    </row>
    <row r="14">
      <c r="B14" s="1" t="inlineStr">
        <is>
          <t>(-) Concessions</t>
        </is>
      </c>
      <c r="C14" s="32" t="n"/>
      <c r="D14" s="297">
        <f>-'Inputs &amp; Summary'!L11</f>
        <v/>
      </c>
      <c r="E14" s="298">
        <f>E12*-$D$14</f>
        <v/>
      </c>
      <c r="F14" s="298">
        <f>F12*-$D$14</f>
        <v/>
      </c>
      <c r="G14" s="298">
        <f>G12*-$D$14</f>
        <v/>
      </c>
      <c r="H14" s="298">
        <f>H12*-$D$14</f>
        <v/>
      </c>
      <c r="I14" s="298">
        <f>I12*-$D$14</f>
        <v/>
      </c>
      <c r="J14" s="298">
        <f>J12*-$D$14</f>
        <v/>
      </c>
      <c r="K14" s="298">
        <f>K12*-$D$14</f>
        <v/>
      </c>
      <c r="L14" s="298">
        <f>L12*-$D$14</f>
        <v/>
      </c>
      <c r="M14" s="298">
        <f>M12*-$D$14</f>
        <v/>
      </c>
      <c r="N14" s="298">
        <f>N12*-$D$14</f>
        <v/>
      </c>
      <c r="O14" s="298">
        <f>O12*-$D$14</f>
        <v/>
      </c>
      <c r="P14" s="298">
        <f>P12*-$D$14</f>
        <v/>
      </c>
      <c r="Q14" s="298">
        <f>Q12*-$D$14</f>
        <v/>
      </c>
      <c r="R14" s="298">
        <f>R12*-$D$14</f>
        <v/>
      </c>
      <c r="S14" s="298">
        <f>S12*-$D$14</f>
        <v/>
      </c>
      <c r="T14" s="298">
        <f>T12*-$D$14</f>
        <v/>
      </c>
      <c r="U14" s="298">
        <f>U12*-$D$14</f>
        <v/>
      </c>
      <c r="V14" s="298">
        <f>V12*-$D$14</f>
        <v/>
      </c>
      <c r="W14" s="298">
        <f>W12*-$D$14</f>
        <v/>
      </c>
      <c r="X14" s="298">
        <f>X12*-$D$14</f>
        <v/>
      </c>
      <c r="Y14" s="298">
        <f>Y12*-$D$14</f>
        <v/>
      </c>
      <c r="Z14" s="298">
        <f>Z12*-$D$14</f>
        <v/>
      </c>
      <c r="AA14" s="298">
        <f>AA12*-$D$14</f>
        <v/>
      </c>
      <c r="AB14" s="298">
        <f>AB12*-$D$14</f>
        <v/>
      </c>
      <c r="AC14" s="298">
        <f>AC12*-$D$14</f>
        <v/>
      </c>
      <c r="AD14" s="298">
        <f>AD12*-$D$14</f>
        <v/>
      </c>
      <c r="AE14" s="298">
        <f>AE12*-$D$14</f>
        <v/>
      </c>
      <c r="AF14" s="298">
        <f>AF12*-$D$14</f>
        <v/>
      </c>
      <c r="AG14" s="298">
        <f>AG12*-$D$14</f>
        <v/>
      </c>
      <c r="AH14" s="298">
        <f>AH12*-$D$14</f>
        <v/>
      </c>
      <c r="AI14" s="298">
        <f>AI12*-$D$14</f>
        <v/>
      </c>
      <c r="AJ14" s="298">
        <f>AJ12*-$D$14</f>
        <v/>
      </c>
      <c r="AK14" s="298">
        <f>AK12*-$D$14</f>
        <v/>
      </c>
      <c r="AL14" s="298">
        <f>AL12*-$D$14</f>
        <v/>
      </c>
      <c r="AM14" s="298">
        <f>AM12*-$D$14</f>
        <v/>
      </c>
      <c r="AN14" s="298">
        <f>AN12*-$D$14</f>
        <v/>
      </c>
      <c r="AO14" s="298">
        <f>AO12*-$D$14</f>
        <v/>
      </c>
      <c r="AP14" s="298">
        <f>AP12*-$D$14</f>
        <v/>
      </c>
      <c r="AQ14" s="298">
        <f>AQ12*-$D$14</f>
        <v/>
      </c>
      <c r="AR14" s="298">
        <f>AR12*-$D$14</f>
        <v/>
      </c>
      <c r="AS14" s="298">
        <f>AS12*-$D$14</f>
        <v/>
      </c>
      <c r="AT14" s="298">
        <f>AT12*-$D$14</f>
        <v/>
      </c>
      <c r="AU14" s="298">
        <f>AU12*-$D$14</f>
        <v/>
      </c>
      <c r="AV14" s="298">
        <f>AV12*-$D$14</f>
        <v/>
      </c>
      <c r="AW14" s="298">
        <f>AW12*-$D$14</f>
        <v/>
      </c>
      <c r="AX14" s="298">
        <f>AX12*-$D$14</f>
        <v/>
      </c>
      <c r="AY14" s="298">
        <f>AY12*-$D$14</f>
        <v/>
      </c>
      <c r="AZ14" s="298">
        <f>AZ12*-$D$14</f>
        <v/>
      </c>
      <c r="BA14" s="298">
        <f>BA12*-$D$14</f>
        <v/>
      </c>
      <c r="BB14" s="298">
        <f>BB12*-$D$14</f>
        <v/>
      </c>
      <c r="BC14" s="298">
        <f>BC12*-$D$14</f>
        <v/>
      </c>
      <c r="BD14" s="298">
        <f>BD12*-$D$14</f>
        <v/>
      </c>
      <c r="BE14" s="298">
        <f>BE12*-$D$14</f>
        <v/>
      </c>
      <c r="BF14" s="298">
        <f>BF12*-$D$14</f>
        <v/>
      </c>
      <c r="BG14" s="298">
        <f>BG12*-$D$14</f>
        <v/>
      </c>
      <c r="BH14" s="298">
        <f>BH12*-$D$14</f>
        <v/>
      </c>
      <c r="BI14" s="298">
        <f>BI12*-$D$14</f>
        <v/>
      </c>
      <c r="BJ14" s="298">
        <f>BJ12*-$D$14</f>
        <v/>
      </c>
      <c r="BK14" s="298">
        <f>BK12*-$D$14</f>
        <v/>
      </c>
      <c r="BL14" s="298">
        <f>BL12*-$D$14</f>
        <v/>
      </c>
      <c r="BM14" s="298">
        <f>BM12*-$D$14</f>
        <v/>
      </c>
      <c r="BN14" s="298">
        <f>BN12*-$D$14</f>
        <v/>
      </c>
      <c r="BO14" s="298">
        <f>BO12*-$D$14</f>
        <v/>
      </c>
      <c r="BP14" s="298">
        <f>BP12*-$D$14</f>
        <v/>
      </c>
      <c r="BQ14" s="298">
        <f>BQ12*-$D$14</f>
        <v/>
      </c>
      <c r="BR14" s="298">
        <f>BR12*-$D$14</f>
        <v/>
      </c>
      <c r="BS14" s="298">
        <f>BS12*-$D$14</f>
        <v/>
      </c>
      <c r="BT14" s="298">
        <f>BT12*-$D$14</f>
        <v/>
      </c>
      <c r="BU14" s="298">
        <f>BU12*-$D$14</f>
        <v/>
      </c>
      <c r="BV14" s="298">
        <f>BV12*-$D$14</f>
        <v/>
      </c>
      <c r="BW14" s="298">
        <f>BW12*-$D$14</f>
        <v/>
      </c>
      <c r="BX14" s="298">
        <f>BX12*-$D$14</f>
        <v/>
      </c>
      <c r="BY14" s="298">
        <f>BY12*-$D$14</f>
        <v/>
      </c>
      <c r="BZ14" s="298">
        <f>BZ12*-$D$14</f>
        <v/>
      </c>
      <c r="CA14" s="298">
        <f>CA12*-$D$14</f>
        <v/>
      </c>
      <c r="CB14" s="298">
        <f>CB12*-$D$14</f>
        <v/>
      </c>
      <c r="CC14" s="298">
        <f>CC12*-$D$14</f>
        <v/>
      </c>
      <c r="CD14" s="298">
        <f>CD12*-$D$14</f>
        <v/>
      </c>
      <c r="CE14" s="298">
        <f>CE12*-$D$14</f>
        <v/>
      </c>
      <c r="CF14" s="298">
        <f>CF12*-$D$14</f>
        <v/>
      </c>
      <c r="CG14" s="298">
        <f>CG12*-$D$14</f>
        <v/>
      </c>
      <c r="CH14" s="298">
        <f>CH12*-$D$14</f>
        <v/>
      </c>
      <c r="CI14" s="298">
        <f>CI12*-$D$14</f>
        <v/>
      </c>
      <c r="CJ14" s="298">
        <f>CJ12*-$D$14</f>
        <v/>
      </c>
      <c r="CK14" s="298">
        <f>CK12*-$D$14</f>
        <v/>
      </c>
      <c r="CL14" s="298">
        <f>CL12*-$D$14</f>
        <v/>
      </c>
      <c r="CM14" s="298">
        <f>CM12*-$D$14</f>
        <v/>
      </c>
      <c r="CN14" s="298">
        <f>CN12*-$D$14</f>
        <v/>
      </c>
      <c r="CO14" s="298">
        <f>CO12*-$D$14</f>
        <v/>
      </c>
      <c r="CP14" s="298">
        <f>CP12*-$D$14</f>
        <v/>
      </c>
      <c r="CQ14" s="298">
        <f>CQ12*-$D$14</f>
        <v/>
      </c>
      <c r="CR14" s="298">
        <f>CR12*-$D$14</f>
        <v/>
      </c>
      <c r="CS14" s="298">
        <f>CS12*-$D$14</f>
        <v/>
      </c>
      <c r="CT14" s="298">
        <f>CT12*-$D$14</f>
        <v/>
      </c>
      <c r="CU14" s="298">
        <f>CU12*-$D$14</f>
        <v/>
      </c>
      <c r="CV14" s="298">
        <f>CV12*-$D$14</f>
        <v/>
      </c>
      <c r="CW14" s="298">
        <f>CW12*-$D$14</f>
        <v/>
      </c>
      <c r="CX14" s="298">
        <f>CX12*-$D$14</f>
        <v/>
      </c>
      <c r="CY14" s="298">
        <f>CY12*-$D$14</f>
        <v/>
      </c>
      <c r="CZ14" s="298">
        <f>CZ12*-$D$14</f>
        <v/>
      </c>
      <c r="DA14" s="298">
        <f>DA12*-$D$14</f>
        <v/>
      </c>
      <c r="DB14" s="298">
        <f>DB12*-$D$14</f>
        <v/>
      </c>
      <c r="DC14" s="298">
        <f>DC12*-$D$14</f>
        <v/>
      </c>
      <c r="DD14" s="298">
        <f>DD12*-$D$14</f>
        <v/>
      </c>
      <c r="DE14" s="298">
        <f>DE12*-$D$14</f>
        <v/>
      </c>
      <c r="DF14" s="298">
        <f>DF12*-$D$14</f>
        <v/>
      </c>
      <c r="DG14" s="298">
        <f>DG12*-$D$14</f>
        <v/>
      </c>
      <c r="DH14" s="298">
        <f>DH12*-$D$14</f>
        <v/>
      </c>
      <c r="DI14" s="298">
        <f>DI12*-$D$14</f>
        <v/>
      </c>
      <c r="DJ14" s="298">
        <f>DJ12*-$D$14</f>
        <v/>
      </c>
      <c r="DK14" s="298">
        <f>DK12*-$D$14</f>
        <v/>
      </c>
      <c r="DL14" s="298">
        <f>DL12*-$D$14</f>
        <v/>
      </c>
      <c r="DM14" s="298">
        <f>DM12*-$D$14</f>
        <v/>
      </c>
      <c r="DN14" s="298">
        <f>DN12*-$D$14</f>
        <v/>
      </c>
      <c r="DO14" s="298">
        <f>DO12*-$D$14</f>
        <v/>
      </c>
      <c r="DP14" s="298">
        <f>DP12*-$D$14</f>
        <v/>
      </c>
      <c r="DQ14" s="298">
        <f>DQ12*-$D$14</f>
        <v/>
      </c>
      <c r="DR14" s="298">
        <f>DR12*-$D$14</f>
        <v/>
      </c>
      <c r="DS14" s="298">
        <f>DS12*-$D$14</f>
        <v/>
      </c>
      <c r="DT14" s="298">
        <f>DT12*-$D$14</f>
        <v/>
      </c>
    </row>
    <row r="15" customFormat="1" s="6">
      <c r="B15" s="14" t="inlineStr">
        <is>
          <t>Effective Gross Income</t>
        </is>
      </c>
      <c r="C15" s="38" t="n"/>
      <c r="D15" s="38" t="n"/>
      <c r="E15" s="208">
        <f>SUM(E12:E14)</f>
        <v/>
      </c>
      <c r="F15" s="208">
        <f>SUM(F12:F14)</f>
        <v/>
      </c>
      <c r="G15" s="208">
        <f>SUM(G12:G14)</f>
        <v/>
      </c>
      <c r="H15" s="208">
        <f>SUM(H12:H14)</f>
        <v/>
      </c>
      <c r="I15" s="208">
        <f>SUM(I12:I14)</f>
        <v/>
      </c>
      <c r="J15" s="208">
        <f>SUM(J12:J14)</f>
        <v/>
      </c>
      <c r="K15" s="208">
        <f>SUM(K12:K14)</f>
        <v/>
      </c>
      <c r="L15" s="208">
        <f>SUM(L12:L14)</f>
        <v/>
      </c>
      <c r="M15" s="208">
        <f>SUM(M12:M14)</f>
        <v/>
      </c>
      <c r="N15" s="208">
        <f>SUM(N12:N14)</f>
        <v/>
      </c>
      <c r="O15" s="208">
        <f>SUM(O12:O14)</f>
        <v/>
      </c>
      <c r="P15" s="208">
        <f>SUM(P12:P14)</f>
        <v/>
      </c>
      <c r="Q15" s="208">
        <f>SUM(Q12:Q14)</f>
        <v/>
      </c>
      <c r="R15" s="208">
        <f>SUM(R12:R14)</f>
        <v/>
      </c>
      <c r="S15" s="208">
        <f>SUM(S12:S14)</f>
        <v/>
      </c>
      <c r="T15" s="208">
        <f>SUM(T12:T14)</f>
        <v/>
      </c>
      <c r="U15" s="208">
        <f>SUM(U12:U14)</f>
        <v/>
      </c>
      <c r="V15" s="208">
        <f>SUM(V12:V14)</f>
        <v/>
      </c>
      <c r="W15" s="208">
        <f>SUM(W12:W14)</f>
        <v/>
      </c>
      <c r="X15" s="208">
        <f>SUM(X12:X14)</f>
        <v/>
      </c>
      <c r="Y15" s="208">
        <f>SUM(Y12:Y14)</f>
        <v/>
      </c>
      <c r="Z15" s="208">
        <f>SUM(Z12:Z14)</f>
        <v/>
      </c>
      <c r="AA15" s="208">
        <f>SUM(AA12:AA14)</f>
        <v/>
      </c>
      <c r="AB15" s="208">
        <f>SUM(AB12:AB14)</f>
        <v/>
      </c>
      <c r="AC15" s="208">
        <f>SUM(AC12:AC14)</f>
        <v/>
      </c>
      <c r="AD15" s="208">
        <f>SUM(AD12:AD14)</f>
        <v/>
      </c>
      <c r="AE15" s="208">
        <f>SUM(AE12:AE14)</f>
        <v/>
      </c>
      <c r="AF15" s="208">
        <f>SUM(AF12:AF14)</f>
        <v/>
      </c>
      <c r="AG15" s="208">
        <f>SUM(AG12:AG14)</f>
        <v/>
      </c>
      <c r="AH15" s="208">
        <f>SUM(AH12:AH14)</f>
        <v/>
      </c>
      <c r="AI15" s="208">
        <f>SUM(AI12:AI14)</f>
        <v/>
      </c>
      <c r="AJ15" s="208">
        <f>SUM(AJ12:AJ14)</f>
        <v/>
      </c>
      <c r="AK15" s="208">
        <f>SUM(AK12:AK14)</f>
        <v/>
      </c>
      <c r="AL15" s="208">
        <f>SUM(AL12:AL14)</f>
        <v/>
      </c>
      <c r="AM15" s="208">
        <f>SUM(AM12:AM14)</f>
        <v/>
      </c>
      <c r="AN15" s="208">
        <f>SUM(AN12:AN14)</f>
        <v/>
      </c>
      <c r="AO15" s="208">
        <f>SUM(AO12:AO14)</f>
        <v/>
      </c>
      <c r="AP15" s="208">
        <f>SUM(AP12:AP14)</f>
        <v/>
      </c>
      <c r="AQ15" s="208">
        <f>SUM(AQ12:AQ14)</f>
        <v/>
      </c>
      <c r="AR15" s="208">
        <f>SUM(AR12:AR14)</f>
        <v/>
      </c>
      <c r="AS15" s="208">
        <f>SUM(AS12:AS14)</f>
        <v/>
      </c>
      <c r="AT15" s="208">
        <f>SUM(AT12:AT14)</f>
        <v/>
      </c>
      <c r="AU15" s="208">
        <f>SUM(AU12:AU14)</f>
        <v/>
      </c>
      <c r="AV15" s="208">
        <f>SUM(AV12:AV14)</f>
        <v/>
      </c>
      <c r="AW15" s="208">
        <f>SUM(AW12:AW14)</f>
        <v/>
      </c>
      <c r="AX15" s="208">
        <f>SUM(AX12:AX14)</f>
        <v/>
      </c>
      <c r="AY15" s="208">
        <f>SUM(AY12:AY14)</f>
        <v/>
      </c>
      <c r="AZ15" s="208">
        <f>SUM(AZ12:AZ14)</f>
        <v/>
      </c>
      <c r="BA15" s="208">
        <f>SUM(BA12:BA14)</f>
        <v/>
      </c>
      <c r="BB15" s="208">
        <f>SUM(BB12:BB14)</f>
        <v/>
      </c>
      <c r="BC15" s="208">
        <f>SUM(BC12:BC14)</f>
        <v/>
      </c>
      <c r="BD15" s="208">
        <f>SUM(BD12:BD14)</f>
        <v/>
      </c>
      <c r="BE15" s="208">
        <f>SUM(BE12:BE14)</f>
        <v/>
      </c>
      <c r="BF15" s="208">
        <f>SUM(BF12:BF14)</f>
        <v/>
      </c>
      <c r="BG15" s="208">
        <f>SUM(BG12:BG14)</f>
        <v/>
      </c>
      <c r="BH15" s="208">
        <f>SUM(BH12:BH14)</f>
        <v/>
      </c>
      <c r="BI15" s="208">
        <f>SUM(BI12:BI14)</f>
        <v/>
      </c>
      <c r="BJ15" s="208">
        <f>SUM(BJ12:BJ14)</f>
        <v/>
      </c>
      <c r="BK15" s="208">
        <f>SUM(BK12:BK14)</f>
        <v/>
      </c>
      <c r="BL15" s="208">
        <f>SUM(BL12:BL14)</f>
        <v/>
      </c>
      <c r="BM15" s="208">
        <f>SUM(BM12:BM14)</f>
        <v/>
      </c>
      <c r="BN15" s="208">
        <f>SUM(BN12:BN14)</f>
        <v/>
      </c>
      <c r="BO15" s="208">
        <f>SUM(BO12:BO14)</f>
        <v/>
      </c>
      <c r="BP15" s="208">
        <f>SUM(BP12:BP14)</f>
        <v/>
      </c>
      <c r="BQ15" s="208">
        <f>SUM(BQ12:BQ14)</f>
        <v/>
      </c>
      <c r="BR15" s="208">
        <f>SUM(BR12:BR14)</f>
        <v/>
      </c>
      <c r="BS15" s="208">
        <f>SUM(BS12:BS14)</f>
        <v/>
      </c>
      <c r="BT15" s="208">
        <f>SUM(BT12:BT14)</f>
        <v/>
      </c>
      <c r="BU15" s="208">
        <f>SUM(BU12:BU14)</f>
        <v/>
      </c>
      <c r="BV15" s="208">
        <f>SUM(BV12:BV14)</f>
        <v/>
      </c>
      <c r="BW15" s="208">
        <f>SUM(BW12:BW14)</f>
        <v/>
      </c>
      <c r="BX15" s="208">
        <f>SUM(BX12:BX14)</f>
        <v/>
      </c>
      <c r="BY15" s="208">
        <f>SUM(BY12:BY14)</f>
        <v/>
      </c>
      <c r="BZ15" s="208">
        <f>SUM(BZ12:BZ14)</f>
        <v/>
      </c>
      <c r="CA15" s="208">
        <f>SUM(CA12:CA14)</f>
        <v/>
      </c>
      <c r="CB15" s="208">
        <f>SUM(CB12:CB14)</f>
        <v/>
      </c>
      <c r="CC15" s="208">
        <f>SUM(CC12:CC14)</f>
        <v/>
      </c>
      <c r="CD15" s="208">
        <f>SUM(CD12:CD14)</f>
        <v/>
      </c>
      <c r="CE15" s="208">
        <f>SUM(CE12:CE14)</f>
        <v/>
      </c>
      <c r="CF15" s="208">
        <f>SUM(CF12:CF14)</f>
        <v/>
      </c>
      <c r="CG15" s="208">
        <f>SUM(CG12:CG14)</f>
        <v/>
      </c>
      <c r="CH15" s="208">
        <f>SUM(CH12:CH14)</f>
        <v/>
      </c>
      <c r="CI15" s="208">
        <f>SUM(CI12:CI14)</f>
        <v/>
      </c>
      <c r="CJ15" s="208">
        <f>SUM(CJ12:CJ14)</f>
        <v/>
      </c>
      <c r="CK15" s="208">
        <f>SUM(CK12:CK14)</f>
        <v/>
      </c>
      <c r="CL15" s="208">
        <f>SUM(CL12:CL14)</f>
        <v/>
      </c>
      <c r="CM15" s="208">
        <f>SUM(CM12:CM14)</f>
        <v/>
      </c>
      <c r="CN15" s="208">
        <f>SUM(CN12:CN14)</f>
        <v/>
      </c>
      <c r="CO15" s="208">
        <f>SUM(CO12:CO14)</f>
        <v/>
      </c>
      <c r="CP15" s="208">
        <f>SUM(CP12:CP14)</f>
        <v/>
      </c>
      <c r="CQ15" s="208">
        <f>SUM(CQ12:CQ14)</f>
        <v/>
      </c>
      <c r="CR15" s="208">
        <f>SUM(CR12:CR14)</f>
        <v/>
      </c>
      <c r="CS15" s="208">
        <f>SUM(CS12:CS14)</f>
        <v/>
      </c>
      <c r="CT15" s="208">
        <f>SUM(CT12:CT14)</f>
        <v/>
      </c>
      <c r="CU15" s="208">
        <f>SUM(CU12:CU14)</f>
        <v/>
      </c>
      <c r="CV15" s="208">
        <f>SUM(CV12:CV14)</f>
        <v/>
      </c>
      <c r="CW15" s="208">
        <f>SUM(CW12:CW14)</f>
        <v/>
      </c>
      <c r="CX15" s="208">
        <f>SUM(CX12:CX14)</f>
        <v/>
      </c>
      <c r="CY15" s="208">
        <f>SUM(CY12:CY14)</f>
        <v/>
      </c>
      <c r="CZ15" s="208">
        <f>SUM(CZ12:CZ14)</f>
        <v/>
      </c>
      <c r="DA15" s="208">
        <f>SUM(DA12:DA14)</f>
        <v/>
      </c>
      <c r="DB15" s="208">
        <f>SUM(DB12:DB14)</f>
        <v/>
      </c>
      <c r="DC15" s="208">
        <f>SUM(DC12:DC14)</f>
        <v/>
      </c>
      <c r="DD15" s="208">
        <f>SUM(DD12:DD14)</f>
        <v/>
      </c>
      <c r="DE15" s="208">
        <f>SUM(DE12:DE14)</f>
        <v/>
      </c>
      <c r="DF15" s="208">
        <f>SUM(DF12:DF14)</f>
        <v/>
      </c>
      <c r="DG15" s="208">
        <f>SUM(DG12:DG14)</f>
        <v/>
      </c>
      <c r="DH15" s="208">
        <f>SUM(DH12:DH14)</f>
        <v/>
      </c>
      <c r="DI15" s="208">
        <f>SUM(DI12:DI14)</f>
        <v/>
      </c>
      <c r="DJ15" s="208">
        <f>SUM(DJ12:DJ14)</f>
        <v/>
      </c>
      <c r="DK15" s="208">
        <f>SUM(DK12:DK14)</f>
        <v/>
      </c>
      <c r="DL15" s="208">
        <f>SUM(DL12:DL14)</f>
        <v/>
      </c>
      <c r="DM15" s="208">
        <f>SUM(DM12:DM14)</f>
        <v/>
      </c>
      <c r="DN15" s="208">
        <f>SUM(DN12:DN14)</f>
        <v/>
      </c>
      <c r="DO15" s="208">
        <f>SUM(DO12:DO14)</f>
        <v/>
      </c>
      <c r="DP15" s="208">
        <f>SUM(DP12:DP14)</f>
        <v/>
      </c>
      <c r="DQ15" s="208">
        <f>SUM(DQ12:DQ14)</f>
        <v/>
      </c>
      <c r="DR15" s="208">
        <f>SUM(DR12:DR14)</f>
        <v/>
      </c>
      <c r="DS15" s="208">
        <f>SUM(DS12:DS14)</f>
        <v/>
      </c>
      <c r="DT15" s="208">
        <f>SUM(DT12:DT14)</f>
        <v/>
      </c>
    </row>
    <row r="16">
      <c r="B16" s="1" t="inlineStr">
        <is>
          <t>(-) Property Taxes</t>
        </is>
      </c>
      <c r="C16" s="31" t="n"/>
      <c r="D16" s="299">
        <f>'Inputs &amp; Summary'!G13</f>
        <v/>
      </c>
      <c r="E16" s="206">
        <f>-(E2*'Inputs &amp; Summary'!$D$68*(E3/1000))/12</f>
        <v/>
      </c>
      <c r="F16" s="206">
        <f>-(F2*'Inputs &amp; Summary'!$D$68*(F3/1000))/12</f>
        <v/>
      </c>
      <c r="G16" s="206">
        <f>-(G2*'Inputs &amp; Summary'!$D$68*(G3/1000))/12</f>
        <v/>
      </c>
      <c r="H16" s="206">
        <f>-(H2*'Inputs &amp; Summary'!$D$68*(H3/1000))/12</f>
        <v/>
      </c>
      <c r="I16" s="206">
        <f>-(I2*'Inputs &amp; Summary'!$D$68*(I3/1000))/12</f>
        <v/>
      </c>
      <c r="J16" s="206">
        <f>-(J2*'Inputs &amp; Summary'!$D$68*(J3/1000))/12</f>
        <v/>
      </c>
      <c r="K16" s="206">
        <f>-(K2*'Inputs &amp; Summary'!$D$68*(K3/1000))/12</f>
        <v/>
      </c>
      <c r="L16" s="206">
        <f>-(L2*'Inputs &amp; Summary'!$D$68*(L3/1000))/12</f>
        <v/>
      </c>
      <c r="M16" s="206">
        <f>-(M2*'Inputs &amp; Summary'!$D$68*(M3/1000))/12</f>
        <v/>
      </c>
      <c r="N16" s="206">
        <f>-(N2*'Inputs &amp; Summary'!$D$68*(N3/1000))/12</f>
        <v/>
      </c>
      <c r="O16" s="206">
        <f>-(O2*'Inputs &amp; Summary'!$D$68*(O3/1000))/12</f>
        <v/>
      </c>
      <c r="P16" s="206">
        <f>-(P2*'Inputs &amp; Summary'!$D$68*(P3/1000))/12</f>
        <v/>
      </c>
      <c r="Q16" s="206">
        <f>-(Q2*'Inputs &amp; Summary'!$D$68*(Q3/1000))/12</f>
        <v/>
      </c>
      <c r="R16" s="206">
        <f>-(R2*'Inputs &amp; Summary'!$D$68*(R3/1000))/12</f>
        <v/>
      </c>
      <c r="S16" s="206">
        <f>-(S2*'Inputs &amp; Summary'!$D$68*(S3/1000))/12</f>
        <v/>
      </c>
      <c r="T16" s="206">
        <f>-(T2*'Inputs &amp; Summary'!$D$68*(T3/1000))/12</f>
        <v/>
      </c>
      <c r="U16" s="206">
        <f>-(U2*'Inputs &amp; Summary'!$D$68*(U3/1000))/12</f>
        <v/>
      </c>
      <c r="V16" s="206">
        <f>-(V2*'Inputs &amp; Summary'!$D$68*(V3/1000))/12</f>
        <v/>
      </c>
      <c r="W16" s="206">
        <f>-(W2*'Inputs &amp; Summary'!$D$68*(W3/1000))/12</f>
        <v/>
      </c>
      <c r="X16" s="206">
        <f>-(X2*'Inputs &amp; Summary'!$D$68*(X3/1000))/12</f>
        <v/>
      </c>
      <c r="Y16" s="206">
        <f>-(Y2*'Inputs &amp; Summary'!$D$68*(Y3/1000))/12</f>
        <v/>
      </c>
      <c r="Z16" s="206">
        <f>-(Z2*'Inputs &amp; Summary'!$D$68*(Z3/1000))/12</f>
        <v/>
      </c>
      <c r="AA16" s="206">
        <f>-(AA2*'Inputs &amp; Summary'!$D$68*(AA3/1000))/12</f>
        <v/>
      </c>
      <c r="AB16" s="206">
        <f>-(AB2*'Inputs &amp; Summary'!$D$68*(AB3/1000))/12</f>
        <v/>
      </c>
      <c r="AC16" s="206">
        <f>-(AC2*'Inputs &amp; Summary'!$D$68*(AC3/1000))/12</f>
        <v/>
      </c>
      <c r="AD16" s="206">
        <f>-(AD2*'Inputs &amp; Summary'!$D$68*(AD3/1000))/12</f>
        <v/>
      </c>
      <c r="AE16" s="206">
        <f>-(AE2*'Inputs &amp; Summary'!$D$68*(AE3/1000))/12</f>
        <v/>
      </c>
      <c r="AF16" s="206">
        <f>-(AF2*'Inputs &amp; Summary'!$D$68*(AF3/1000))/12</f>
        <v/>
      </c>
      <c r="AG16" s="206">
        <f>-(AG2*'Inputs &amp; Summary'!$D$68*(AG3/1000))/12</f>
        <v/>
      </c>
      <c r="AH16" s="206">
        <f>-(AH2*'Inputs &amp; Summary'!$D$68*(AH3/1000))/12</f>
        <v/>
      </c>
      <c r="AI16" s="206">
        <f>-(AI2*'Inputs &amp; Summary'!$D$68*(AI3/1000))/12</f>
        <v/>
      </c>
      <c r="AJ16" s="206">
        <f>-(AJ2*'Inputs &amp; Summary'!$D$68*(AJ3/1000))/12</f>
        <v/>
      </c>
      <c r="AK16" s="206">
        <f>-(AK2*'Inputs &amp; Summary'!$D$68*(AK3/1000))/12</f>
        <v/>
      </c>
      <c r="AL16" s="206">
        <f>-(AL2*'Inputs &amp; Summary'!$D$68*(AL3/1000))/12</f>
        <v/>
      </c>
      <c r="AM16" s="206">
        <f>-(AM2*'Inputs &amp; Summary'!$D$68*(AM3/1000))/12</f>
        <v/>
      </c>
      <c r="AN16" s="206">
        <f>-(AN2*'Inputs &amp; Summary'!$D$68*(AN3/1000))/12</f>
        <v/>
      </c>
      <c r="AO16" s="206">
        <f>-(AO2*'Inputs &amp; Summary'!$D$68*(AO3/1000))/12</f>
        <v/>
      </c>
      <c r="AP16" s="206">
        <f>-(AP2*'Inputs &amp; Summary'!$D$68*(AP3/1000))/12</f>
        <v/>
      </c>
      <c r="AQ16" s="206">
        <f>-(AQ2*'Inputs &amp; Summary'!$D$68*(AQ3/1000))/12</f>
        <v/>
      </c>
      <c r="AR16" s="206">
        <f>-(AR2*'Inputs &amp; Summary'!$D$68*(AR3/1000))/12</f>
        <v/>
      </c>
      <c r="AS16" s="206">
        <f>-(AS2*'Inputs &amp; Summary'!$D$68*(AS3/1000))/12</f>
        <v/>
      </c>
      <c r="AT16" s="206">
        <f>-(AT2*'Inputs &amp; Summary'!$D$68*(AT3/1000))/12</f>
        <v/>
      </c>
      <c r="AU16" s="206">
        <f>-(AU2*'Inputs &amp; Summary'!$D$68*(AU3/1000))/12</f>
        <v/>
      </c>
      <c r="AV16" s="206">
        <f>-(AV2*'Inputs &amp; Summary'!$D$68*(AV3/1000))/12</f>
        <v/>
      </c>
      <c r="AW16" s="206">
        <f>-(AW2*'Inputs &amp; Summary'!$D$68*(AW3/1000))/12</f>
        <v/>
      </c>
      <c r="AX16" s="206">
        <f>-(AX2*'Inputs &amp; Summary'!$D$68*(AX3/1000))/12</f>
        <v/>
      </c>
      <c r="AY16" s="206">
        <f>-(AY2*'Inputs &amp; Summary'!$D$68*(AY3/1000))/12</f>
        <v/>
      </c>
      <c r="AZ16" s="206">
        <f>-(AZ2*'Inputs &amp; Summary'!$D$68*(AZ3/1000))/12</f>
        <v/>
      </c>
      <c r="BA16" s="206">
        <f>-(BA2*'Inputs &amp; Summary'!$D$68*(BA3/1000))/12</f>
        <v/>
      </c>
      <c r="BB16" s="206">
        <f>-(BB2*'Inputs &amp; Summary'!$D$68*(BB3/1000))/12</f>
        <v/>
      </c>
      <c r="BC16" s="206">
        <f>-(BC2*'Inputs &amp; Summary'!$D$68*(BC3/1000))/12</f>
        <v/>
      </c>
      <c r="BD16" s="206">
        <f>-(BD2*'Inputs &amp; Summary'!$D$68*(BD3/1000))/12</f>
        <v/>
      </c>
      <c r="BE16" s="206">
        <f>-(BE2*'Inputs &amp; Summary'!$D$68*(BE3/1000))/12</f>
        <v/>
      </c>
      <c r="BF16" s="206">
        <f>-(BF2*'Inputs &amp; Summary'!$D$68*(BF3/1000))/12</f>
        <v/>
      </c>
      <c r="BG16" s="206">
        <f>-(BG2*'Inputs &amp; Summary'!$D$68*(BG3/1000))/12</f>
        <v/>
      </c>
      <c r="BH16" s="206">
        <f>-(BH2*'Inputs &amp; Summary'!$D$68*(BH3/1000))/12</f>
        <v/>
      </c>
      <c r="BI16" s="206">
        <f>-(BI2*'Inputs &amp; Summary'!$D$68*(BI3/1000))/12</f>
        <v/>
      </c>
      <c r="BJ16" s="206">
        <f>-(BJ2*'Inputs &amp; Summary'!$D$68*(BJ3/1000))/12</f>
        <v/>
      </c>
      <c r="BK16" s="206">
        <f>-(BK2*'Inputs &amp; Summary'!$D$68*(BK3/1000))/12</f>
        <v/>
      </c>
      <c r="BL16" s="206">
        <f>-(BL2*'Inputs &amp; Summary'!$D$68*(BL3/1000))/12</f>
        <v/>
      </c>
      <c r="BM16" s="206">
        <f>-(BM2*'Inputs &amp; Summary'!$D$68*(BM3/1000))/12</f>
        <v/>
      </c>
      <c r="BN16" s="206">
        <f>-(BN2*'Inputs &amp; Summary'!$D$68*(BN3/1000))/12</f>
        <v/>
      </c>
      <c r="BO16" s="206">
        <f>-(BO2*'Inputs &amp; Summary'!$D$68*(BO3/1000))/12</f>
        <v/>
      </c>
      <c r="BP16" s="206">
        <f>-(BP2*'Inputs &amp; Summary'!$D$68*(BP3/1000))/12</f>
        <v/>
      </c>
      <c r="BQ16" s="206">
        <f>-(BQ2*'Inputs &amp; Summary'!$D$68*(BQ3/1000))/12</f>
        <v/>
      </c>
      <c r="BR16" s="206">
        <f>-(BR2*'Inputs &amp; Summary'!$D$68*(BR3/1000))/12</f>
        <v/>
      </c>
      <c r="BS16" s="206">
        <f>-(BS2*'Inputs &amp; Summary'!$D$68*(BS3/1000))/12</f>
        <v/>
      </c>
      <c r="BT16" s="206">
        <f>-(BT2*'Inputs &amp; Summary'!$D$68*(BT3/1000))/12</f>
        <v/>
      </c>
      <c r="BU16" s="206">
        <f>-(BU2*'Inputs &amp; Summary'!$D$68*(BU3/1000))/12</f>
        <v/>
      </c>
      <c r="BV16" s="206">
        <f>-(BV2*'Inputs &amp; Summary'!$D$68*(BV3/1000))/12</f>
        <v/>
      </c>
      <c r="BW16" s="206">
        <f>-(BW2*'Inputs &amp; Summary'!$D$68*(BW3/1000))/12</f>
        <v/>
      </c>
      <c r="BX16" s="206">
        <f>-(BX2*'Inputs &amp; Summary'!$D$68*(BX3/1000))/12</f>
        <v/>
      </c>
      <c r="BY16" s="206">
        <f>-(BY2*'Inputs &amp; Summary'!$D$68*(BY3/1000))/12</f>
        <v/>
      </c>
      <c r="BZ16" s="206">
        <f>-(BZ2*'Inputs &amp; Summary'!$D$68*(BZ3/1000))/12</f>
        <v/>
      </c>
      <c r="CA16" s="206">
        <f>-(CA2*'Inputs &amp; Summary'!$D$68*(CA3/1000))/12</f>
        <v/>
      </c>
      <c r="CB16" s="206">
        <f>-(CB2*'Inputs &amp; Summary'!$D$68*(CB3/1000))/12</f>
        <v/>
      </c>
      <c r="CC16" s="206">
        <f>-(CC2*'Inputs &amp; Summary'!$D$68*(CC3/1000))/12</f>
        <v/>
      </c>
      <c r="CD16" s="206">
        <f>-(CD2*'Inputs &amp; Summary'!$D$68*(CD3/1000))/12</f>
        <v/>
      </c>
      <c r="CE16" s="206">
        <f>-(CE2*'Inputs &amp; Summary'!$D$68*(CE3/1000))/12</f>
        <v/>
      </c>
      <c r="CF16" s="206">
        <f>-(CF2*'Inputs &amp; Summary'!$D$68*(CF3/1000))/12</f>
        <v/>
      </c>
      <c r="CG16" s="206">
        <f>-(CG2*'Inputs &amp; Summary'!$D$68*(CG3/1000))/12</f>
        <v/>
      </c>
      <c r="CH16" s="206">
        <f>-(CH2*'Inputs &amp; Summary'!$D$68*(CH3/1000))/12</f>
        <v/>
      </c>
      <c r="CI16" s="206">
        <f>-(CI2*'Inputs &amp; Summary'!$D$68*(CI3/1000))/12</f>
        <v/>
      </c>
      <c r="CJ16" s="206">
        <f>-(CJ2*'Inputs &amp; Summary'!$D$68*(CJ3/1000))/12</f>
        <v/>
      </c>
      <c r="CK16" s="206">
        <f>-(CK2*'Inputs &amp; Summary'!$D$68*(CK3/1000))/12</f>
        <v/>
      </c>
      <c r="CL16" s="206">
        <f>-(CL2*'Inputs &amp; Summary'!$D$68*(CL3/1000))/12</f>
        <v/>
      </c>
      <c r="CM16" s="206">
        <f>-(CM2*'Inputs &amp; Summary'!$D$68*(CM3/1000))/12</f>
        <v/>
      </c>
      <c r="CN16" s="206">
        <f>-(CN2*'Inputs &amp; Summary'!$D$68*(CN3/1000))/12</f>
        <v/>
      </c>
      <c r="CO16" s="206">
        <f>-(CO2*'Inputs &amp; Summary'!$D$68*(CO3/1000))/12</f>
        <v/>
      </c>
      <c r="CP16" s="206">
        <f>-(CP2*'Inputs &amp; Summary'!$D$68*(CP3/1000))/12</f>
        <v/>
      </c>
      <c r="CQ16" s="206">
        <f>-(CQ2*'Inputs &amp; Summary'!$D$68*(CQ3/1000))/12</f>
        <v/>
      </c>
      <c r="CR16" s="206">
        <f>-(CR2*'Inputs &amp; Summary'!$D$68*(CR3/1000))/12</f>
        <v/>
      </c>
      <c r="CS16" s="206">
        <f>-(CS2*'Inputs &amp; Summary'!$D$68*(CS3/1000))/12</f>
        <v/>
      </c>
      <c r="CT16" s="206">
        <f>-(CT2*'Inputs &amp; Summary'!$D$68*(CT3/1000))/12</f>
        <v/>
      </c>
      <c r="CU16" s="206">
        <f>-(CU2*'Inputs &amp; Summary'!$D$68*(CU3/1000))/12</f>
        <v/>
      </c>
      <c r="CV16" s="206">
        <f>-(CV2*'Inputs &amp; Summary'!$D$68*(CV3/1000))/12</f>
        <v/>
      </c>
      <c r="CW16" s="206">
        <f>-(CW2*'Inputs &amp; Summary'!$D$68*(CW3/1000))/12</f>
        <v/>
      </c>
      <c r="CX16" s="206">
        <f>-(CX2*'Inputs &amp; Summary'!$D$68*(CX3/1000))/12</f>
        <v/>
      </c>
      <c r="CY16" s="206">
        <f>-(CY2*'Inputs &amp; Summary'!$D$68*(CY3/1000))/12</f>
        <v/>
      </c>
      <c r="CZ16" s="206">
        <f>-(CZ2*'Inputs &amp; Summary'!$D$68*(CZ3/1000))/12</f>
        <v/>
      </c>
      <c r="DA16" s="206">
        <f>-(DA2*'Inputs &amp; Summary'!$D$68*(DA3/1000))/12</f>
        <v/>
      </c>
      <c r="DB16" s="206">
        <f>-(DB2*'Inputs &amp; Summary'!$D$68*(DB3/1000))/12</f>
        <v/>
      </c>
      <c r="DC16" s="206">
        <f>-(DC2*'Inputs &amp; Summary'!$D$68*(DC3/1000))/12</f>
        <v/>
      </c>
      <c r="DD16" s="206">
        <f>-(DD2*'Inputs &amp; Summary'!$D$68*(DD3/1000))/12</f>
        <v/>
      </c>
      <c r="DE16" s="206">
        <f>-(DE2*'Inputs &amp; Summary'!$D$68*(DE3/1000))/12</f>
        <v/>
      </c>
      <c r="DF16" s="206">
        <f>-(DF2*'Inputs &amp; Summary'!$D$68*(DF3/1000))/12</f>
        <v/>
      </c>
      <c r="DG16" s="206">
        <f>-(DG2*'Inputs &amp; Summary'!$D$68*(DG3/1000))/12</f>
        <v/>
      </c>
      <c r="DH16" s="206">
        <f>-(DH2*'Inputs &amp; Summary'!$D$68*(DH3/1000))/12</f>
        <v/>
      </c>
      <c r="DI16" s="206">
        <f>-(DI2*'Inputs &amp; Summary'!$D$68*(DI3/1000))/12</f>
        <v/>
      </c>
      <c r="DJ16" s="206">
        <f>-(DJ2*'Inputs &amp; Summary'!$D$68*(DJ3/1000))/12</f>
        <v/>
      </c>
      <c r="DK16" s="206">
        <f>-(DK2*'Inputs &amp; Summary'!$D$68*(DK3/1000))/12</f>
        <v/>
      </c>
      <c r="DL16" s="206">
        <f>-(DL2*'Inputs &amp; Summary'!$D$68*(DL3/1000))/12</f>
        <v/>
      </c>
      <c r="DM16" s="206">
        <f>-(DM2*'Inputs &amp; Summary'!$D$68*(DM3/1000))/12</f>
        <v/>
      </c>
      <c r="DN16" s="206">
        <f>-(DN2*'Inputs &amp; Summary'!$D$68*(DN3/1000))/12</f>
        <v/>
      </c>
      <c r="DO16" s="206">
        <f>-(DO2*'Inputs &amp; Summary'!$D$68*(DO3/1000))/12</f>
        <v/>
      </c>
      <c r="DP16" s="206">
        <f>-(DP2*'Inputs &amp; Summary'!$D$68*(DP3/1000))/12</f>
        <v/>
      </c>
      <c r="DQ16" s="206">
        <f>-(DQ2*'Inputs &amp; Summary'!$D$68*(DQ3/1000))/12</f>
        <v/>
      </c>
      <c r="DR16" s="206">
        <f>-(DR2*'Inputs &amp; Summary'!$D$68*(DR3/1000))/12</f>
        <v/>
      </c>
      <c r="DS16" s="206">
        <f>-(DS2*'Inputs &amp; Summary'!$D$68*(DS3/1000))/12</f>
        <v/>
      </c>
      <c r="DT16" s="206">
        <f>-(DT2*'Inputs &amp; Summary'!$D$68*(DT3/1000))/12</f>
        <v/>
      </c>
    </row>
    <row r="17">
      <c r="B17" s="1" t="inlineStr">
        <is>
          <t>(-) Insurance</t>
        </is>
      </c>
      <c r="C17" s="31" t="n"/>
      <c r="D17" s="299">
        <f>'Inputs &amp; Summary'!G14</f>
        <v/>
      </c>
      <c r="E17" s="206">
        <f>IF(E$4="x", D17*(1+ExpenseGrowth),D17)</f>
        <v/>
      </c>
      <c r="F17" s="206">
        <f>IF(F$4="x", E17*(1+ExpenseGrowth),E17)</f>
        <v/>
      </c>
      <c r="G17" s="206">
        <f>IF(G$4="x", F17*(1+ExpenseGrowth),F17)</f>
        <v/>
      </c>
      <c r="H17" s="206">
        <f>IF(H$4="x", G17*(1+ExpenseGrowth),G17)</f>
        <v/>
      </c>
      <c r="I17" s="206">
        <f>IF(I$4="x", H17*(1+ExpenseGrowth),H17)</f>
        <v/>
      </c>
      <c r="J17" s="206">
        <f>IF(J$4="x", I17*(1+ExpenseGrowth),I17)</f>
        <v/>
      </c>
      <c r="K17" s="206">
        <f>IF(K$4="x", J17*(1+ExpenseGrowth),J17)</f>
        <v/>
      </c>
      <c r="L17" s="206">
        <f>IF(L$4="x", K17*(1+ExpenseGrowth),K17)</f>
        <v/>
      </c>
      <c r="M17" s="206">
        <f>IF(M$4="x", L17*(1+ExpenseGrowth),L17)</f>
        <v/>
      </c>
      <c r="N17" s="206">
        <f>IF(N$4="x", M17*(1+ExpenseGrowth),M17)</f>
        <v/>
      </c>
      <c r="O17" s="206">
        <f>IF(O$4="x", N17*(1+ExpenseGrowth),N17)</f>
        <v/>
      </c>
      <c r="P17" s="206">
        <f>IF(P$4="x", O17*(1+ExpenseGrowth),O17)</f>
        <v/>
      </c>
      <c r="Q17" s="206">
        <f>IF(Q$4="x", P17*(1+ExpenseGrowth),P17)</f>
        <v/>
      </c>
      <c r="R17" s="206">
        <f>IF(R$4="x", Q17*(1+ExpenseGrowth),Q17)</f>
        <v/>
      </c>
      <c r="S17" s="206">
        <f>IF(S$4="x", R17*(1+ExpenseGrowth),R17)</f>
        <v/>
      </c>
      <c r="T17" s="206">
        <f>IF(T$4="x", S17*(1+ExpenseGrowth),S17)</f>
        <v/>
      </c>
      <c r="U17" s="206">
        <f>IF(U$4="x", T17*(1+ExpenseGrowth),T17)</f>
        <v/>
      </c>
      <c r="V17" s="206">
        <f>IF(V$4="x", U17*(1+ExpenseGrowth),U17)</f>
        <v/>
      </c>
      <c r="W17" s="206">
        <f>IF(W$4="x", V17*(1+ExpenseGrowth),V17)</f>
        <v/>
      </c>
      <c r="X17" s="206">
        <f>IF(X$4="x", W17*(1+ExpenseGrowth),W17)</f>
        <v/>
      </c>
      <c r="Y17" s="206">
        <f>IF(Y$4="x", X17*(1+ExpenseGrowth),X17)</f>
        <v/>
      </c>
      <c r="Z17" s="206">
        <f>IF(Z$4="x", Y17*(1+ExpenseGrowth),Y17)</f>
        <v/>
      </c>
      <c r="AA17" s="206">
        <f>IF(AA$4="x", Z17*(1+ExpenseGrowth),Z17)</f>
        <v/>
      </c>
      <c r="AB17" s="206">
        <f>IF(AB$4="x", AA17*(1+ExpenseGrowth),AA17)</f>
        <v/>
      </c>
      <c r="AC17" s="206">
        <f>IF(AC$4="x", AB17*(1+ExpenseGrowth),AB17)</f>
        <v/>
      </c>
      <c r="AD17" s="206">
        <f>IF(AD$4="x", AC17*(1+ExpenseGrowth),AC17)</f>
        <v/>
      </c>
      <c r="AE17" s="206">
        <f>IF(AE$4="x", AD17*(1+ExpenseGrowth),AD17)</f>
        <v/>
      </c>
      <c r="AF17" s="206">
        <f>IF(AF$4="x", AE17*(1+ExpenseGrowth),AE17)</f>
        <v/>
      </c>
      <c r="AG17" s="206">
        <f>IF(AG$4="x", AF17*(1+ExpenseGrowth),AF17)</f>
        <v/>
      </c>
      <c r="AH17" s="206">
        <f>IF(AH$4="x", AG17*(1+ExpenseGrowth),AG17)</f>
        <v/>
      </c>
      <c r="AI17" s="206">
        <f>IF(AI$4="x", AH17*(1+ExpenseGrowth),AH17)</f>
        <v/>
      </c>
      <c r="AJ17" s="206">
        <f>IF(AJ$4="x", AI17*(1+ExpenseGrowth),AI17)</f>
        <v/>
      </c>
      <c r="AK17" s="206">
        <f>IF(AK$4="x", AJ17*(1+ExpenseGrowth),AJ17)</f>
        <v/>
      </c>
      <c r="AL17" s="206">
        <f>IF(AL$4="x", AK17*(1+ExpenseGrowth),AK17)</f>
        <v/>
      </c>
      <c r="AM17" s="206">
        <f>IF(AM$4="x", AL17*(1+ExpenseGrowth),AL17)</f>
        <v/>
      </c>
      <c r="AN17" s="206">
        <f>IF(AN$4="x", AM17*(1+ExpenseGrowth),AM17)</f>
        <v/>
      </c>
      <c r="AO17" s="206">
        <f>IF(AO$4="x", AN17*(1+ExpenseGrowth),AN17)</f>
        <v/>
      </c>
      <c r="AP17" s="206">
        <f>IF(AP$4="x", AO17*(1+ExpenseGrowth),AO17)</f>
        <v/>
      </c>
      <c r="AQ17" s="206">
        <f>IF(AQ$4="x", AP17*(1+ExpenseGrowth),AP17)</f>
        <v/>
      </c>
      <c r="AR17" s="206">
        <f>IF(AR$4="x", AQ17*(1+ExpenseGrowth),AQ17)</f>
        <v/>
      </c>
      <c r="AS17" s="206">
        <f>IF(AS$4="x", AR17*(1+ExpenseGrowth),AR17)</f>
        <v/>
      </c>
      <c r="AT17" s="206">
        <f>IF(AT$4="x", AS17*(1+ExpenseGrowth),AS17)</f>
        <v/>
      </c>
      <c r="AU17" s="206">
        <f>IF(AU$4="x", AT17*(1+ExpenseGrowth),AT17)</f>
        <v/>
      </c>
      <c r="AV17" s="206">
        <f>IF(AV$4="x", AU17*(1+ExpenseGrowth),AU17)</f>
        <v/>
      </c>
      <c r="AW17" s="206">
        <f>IF(AW$4="x", AV17*(1+ExpenseGrowth),AV17)</f>
        <v/>
      </c>
      <c r="AX17" s="206">
        <f>IF(AX$4="x", AW17*(1+ExpenseGrowth),AW17)</f>
        <v/>
      </c>
      <c r="AY17" s="206">
        <f>IF(AY$4="x", AX17*(1+ExpenseGrowth),AX17)</f>
        <v/>
      </c>
      <c r="AZ17" s="206">
        <f>IF(AZ$4="x", AY17*(1+ExpenseGrowth),AY17)</f>
        <v/>
      </c>
      <c r="BA17" s="206">
        <f>IF(BA$4="x", AZ17*(1+ExpenseGrowth),AZ17)</f>
        <v/>
      </c>
      <c r="BB17" s="206">
        <f>IF(BB$4="x", BA17*(1+ExpenseGrowth),BA17)</f>
        <v/>
      </c>
      <c r="BC17" s="206">
        <f>IF(BC$4="x", BB17*(1+ExpenseGrowth),BB17)</f>
        <v/>
      </c>
      <c r="BD17" s="206">
        <f>IF(BD$4="x", BC17*(1+ExpenseGrowth),BC17)</f>
        <v/>
      </c>
      <c r="BE17" s="206">
        <f>IF(BE$4="x", BD17*(1+ExpenseGrowth),BD17)</f>
        <v/>
      </c>
      <c r="BF17" s="206">
        <f>IF(BF$4="x", BE17*(1+ExpenseGrowth),BE17)</f>
        <v/>
      </c>
      <c r="BG17" s="206">
        <f>IF(BG$4="x", BF17*(1+ExpenseGrowth),BF17)</f>
        <v/>
      </c>
      <c r="BH17" s="206">
        <f>IF(BH$4="x", BG17*(1+ExpenseGrowth),BG17)</f>
        <v/>
      </c>
      <c r="BI17" s="206">
        <f>IF(BI$4="x", BH17*(1+ExpenseGrowth),BH17)</f>
        <v/>
      </c>
      <c r="BJ17" s="206">
        <f>IF(BJ$4="x", BI17*(1+ExpenseGrowth),BI17)</f>
        <v/>
      </c>
      <c r="BK17" s="206">
        <f>IF(BK$4="x", BJ17*(1+ExpenseGrowth),BJ17)</f>
        <v/>
      </c>
      <c r="BL17" s="206">
        <f>IF(BL$4="x", BK17*(1+ExpenseGrowth),BK17)</f>
        <v/>
      </c>
      <c r="BM17" s="206">
        <f>IF(BM$4="x", BL17*(1+ExpenseGrowth),BL17)</f>
        <v/>
      </c>
      <c r="BN17" s="206">
        <f>IF(BN$4="x", BM17*(1+ExpenseGrowth),BM17)</f>
        <v/>
      </c>
      <c r="BO17" s="206">
        <f>IF(BO$4="x", BN17*(1+ExpenseGrowth),BN17)</f>
        <v/>
      </c>
      <c r="BP17" s="206">
        <f>IF(BP$4="x", BO17*(1+ExpenseGrowth),BO17)</f>
        <v/>
      </c>
      <c r="BQ17" s="206">
        <f>IF(BQ$4="x", BP17*(1+ExpenseGrowth),BP17)</f>
        <v/>
      </c>
      <c r="BR17" s="206">
        <f>IF(BR$4="x", BQ17*(1+ExpenseGrowth),BQ17)</f>
        <v/>
      </c>
      <c r="BS17" s="206">
        <f>IF(BS$4="x", BR17*(1+ExpenseGrowth),BR17)</f>
        <v/>
      </c>
      <c r="BT17" s="206">
        <f>IF(BT$4="x", BS17*(1+ExpenseGrowth),BS17)</f>
        <v/>
      </c>
      <c r="BU17" s="206">
        <f>IF(BU$4="x", BT17*(1+ExpenseGrowth),BT17)</f>
        <v/>
      </c>
      <c r="BV17" s="206">
        <f>IF(BV$4="x", BU17*(1+ExpenseGrowth),BU17)</f>
        <v/>
      </c>
      <c r="BW17" s="206">
        <f>IF(BW$4="x", BV17*(1+ExpenseGrowth),BV17)</f>
        <v/>
      </c>
      <c r="BX17" s="206">
        <f>IF(BX$4="x", BW17*(1+ExpenseGrowth),BW17)</f>
        <v/>
      </c>
      <c r="BY17" s="206">
        <f>IF(BY$4="x", BX17*(1+ExpenseGrowth),BX17)</f>
        <v/>
      </c>
      <c r="BZ17" s="206">
        <f>IF(BZ$4="x", BY17*(1+ExpenseGrowth),BY17)</f>
        <v/>
      </c>
      <c r="CA17" s="206">
        <f>IF(CA$4="x", BZ17*(1+ExpenseGrowth),BZ17)</f>
        <v/>
      </c>
      <c r="CB17" s="206">
        <f>IF(CB$4="x", CA17*(1+ExpenseGrowth),CA17)</f>
        <v/>
      </c>
      <c r="CC17" s="206">
        <f>IF(CC$4="x", CB17*(1+ExpenseGrowth),CB17)</f>
        <v/>
      </c>
      <c r="CD17" s="206">
        <f>IF(CD$4="x", CC17*(1+ExpenseGrowth),CC17)</f>
        <v/>
      </c>
      <c r="CE17" s="206">
        <f>IF(CE$4="x", CD17*(1+ExpenseGrowth),CD17)</f>
        <v/>
      </c>
      <c r="CF17" s="206">
        <f>IF(CF$4="x", CE17*(1+ExpenseGrowth),CE17)</f>
        <v/>
      </c>
      <c r="CG17" s="206">
        <f>IF(CG$4="x", CF17*(1+ExpenseGrowth),CF17)</f>
        <v/>
      </c>
      <c r="CH17" s="206">
        <f>IF(CH$4="x", CG17*(1+ExpenseGrowth),CG17)</f>
        <v/>
      </c>
      <c r="CI17" s="206">
        <f>IF(CI$4="x", CH17*(1+ExpenseGrowth),CH17)</f>
        <v/>
      </c>
      <c r="CJ17" s="206">
        <f>IF(CJ$4="x", CI17*(1+ExpenseGrowth),CI17)</f>
        <v/>
      </c>
      <c r="CK17" s="206">
        <f>IF(CK$4="x", CJ17*(1+ExpenseGrowth),CJ17)</f>
        <v/>
      </c>
      <c r="CL17" s="206">
        <f>IF(CL$4="x", CK17*(1+ExpenseGrowth),CK17)</f>
        <v/>
      </c>
      <c r="CM17" s="206">
        <f>IF(CM$4="x", CL17*(1+ExpenseGrowth),CL17)</f>
        <v/>
      </c>
      <c r="CN17" s="206">
        <f>IF(CN$4="x", CM17*(1+ExpenseGrowth),CM17)</f>
        <v/>
      </c>
      <c r="CO17" s="206">
        <f>IF(CO$4="x", CN17*(1+ExpenseGrowth),CN17)</f>
        <v/>
      </c>
      <c r="CP17" s="206">
        <f>IF(CP$4="x", CO17*(1+ExpenseGrowth),CO17)</f>
        <v/>
      </c>
      <c r="CQ17" s="206">
        <f>IF(CQ$4="x", CP17*(1+ExpenseGrowth),CP17)</f>
        <v/>
      </c>
      <c r="CR17" s="206">
        <f>IF(CR$4="x", CQ17*(1+ExpenseGrowth),CQ17)</f>
        <v/>
      </c>
      <c r="CS17" s="206">
        <f>IF(CS$4="x", CR17*(1+ExpenseGrowth),CR17)</f>
        <v/>
      </c>
      <c r="CT17" s="206">
        <f>IF(CT$4="x", CS17*(1+ExpenseGrowth),CS17)</f>
        <v/>
      </c>
      <c r="CU17" s="206">
        <f>IF(CU$4="x", CT17*(1+ExpenseGrowth),CT17)</f>
        <v/>
      </c>
      <c r="CV17" s="206">
        <f>IF(CV$4="x", CU17*(1+ExpenseGrowth),CU17)</f>
        <v/>
      </c>
      <c r="CW17" s="206">
        <f>IF(CW$4="x", CV17*(1+ExpenseGrowth),CV17)</f>
        <v/>
      </c>
      <c r="CX17" s="206">
        <f>IF(CX$4="x", CW17*(1+ExpenseGrowth),CW17)</f>
        <v/>
      </c>
      <c r="CY17" s="206">
        <f>IF(CY$4="x", CX17*(1+ExpenseGrowth),CX17)</f>
        <v/>
      </c>
      <c r="CZ17" s="206">
        <f>IF(CZ$4="x", CY17*(1+ExpenseGrowth),CY17)</f>
        <v/>
      </c>
      <c r="DA17" s="206">
        <f>IF(DA$4="x", CZ17*(1+ExpenseGrowth),CZ17)</f>
        <v/>
      </c>
      <c r="DB17" s="206">
        <f>IF(DB$4="x", DA17*(1+ExpenseGrowth),DA17)</f>
        <v/>
      </c>
      <c r="DC17" s="206">
        <f>IF(DC$4="x", DB17*(1+ExpenseGrowth),DB17)</f>
        <v/>
      </c>
      <c r="DD17" s="206">
        <f>IF(DD$4="x", DC17*(1+ExpenseGrowth),DC17)</f>
        <v/>
      </c>
      <c r="DE17" s="206">
        <f>IF(DE$4="x", DD17*(1+ExpenseGrowth),DD17)</f>
        <v/>
      </c>
      <c r="DF17" s="206">
        <f>IF(DF$4="x", DE17*(1+ExpenseGrowth),DE17)</f>
        <v/>
      </c>
      <c r="DG17" s="206">
        <f>IF(DG$4="x", DF17*(1+ExpenseGrowth),DF17)</f>
        <v/>
      </c>
      <c r="DH17" s="206">
        <f>IF(DH$4="x", DG17*(1+ExpenseGrowth),DG17)</f>
        <v/>
      </c>
      <c r="DI17" s="206">
        <f>IF(DI$4="x", DH17*(1+ExpenseGrowth),DH17)</f>
        <v/>
      </c>
      <c r="DJ17" s="206">
        <f>IF(DJ$4="x", DI17*(1+ExpenseGrowth),DI17)</f>
        <v/>
      </c>
      <c r="DK17" s="206">
        <f>IF(DK$4="x", DJ17*(1+ExpenseGrowth),DJ17)</f>
        <v/>
      </c>
      <c r="DL17" s="206">
        <f>IF(DL$4="x", DK17*(1+ExpenseGrowth),DK17)</f>
        <v/>
      </c>
      <c r="DM17" s="206">
        <f>IF(DM$4="x", DL17*(1+ExpenseGrowth),DL17)</f>
        <v/>
      </c>
      <c r="DN17" s="206">
        <f>IF(DN$4="x", DM17*(1+ExpenseGrowth),DM17)</f>
        <v/>
      </c>
      <c r="DO17" s="206">
        <f>IF(DO$4="x", DN17*(1+ExpenseGrowth),DN17)</f>
        <v/>
      </c>
      <c r="DP17" s="206">
        <f>IF(DP$4="x", DO17*(1+ExpenseGrowth),DO17)</f>
        <v/>
      </c>
      <c r="DQ17" s="206">
        <f>IF(DQ$4="x", DP17*(1+ExpenseGrowth),DP17)</f>
        <v/>
      </c>
      <c r="DR17" s="206">
        <f>IF(DR$4="x", DQ17*(1+ExpenseGrowth),DQ17)</f>
        <v/>
      </c>
      <c r="DS17" s="206">
        <f>IF(DS$4="x", DR17*(1+ExpenseGrowth),DR17)</f>
        <v/>
      </c>
      <c r="DT17" s="206">
        <f>IF(DT$4="x", DS17*(1+ExpenseGrowth),DS17)</f>
        <v/>
      </c>
    </row>
    <row r="18">
      <c r="B18" s="1" t="inlineStr">
        <is>
          <t>(-) Management</t>
        </is>
      </c>
      <c r="C18" s="31" t="n"/>
      <c r="D18" s="296">
        <f>-'Inputs &amp; Summary'!D89</f>
        <v/>
      </c>
      <c r="E18" s="206">
        <f>E10*$D$18</f>
        <v/>
      </c>
      <c r="F18" s="206">
        <f>F10*$D$18</f>
        <v/>
      </c>
      <c r="G18" s="206">
        <f>G10*$D$18</f>
        <v/>
      </c>
      <c r="H18" s="206">
        <f>H10*$D$18</f>
        <v/>
      </c>
      <c r="I18" s="206">
        <f>I10*$D$18</f>
        <v/>
      </c>
      <c r="J18" s="206">
        <f>J10*$D$18</f>
        <v/>
      </c>
      <c r="K18" s="206">
        <f>K10*$D$18</f>
        <v/>
      </c>
      <c r="L18" s="206">
        <f>L10*$D$18</f>
        <v/>
      </c>
      <c r="M18" s="206">
        <f>M10*$D$18</f>
        <v/>
      </c>
      <c r="N18" s="206">
        <f>N10*$D$18</f>
        <v/>
      </c>
      <c r="O18" s="206">
        <f>O10*$D$18</f>
        <v/>
      </c>
      <c r="P18" s="206">
        <f>P10*$D$18</f>
        <v/>
      </c>
      <c r="Q18" s="206">
        <f>Q10*$D$18</f>
        <v/>
      </c>
      <c r="R18" s="206">
        <f>R10*$D$18</f>
        <v/>
      </c>
      <c r="S18" s="206">
        <f>S10*$D$18</f>
        <v/>
      </c>
      <c r="T18" s="206">
        <f>T10*$D$18</f>
        <v/>
      </c>
      <c r="U18" s="206">
        <f>U10*$D$18</f>
        <v/>
      </c>
      <c r="V18" s="206">
        <f>V10*$D$18</f>
        <v/>
      </c>
      <c r="W18" s="206">
        <f>W10*$D$18</f>
        <v/>
      </c>
      <c r="X18" s="206">
        <f>X10*$D$18</f>
        <v/>
      </c>
      <c r="Y18" s="206">
        <f>Y10*$D$18</f>
        <v/>
      </c>
      <c r="Z18" s="206">
        <f>Z10*$D$18</f>
        <v/>
      </c>
      <c r="AA18" s="206">
        <f>AA10*$D$18</f>
        <v/>
      </c>
      <c r="AB18" s="206">
        <f>AB10*$D$18</f>
        <v/>
      </c>
      <c r="AC18" s="206">
        <f>AC10*$D$18</f>
        <v/>
      </c>
      <c r="AD18" s="206">
        <f>AD10*$D$18</f>
        <v/>
      </c>
      <c r="AE18" s="206">
        <f>AE10*$D$18</f>
        <v/>
      </c>
      <c r="AF18" s="206">
        <f>AF10*$D$18</f>
        <v/>
      </c>
      <c r="AG18" s="206">
        <f>AG10*$D$18</f>
        <v/>
      </c>
      <c r="AH18" s="206">
        <f>AH10*$D$18</f>
        <v/>
      </c>
      <c r="AI18" s="206">
        <f>AI10*$D$18</f>
        <v/>
      </c>
      <c r="AJ18" s="206">
        <f>AJ10*$D$18</f>
        <v/>
      </c>
      <c r="AK18" s="206">
        <f>AK10*$D$18</f>
        <v/>
      </c>
      <c r="AL18" s="206">
        <f>AL10*$D$18</f>
        <v/>
      </c>
      <c r="AM18" s="206">
        <f>AM10*$D$18</f>
        <v/>
      </c>
      <c r="AN18" s="206">
        <f>AN10*$D$18</f>
        <v/>
      </c>
      <c r="AO18" s="206">
        <f>AO10*$D$18</f>
        <v/>
      </c>
      <c r="AP18" s="206">
        <f>AP10*$D$18</f>
        <v/>
      </c>
      <c r="AQ18" s="206">
        <f>AQ10*$D$18</f>
        <v/>
      </c>
      <c r="AR18" s="206">
        <f>AR10*$D$18</f>
        <v/>
      </c>
      <c r="AS18" s="206">
        <f>AS10*$D$18</f>
        <v/>
      </c>
      <c r="AT18" s="206">
        <f>AT10*$D$18</f>
        <v/>
      </c>
      <c r="AU18" s="206">
        <f>AU10*$D$18</f>
        <v/>
      </c>
      <c r="AV18" s="206">
        <f>AV10*$D$18</f>
        <v/>
      </c>
      <c r="AW18" s="206">
        <f>AW10*$D$18</f>
        <v/>
      </c>
      <c r="AX18" s="206">
        <f>AX10*$D$18</f>
        <v/>
      </c>
      <c r="AY18" s="206">
        <f>AY10*$D$18</f>
        <v/>
      </c>
      <c r="AZ18" s="206">
        <f>AZ10*$D$18</f>
        <v/>
      </c>
      <c r="BA18" s="206">
        <f>BA10*$D$18</f>
        <v/>
      </c>
      <c r="BB18" s="206">
        <f>BB10*$D$18</f>
        <v/>
      </c>
      <c r="BC18" s="206">
        <f>BC10*$D$18</f>
        <v/>
      </c>
      <c r="BD18" s="206">
        <f>BD10*$D$18</f>
        <v/>
      </c>
      <c r="BE18" s="206">
        <f>BE10*$D$18</f>
        <v/>
      </c>
      <c r="BF18" s="206">
        <f>BF10*$D$18</f>
        <v/>
      </c>
      <c r="BG18" s="206">
        <f>BG10*$D$18</f>
        <v/>
      </c>
      <c r="BH18" s="206">
        <f>BH10*$D$18</f>
        <v/>
      </c>
      <c r="BI18" s="206">
        <f>BI10*$D$18</f>
        <v/>
      </c>
      <c r="BJ18" s="206">
        <f>BJ10*$D$18</f>
        <v/>
      </c>
      <c r="BK18" s="206">
        <f>BK10*$D$18</f>
        <v/>
      </c>
      <c r="BL18" s="206">
        <f>BL10*$D$18</f>
        <v/>
      </c>
      <c r="BM18" s="206">
        <f>BM10*$D$18</f>
        <v/>
      </c>
      <c r="BN18" s="206">
        <f>BN10*$D$18</f>
        <v/>
      </c>
      <c r="BO18" s="206">
        <f>BO10*$D$18</f>
        <v/>
      </c>
      <c r="BP18" s="206">
        <f>BP10*$D$18</f>
        <v/>
      </c>
      <c r="BQ18" s="206">
        <f>BQ10*$D$18</f>
        <v/>
      </c>
      <c r="BR18" s="206">
        <f>BR10*$D$18</f>
        <v/>
      </c>
      <c r="BS18" s="206">
        <f>BS10*$D$18</f>
        <v/>
      </c>
      <c r="BT18" s="206">
        <f>BT10*$D$18</f>
        <v/>
      </c>
      <c r="BU18" s="206">
        <f>BU10*$D$18</f>
        <v/>
      </c>
      <c r="BV18" s="206">
        <f>BV10*$D$18</f>
        <v/>
      </c>
      <c r="BW18" s="206">
        <f>BW10*$D$18</f>
        <v/>
      </c>
      <c r="BX18" s="206">
        <f>BX10*$D$18</f>
        <v/>
      </c>
      <c r="BY18" s="206">
        <f>BY10*$D$18</f>
        <v/>
      </c>
      <c r="BZ18" s="206">
        <f>BZ10*$D$18</f>
        <v/>
      </c>
      <c r="CA18" s="206">
        <f>CA10*$D$18</f>
        <v/>
      </c>
      <c r="CB18" s="206">
        <f>CB10*$D$18</f>
        <v/>
      </c>
      <c r="CC18" s="206">
        <f>CC10*$D$18</f>
        <v/>
      </c>
      <c r="CD18" s="206">
        <f>CD10*$D$18</f>
        <v/>
      </c>
      <c r="CE18" s="206">
        <f>CE10*$D$18</f>
        <v/>
      </c>
      <c r="CF18" s="206">
        <f>CF10*$D$18</f>
        <v/>
      </c>
      <c r="CG18" s="206">
        <f>CG10*$D$18</f>
        <v/>
      </c>
      <c r="CH18" s="206">
        <f>CH10*$D$18</f>
        <v/>
      </c>
      <c r="CI18" s="206">
        <f>CI10*$D$18</f>
        <v/>
      </c>
      <c r="CJ18" s="206">
        <f>CJ10*$D$18</f>
        <v/>
      </c>
      <c r="CK18" s="206">
        <f>CK10*$D$18</f>
        <v/>
      </c>
      <c r="CL18" s="206">
        <f>CL10*$D$18</f>
        <v/>
      </c>
      <c r="CM18" s="206">
        <f>CM10*$D$18</f>
        <v/>
      </c>
      <c r="CN18" s="206">
        <f>CN10*$D$18</f>
        <v/>
      </c>
      <c r="CO18" s="206">
        <f>CO10*$D$18</f>
        <v/>
      </c>
      <c r="CP18" s="206">
        <f>CP10*$D$18</f>
        <v/>
      </c>
      <c r="CQ18" s="206">
        <f>CQ10*$D$18</f>
        <v/>
      </c>
      <c r="CR18" s="206">
        <f>CR10*$D$18</f>
        <v/>
      </c>
      <c r="CS18" s="206">
        <f>CS10*$D$18</f>
        <v/>
      </c>
      <c r="CT18" s="206">
        <f>CT10*$D$18</f>
        <v/>
      </c>
      <c r="CU18" s="206">
        <f>CU10*$D$18</f>
        <v/>
      </c>
      <c r="CV18" s="206">
        <f>CV10*$D$18</f>
        <v/>
      </c>
      <c r="CW18" s="206">
        <f>CW10*$D$18</f>
        <v/>
      </c>
      <c r="CX18" s="206">
        <f>CX10*$D$18</f>
        <v/>
      </c>
      <c r="CY18" s="206">
        <f>CY10*$D$18</f>
        <v/>
      </c>
      <c r="CZ18" s="206">
        <f>CZ10*$D$18</f>
        <v/>
      </c>
      <c r="DA18" s="206">
        <f>DA10*$D$18</f>
        <v/>
      </c>
      <c r="DB18" s="206">
        <f>DB10*$D$18</f>
        <v/>
      </c>
      <c r="DC18" s="206">
        <f>DC10*$D$18</f>
        <v/>
      </c>
      <c r="DD18" s="206">
        <f>DD10*$D$18</f>
        <v/>
      </c>
      <c r="DE18" s="206">
        <f>DE10*$D$18</f>
        <v/>
      </c>
      <c r="DF18" s="206">
        <f>DF10*$D$18</f>
        <v/>
      </c>
      <c r="DG18" s="206">
        <f>DG10*$D$18</f>
        <v/>
      </c>
      <c r="DH18" s="206">
        <f>DH10*$D$18</f>
        <v/>
      </c>
      <c r="DI18" s="206">
        <f>DI10*$D$18</f>
        <v/>
      </c>
      <c r="DJ18" s="206">
        <f>DJ10*$D$18</f>
        <v/>
      </c>
      <c r="DK18" s="206">
        <f>DK10*$D$18</f>
        <v/>
      </c>
      <c r="DL18" s="206">
        <f>DL10*$D$18</f>
        <v/>
      </c>
      <c r="DM18" s="206">
        <f>DM10*$D$18</f>
        <v/>
      </c>
      <c r="DN18" s="206">
        <f>DN10*$D$18</f>
        <v/>
      </c>
      <c r="DO18" s="206">
        <f>DO10*$D$18</f>
        <v/>
      </c>
      <c r="DP18" s="206">
        <f>DP10*$D$18</f>
        <v/>
      </c>
      <c r="DQ18" s="206">
        <f>DQ10*$D$18</f>
        <v/>
      </c>
      <c r="DR18" s="206">
        <f>DR10*$D$18</f>
        <v/>
      </c>
      <c r="DS18" s="206">
        <f>DS10*$D$18</f>
        <v/>
      </c>
      <c r="DT18" s="206">
        <f>DT10*$D$18</f>
        <v/>
      </c>
    </row>
    <row r="19">
      <c r="B19" s="1" t="inlineStr">
        <is>
          <t>(-) Utilities &amp; HOA Dues</t>
        </is>
      </c>
      <c r="C19" s="31" t="n"/>
      <c r="D19" s="299">
        <f>'Inputs &amp; Summary'!G16</f>
        <v/>
      </c>
      <c r="E19" s="206">
        <f>IF(MONTH(E$6)=1, D19*(1+ExpenseGrowth),D19)</f>
        <v/>
      </c>
      <c r="F19" s="206">
        <f>IF(MONTH(F$6)=1, E19*(1+ExpenseGrowth),E19)</f>
        <v/>
      </c>
      <c r="G19" s="206">
        <f>IF(MONTH(G$6)=1, F19*(1+ExpenseGrowth),F19)</f>
        <v/>
      </c>
      <c r="H19" s="206">
        <f>IF(MONTH(H$6)=1, G19*(1+ExpenseGrowth),G19)</f>
        <v/>
      </c>
      <c r="I19" s="206">
        <f>IF(MONTH(I$6)=1, H19*(1+ExpenseGrowth),H19)</f>
        <v/>
      </c>
      <c r="J19" s="206">
        <f>IF(MONTH(J$6)=1, I19*(1+ExpenseGrowth),I19)</f>
        <v/>
      </c>
      <c r="K19" s="206">
        <f>IF(MONTH(K$6)=1, J19*(1+ExpenseGrowth),J19)</f>
        <v/>
      </c>
      <c r="L19" s="206">
        <f>IF(MONTH(L$6)=1, K19*(1+ExpenseGrowth),K19)</f>
        <v/>
      </c>
      <c r="M19" s="206">
        <f>IF(MONTH(M$6)=1, L19*(1+ExpenseGrowth),L19)</f>
        <v/>
      </c>
      <c r="N19" s="206">
        <f>IF(MONTH(N$6)=1, M19*(1+ExpenseGrowth),M19)</f>
        <v/>
      </c>
      <c r="O19" s="206">
        <f>IF(MONTH(O$6)=1, N19*(1+ExpenseGrowth),N19)</f>
        <v/>
      </c>
      <c r="P19" s="206">
        <f>IF(MONTH(P$6)=1, O19*(1+ExpenseGrowth),O19)</f>
        <v/>
      </c>
      <c r="Q19" s="206">
        <f>IF(MONTH(Q$6)=1, P19*(1+ExpenseGrowth),P19)</f>
        <v/>
      </c>
      <c r="R19" s="206">
        <f>IF(MONTH(R$6)=1, Q19*(1+ExpenseGrowth),Q19)</f>
        <v/>
      </c>
      <c r="S19" s="206">
        <f>IF(MONTH(S$6)=1, R19*(1+ExpenseGrowth),R19)</f>
        <v/>
      </c>
      <c r="T19" s="206">
        <f>IF(MONTH(T$6)=1, S19*(1+ExpenseGrowth),S19)</f>
        <v/>
      </c>
      <c r="U19" s="206">
        <f>IF(MONTH(U$6)=1, T19*(1+ExpenseGrowth),T19)</f>
        <v/>
      </c>
      <c r="V19" s="206">
        <f>IF(MONTH(V$6)=1, U19*(1+ExpenseGrowth),U19)</f>
        <v/>
      </c>
      <c r="W19" s="206">
        <f>IF(MONTH(W$6)=1, V19*(1+ExpenseGrowth),V19)</f>
        <v/>
      </c>
      <c r="X19" s="206">
        <f>IF(MONTH(X$6)=1, W19*(1+ExpenseGrowth),W19)</f>
        <v/>
      </c>
      <c r="Y19" s="206">
        <f>IF(MONTH(Y$6)=1, X19*(1+ExpenseGrowth),X19)</f>
        <v/>
      </c>
      <c r="Z19" s="206">
        <f>IF(MONTH(Z$6)=1, Y19*(1+ExpenseGrowth),Y19)</f>
        <v/>
      </c>
      <c r="AA19" s="206">
        <f>IF(MONTH(AA$6)=1, Z19*(1+ExpenseGrowth),Z19)</f>
        <v/>
      </c>
      <c r="AB19" s="206">
        <f>IF(MONTH(AB$6)=1, AA19*(1+ExpenseGrowth),AA19)</f>
        <v/>
      </c>
      <c r="AC19" s="206">
        <f>IF(MONTH(AC$6)=1, AB19*(1+ExpenseGrowth),AB19)</f>
        <v/>
      </c>
      <c r="AD19" s="206">
        <f>IF(MONTH(AD$6)=1, AC19*(1+ExpenseGrowth),AC19)</f>
        <v/>
      </c>
      <c r="AE19" s="206">
        <f>IF(MONTH(AE$6)=1, AD19*(1+ExpenseGrowth),AD19)</f>
        <v/>
      </c>
      <c r="AF19" s="206">
        <f>IF(MONTH(AF$6)=1, AE19*(1+ExpenseGrowth),AE19)</f>
        <v/>
      </c>
      <c r="AG19" s="206">
        <f>IF(MONTH(AG$6)=1, AF19*(1+ExpenseGrowth),AF19)</f>
        <v/>
      </c>
      <c r="AH19" s="206">
        <f>IF(MONTH(AH$6)=1, AG19*(1+ExpenseGrowth),AG19)</f>
        <v/>
      </c>
      <c r="AI19" s="206">
        <f>IF(MONTH(AI$6)=1, AH19*(1+ExpenseGrowth),AH19)</f>
        <v/>
      </c>
      <c r="AJ19" s="206">
        <f>IF(MONTH(AJ$6)=1, AI19*(1+ExpenseGrowth),AI19)</f>
        <v/>
      </c>
      <c r="AK19" s="206">
        <f>IF(MONTH(AK$6)=1, AJ19*(1+ExpenseGrowth),AJ19)</f>
        <v/>
      </c>
      <c r="AL19" s="206">
        <f>IF(MONTH(AL$6)=1, AK19*(1+ExpenseGrowth),AK19)</f>
        <v/>
      </c>
      <c r="AM19" s="206">
        <f>IF(MONTH(AM$6)=1, AL19*(1+ExpenseGrowth),AL19)</f>
        <v/>
      </c>
      <c r="AN19" s="206">
        <f>IF(MONTH(AN$6)=1, AM19*(1+ExpenseGrowth),AM19)</f>
        <v/>
      </c>
      <c r="AO19" s="206">
        <f>IF(MONTH(AO$6)=1, AN19*(1+ExpenseGrowth),AN19)</f>
        <v/>
      </c>
      <c r="AP19" s="206">
        <f>IF(MONTH(AP$6)=1, AO19*(1+ExpenseGrowth),AO19)</f>
        <v/>
      </c>
      <c r="AQ19" s="206">
        <f>IF(MONTH(AQ$6)=1, AP19*(1+ExpenseGrowth),AP19)</f>
        <v/>
      </c>
      <c r="AR19" s="206">
        <f>IF(MONTH(AR$6)=1, AQ19*(1+ExpenseGrowth),AQ19)</f>
        <v/>
      </c>
      <c r="AS19" s="206">
        <f>IF(MONTH(AS$6)=1, AR19*(1+ExpenseGrowth),AR19)</f>
        <v/>
      </c>
      <c r="AT19" s="206">
        <f>IF(MONTH(AT$6)=1, AS19*(1+ExpenseGrowth),AS19)</f>
        <v/>
      </c>
      <c r="AU19" s="206">
        <f>IF(MONTH(AU$6)=1, AT19*(1+ExpenseGrowth),AT19)</f>
        <v/>
      </c>
      <c r="AV19" s="206">
        <f>IF(MONTH(AV$6)=1, AU19*(1+ExpenseGrowth),AU19)</f>
        <v/>
      </c>
      <c r="AW19" s="206">
        <f>IF(MONTH(AW$6)=1, AV19*(1+ExpenseGrowth),AV19)</f>
        <v/>
      </c>
      <c r="AX19" s="206">
        <f>IF(MONTH(AX$6)=1, AW19*(1+ExpenseGrowth),AW19)</f>
        <v/>
      </c>
      <c r="AY19" s="206">
        <f>IF(MONTH(AY$6)=1, AX19*(1+ExpenseGrowth),AX19)</f>
        <v/>
      </c>
      <c r="AZ19" s="206">
        <f>IF(MONTH(AZ$6)=1, AY19*(1+ExpenseGrowth),AY19)</f>
        <v/>
      </c>
      <c r="BA19" s="206">
        <f>IF(MONTH(BA$6)=1, AZ19*(1+ExpenseGrowth),AZ19)</f>
        <v/>
      </c>
      <c r="BB19" s="206">
        <f>IF(MONTH(BB$6)=1, BA19*(1+ExpenseGrowth),BA19)</f>
        <v/>
      </c>
      <c r="BC19" s="206">
        <f>IF(MONTH(BC$6)=1, BB19*(1+ExpenseGrowth),BB19)</f>
        <v/>
      </c>
      <c r="BD19" s="206">
        <f>IF(MONTH(BD$6)=1, BC19*(1+ExpenseGrowth),BC19)</f>
        <v/>
      </c>
      <c r="BE19" s="206">
        <f>IF(MONTH(BE$6)=1, BD19*(1+ExpenseGrowth),BD19)</f>
        <v/>
      </c>
      <c r="BF19" s="206">
        <f>IF(MONTH(BF$6)=1, BE19*(1+ExpenseGrowth),BE19)</f>
        <v/>
      </c>
      <c r="BG19" s="206">
        <f>IF(MONTH(BG$6)=1, BF19*(1+ExpenseGrowth),BF19)</f>
        <v/>
      </c>
      <c r="BH19" s="206">
        <f>IF(MONTH(BH$6)=1, BG19*(1+ExpenseGrowth),BG19)</f>
        <v/>
      </c>
      <c r="BI19" s="206">
        <f>IF(MONTH(BI$6)=1, BH19*(1+ExpenseGrowth),BH19)</f>
        <v/>
      </c>
      <c r="BJ19" s="206">
        <f>IF(MONTH(BJ$6)=1, BI19*(1+ExpenseGrowth),BI19)</f>
        <v/>
      </c>
      <c r="BK19" s="206">
        <f>IF(MONTH(BK$6)=1, BJ19*(1+ExpenseGrowth),BJ19)</f>
        <v/>
      </c>
      <c r="BL19" s="206">
        <f>IF(MONTH(BL$6)=1, BK19*(1+ExpenseGrowth),BK19)</f>
        <v/>
      </c>
      <c r="BM19" s="206">
        <f>IF(MONTH(BM$6)=1, BL19*(1+ExpenseGrowth),BL19)</f>
        <v/>
      </c>
      <c r="BN19" s="206">
        <f>IF(MONTH(BN$6)=1, BM19*(1+ExpenseGrowth),BM19)</f>
        <v/>
      </c>
      <c r="BO19" s="206">
        <f>IF(MONTH(BO$6)=1, BN19*(1+ExpenseGrowth),BN19)</f>
        <v/>
      </c>
      <c r="BP19" s="206">
        <f>IF(MONTH(BP$6)=1, BO19*(1+ExpenseGrowth),BO19)</f>
        <v/>
      </c>
      <c r="BQ19" s="206">
        <f>IF(MONTH(BQ$6)=1, BP19*(1+ExpenseGrowth),BP19)</f>
        <v/>
      </c>
      <c r="BR19" s="206">
        <f>IF(MONTH(BR$6)=1, BQ19*(1+ExpenseGrowth),BQ19)</f>
        <v/>
      </c>
      <c r="BS19" s="206">
        <f>IF(MONTH(BS$6)=1, BR19*(1+ExpenseGrowth),BR19)</f>
        <v/>
      </c>
      <c r="BT19" s="206">
        <f>IF(MONTH(BT$6)=1, BS19*(1+ExpenseGrowth),BS19)</f>
        <v/>
      </c>
      <c r="BU19" s="206">
        <f>IF(MONTH(BU$6)=1, BT19*(1+ExpenseGrowth),BT19)</f>
        <v/>
      </c>
      <c r="BV19" s="206">
        <f>IF(MONTH(BV$6)=1, BU19*(1+ExpenseGrowth),BU19)</f>
        <v/>
      </c>
      <c r="BW19" s="206">
        <f>IF(MONTH(BW$6)=1, BV19*(1+ExpenseGrowth),BV19)</f>
        <v/>
      </c>
      <c r="BX19" s="206">
        <f>IF(MONTH(BX$6)=1, BW19*(1+ExpenseGrowth),BW19)</f>
        <v/>
      </c>
      <c r="BY19" s="206">
        <f>IF(MONTH(BY$6)=1, BX19*(1+ExpenseGrowth),BX19)</f>
        <v/>
      </c>
      <c r="BZ19" s="206">
        <f>IF(MONTH(BZ$6)=1, BY19*(1+ExpenseGrowth),BY19)</f>
        <v/>
      </c>
      <c r="CA19" s="206">
        <f>IF(MONTH(CA$6)=1, BZ19*(1+ExpenseGrowth),BZ19)</f>
        <v/>
      </c>
      <c r="CB19" s="206">
        <f>IF(MONTH(CB$6)=1, CA19*(1+ExpenseGrowth),CA19)</f>
        <v/>
      </c>
      <c r="CC19" s="206">
        <f>IF(MONTH(CC$6)=1, CB19*(1+ExpenseGrowth),CB19)</f>
        <v/>
      </c>
      <c r="CD19" s="206">
        <f>IF(MONTH(CD$6)=1, CC19*(1+ExpenseGrowth),CC19)</f>
        <v/>
      </c>
      <c r="CE19" s="206">
        <f>IF(MONTH(CE$6)=1, CD19*(1+ExpenseGrowth),CD19)</f>
        <v/>
      </c>
      <c r="CF19" s="206">
        <f>IF(MONTH(CF$6)=1, CE19*(1+ExpenseGrowth),CE19)</f>
        <v/>
      </c>
      <c r="CG19" s="206">
        <f>IF(MONTH(CG$6)=1, CF19*(1+ExpenseGrowth),CF19)</f>
        <v/>
      </c>
      <c r="CH19" s="206">
        <f>IF(MONTH(CH$6)=1, CG19*(1+ExpenseGrowth),CG19)</f>
        <v/>
      </c>
      <c r="CI19" s="206">
        <f>IF(MONTH(CI$6)=1, CH19*(1+ExpenseGrowth),CH19)</f>
        <v/>
      </c>
      <c r="CJ19" s="206">
        <f>IF(MONTH(CJ$6)=1, CI19*(1+ExpenseGrowth),CI19)</f>
        <v/>
      </c>
      <c r="CK19" s="206">
        <f>IF(MONTH(CK$6)=1, CJ19*(1+ExpenseGrowth),CJ19)</f>
        <v/>
      </c>
      <c r="CL19" s="206">
        <f>IF(MONTH(CL$6)=1, CK19*(1+ExpenseGrowth),CK19)</f>
        <v/>
      </c>
      <c r="CM19" s="206">
        <f>IF(MONTH(CM$6)=1, CL19*(1+ExpenseGrowth),CL19)</f>
        <v/>
      </c>
      <c r="CN19" s="206">
        <f>IF(MONTH(CN$6)=1, CM19*(1+ExpenseGrowth),CM19)</f>
        <v/>
      </c>
      <c r="CO19" s="206">
        <f>IF(MONTH(CO$6)=1, CN19*(1+ExpenseGrowth),CN19)</f>
        <v/>
      </c>
      <c r="CP19" s="206">
        <f>IF(MONTH(CP$6)=1, CO19*(1+ExpenseGrowth),CO19)</f>
        <v/>
      </c>
      <c r="CQ19" s="206">
        <f>IF(MONTH(CQ$6)=1, CP19*(1+ExpenseGrowth),CP19)</f>
        <v/>
      </c>
      <c r="CR19" s="206">
        <f>IF(MONTH(CR$6)=1, CQ19*(1+ExpenseGrowth),CQ19)</f>
        <v/>
      </c>
      <c r="CS19" s="206">
        <f>IF(MONTH(CS$6)=1, CR19*(1+ExpenseGrowth),CR19)</f>
        <v/>
      </c>
      <c r="CT19" s="206">
        <f>IF(MONTH(CT$6)=1, CS19*(1+ExpenseGrowth),CS19)</f>
        <v/>
      </c>
      <c r="CU19" s="206">
        <f>IF(MONTH(CU$6)=1, CT19*(1+ExpenseGrowth),CT19)</f>
        <v/>
      </c>
      <c r="CV19" s="206">
        <f>IF(MONTH(CV$6)=1, CU19*(1+ExpenseGrowth),CU19)</f>
        <v/>
      </c>
      <c r="CW19" s="206">
        <f>IF(MONTH(CW$6)=1, CV19*(1+ExpenseGrowth),CV19)</f>
        <v/>
      </c>
      <c r="CX19" s="206">
        <f>IF(MONTH(CX$6)=1, CW19*(1+ExpenseGrowth),CW19)</f>
        <v/>
      </c>
      <c r="CY19" s="206">
        <f>IF(MONTH(CY$6)=1, CX19*(1+ExpenseGrowth),CX19)</f>
        <v/>
      </c>
      <c r="CZ19" s="206">
        <f>IF(MONTH(CZ$6)=1, CY19*(1+ExpenseGrowth),CY19)</f>
        <v/>
      </c>
      <c r="DA19" s="206">
        <f>IF(MONTH(DA$6)=1, CZ19*(1+ExpenseGrowth),CZ19)</f>
        <v/>
      </c>
      <c r="DB19" s="206">
        <f>IF(MONTH(DB$6)=1, DA19*(1+ExpenseGrowth),DA19)</f>
        <v/>
      </c>
      <c r="DC19" s="206">
        <f>IF(MONTH(DC$6)=1, DB19*(1+ExpenseGrowth),DB19)</f>
        <v/>
      </c>
      <c r="DD19" s="206">
        <f>IF(MONTH(DD$6)=1, DC19*(1+ExpenseGrowth),DC19)</f>
        <v/>
      </c>
      <c r="DE19" s="206">
        <f>IF(MONTH(DE$6)=1, DD19*(1+ExpenseGrowth),DD19)</f>
        <v/>
      </c>
      <c r="DF19" s="206">
        <f>IF(MONTH(DF$6)=1, DE19*(1+ExpenseGrowth),DE19)</f>
        <v/>
      </c>
      <c r="DG19" s="206">
        <f>IF(MONTH(DG$6)=1, DF19*(1+ExpenseGrowth),DF19)</f>
        <v/>
      </c>
      <c r="DH19" s="206">
        <f>IF(MONTH(DH$6)=1, DG19*(1+ExpenseGrowth),DG19)</f>
        <v/>
      </c>
      <c r="DI19" s="206">
        <f>IF(MONTH(DI$6)=1, DH19*(1+ExpenseGrowth),DH19)</f>
        <v/>
      </c>
      <c r="DJ19" s="206">
        <f>IF(MONTH(DJ$6)=1, DI19*(1+ExpenseGrowth),DI19)</f>
        <v/>
      </c>
      <c r="DK19" s="206">
        <f>IF(MONTH(DK$6)=1, DJ19*(1+ExpenseGrowth),DJ19)</f>
        <v/>
      </c>
      <c r="DL19" s="206">
        <f>IF(MONTH(DL$6)=1, DK19*(1+ExpenseGrowth),DK19)</f>
        <v/>
      </c>
      <c r="DM19" s="206">
        <f>IF(MONTH(DM$6)=1, DL19*(1+ExpenseGrowth),DL19)</f>
        <v/>
      </c>
      <c r="DN19" s="206">
        <f>IF(MONTH(DN$6)=1, DM19*(1+ExpenseGrowth),DM19)</f>
        <v/>
      </c>
      <c r="DO19" s="206">
        <f>IF(MONTH(DO$6)=1, DN19*(1+ExpenseGrowth),DN19)</f>
        <v/>
      </c>
      <c r="DP19" s="206">
        <f>IF(MONTH(DP$6)=1, DO19*(1+ExpenseGrowth),DO19)</f>
        <v/>
      </c>
      <c r="DQ19" s="206">
        <f>IF(MONTH(DQ$6)=1, DP19*(1+ExpenseGrowth),DP19)</f>
        <v/>
      </c>
      <c r="DR19" s="206">
        <f>IF(MONTH(DR$6)=1, DQ19*(1+ExpenseGrowth),DQ19)</f>
        <v/>
      </c>
      <c r="DS19" s="206">
        <f>IF(MONTH(DS$6)=1, DR19*(1+ExpenseGrowth),DR19)</f>
        <v/>
      </c>
      <c r="DT19" s="206">
        <f>IF(MONTH(DT$6)=1, DS19*(1+ExpenseGrowth),DS19)</f>
        <v/>
      </c>
    </row>
    <row r="20">
      <c r="B20" s="1" t="inlineStr">
        <is>
          <t>(-) Maintenance &amp; Repairs</t>
        </is>
      </c>
      <c r="C20" s="31" t="n"/>
      <c r="D20" s="299">
        <f>'Inputs &amp; Summary'!G17</f>
        <v/>
      </c>
      <c r="E20" s="206">
        <f>D20*(1+(ExpenseGrowth/12))</f>
        <v/>
      </c>
      <c r="F20" s="206">
        <f>E20*(1+(ExpenseGrowth/12))</f>
        <v/>
      </c>
      <c r="G20" s="206">
        <f>F20*(1+(ExpenseGrowth/12))</f>
        <v/>
      </c>
      <c r="H20" s="206">
        <f>G20*(1+(ExpenseGrowth/12))</f>
        <v/>
      </c>
      <c r="I20" s="206">
        <f>H20*(1+(ExpenseGrowth/12))</f>
        <v/>
      </c>
      <c r="J20" s="206">
        <f>I20*(1+(ExpenseGrowth/12))</f>
        <v/>
      </c>
      <c r="K20" s="206">
        <f>J20*(1+(ExpenseGrowth/12))</f>
        <v/>
      </c>
      <c r="L20" s="206">
        <f>K20*(1+(ExpenseGrowth/12))</f>
        <v/>
      </c>
      <c r="M20" s="206">
        <f>L20*(1+(ExpenseGrowth/12))</f>
        <v/>
      </c>
      <c r="N20" s="206">
        <f>M20*(1+(ExpenseGrowth/12))</f>
        <v/>
      </c>
      <c r="O20" s="206">
        <f>N20*(1+(ExpenseGrowth/12))</f>
        <v/>
      </c>
      <c r="P20" s="206">
        <f>O20*(1+(ExpenseGrowth/12))</f>
        <v/>
      </c>
      <c r="Q20" s="206">
        <f>P20*(1+(ExpenseGrowth/12))</f>
        <v/>
      </c>
      <c r="R20" s="206">
        <f>Q20*(1+(ExpenseGrowth/12))</f>
        <v/>
      </c>
      <c r="S20" s="206">
        <f>R20*(1+(ExpenseGrowth/12))</f>
        <v/>
      </c>
      <c r="T20" s="206">
        <f>S20*(1+(ExpenseGrowth/12))</f>
        <v/>
      </c>
      <c r="U20" s="206">
        <f>T20*(1+(ExpenseGrowth/12))</f>
        <v/>
      </c>
      <c r="V20" s="206">
        <f>U20*(1+(ExpenseGrowth/12))</f>
        <v/>
      </c>
      <c r="W20" s="206">
        <f>V20*(1+(ExpenseGrowth/12))</f>
        <v/>
      </c>
      <c r="X20" s="206">
        <f>W20*(1+(ExpenseGrowth/12))</f>
        <v/>
      </c>
      <c r="Y20" s="206">
        <f>X20*(1+(ExpenseGrowth/12))</f>
        <v/>
      </c>
      <c r="Z20" s="206">
        <f>Y20*(1+(ExpenseGrowth/12))</f>
        <v/>
      </c>
      <c r="AA20" s="206">
        <f>Z20*(1+(ExpenseGrowth/12))</f>
        <v/>
      </c>
      <c r="AB20" s="206">
        <f>AA20*(1+(ExpenseGrowth/12))</f>
        <v/>
      </c>
      <c r="AC20" s="206">
        <f>AB20*(1+(ExpenseGrowth/12))</f>
        <v/>
      </c>
      <c r="AD20" s="206">
        <f>AC20*(1+(ExpenseGrowth/12))</f>
        <v/>
      </c>
      <c r="AE20" s="206">
        <f>AD20*(1+(ExpenseGrowth/12))</f>
        <v/>
      </c>
      <c r="AF20" s="206">
        <f>AE20*(1+(ExpenseGrowth/12))</f>
        <v/>
      </c>
      <c r="AG20" s="206">
        <f>AF20*(1+(ExpenseGrowth/12))</f>
        <v/>
      </c>
      <c r="AH20" s="206">
        <f>AG20*(1+(ExpenseGrowth/12))</f>
        <v/>
      </c>
      <c r="AI20" s="206">
        <f>AH20*(1+(ExpenseGrowth/12))</f>
        <v/>
      </c>
      <c r="AJ20" s="206">
        <f>AI20*(1+(ExpenseGrowth/12))</f>
        <v/>
      </c>
      <c r="AK20" s="206">
        <f>AJ20*(1+(ExpenseGrowth/12))</f>
        <v/>
      </c>
      <c r="AL20" s="206">
        <f>AK20*(1+(ExpenseGrowth/12))</f>
        <v/>
      </c>
      <c r="AM20" s="206">
        <f>AL20*(1+(ExpenseGrowth/12))</f>
        <v/>
      </c>
      <c r="AN20" s="206">
        <f>AM20*(1+(ExpenseGrowth/12))</f>
        <v/>
      </c>
      <c r="AO20" s="206">
        <f>AN20*(1+(ExpenseGrowth/12))</f>
        <v/>
      </c>
      <c r="AP20" s="206">
        <f>AO20*(1+(ExpenseGrowth/12))</f>
        <v/>
      </c>
      <c r="AQ20" s="206">
        <f>AP20*(1+(ExpenseGrowth/12))</f>
        <v/>
      </c>
      <c r="AR20" s="206">
        <f>AQ20*(1+(ExpenseGrowth/12))</f>
        <v/>
      </c>
      <c r="AS20" s="206">
        <f>AR20*(1+(ExpenseGrowth/12))</f>
        <v/>
      </c>
      <c r="AT20" s="206">
        <f>AS20*(1+(ExpenseGrowth/12))</f>
        <v/>
      </c>
      <c r="AU20" s="206">
        <f>AT20*(1+(ExpenseGrowth/12))</f>
        <v/>
      </c>
      <c r="AV20" s="206">
        <f>AU20*(1+(ExpenseGrowth/12))</f>
        <v/>
      </c>
      <c r="AW20" s="206">
        <f>AV20*(1+(ExpenseGrowth/12))</f>
        <v/>
      </c>
      <c r="AX20" s="206">
        <f>AW20*(1+(ExpenseGrowth/12))</f>
        <v/>
      </c>
      <c r="AY20" s="206">
        <f>AX20*(1+(ExpenseGrowth/12))</f>
        <v/>
      </c>
      <c r="AZ20" s="206">
        <f>AY20*(1+(ExpenseGrowth/12))</f>
        <v/>
      </c>
      <c r="BA20" s="206">
        <f>AZ20*(1+(ExpenseGrowth/12))</f>
        <v/>
      </c>
      <c r="BB20" s="206">
        <f>BA20*(1+(ExpenseGrowth/12))</f>
        <v/>
      </c>
      <c r="BC20" s="206">
        <f>BB20*(1+(ExpenseGrowth/12))</f>
        <v/>
      </c>
      <c r="BD20" s="206">
        <f>BC20*(1+(ExpenseGrowth/12))</f>
        <v/>
      </c>
      <c r="BE20" s="206">
        <f>BD20*(1+(ExpenseGrowth/12))</f>
        <v/>
      </c>
      <c r="BF20" s="206">
        <f>BE20*(1+(ExpenseGrowth/12))</f>
        <v/>
      </c>
      <c r="BG20" s="206">
        <f>BF20*(1+(ExpenseGrowth/12))</f>
        <v/>
      </c>
      <c r="BH20" s="206">
        <f>BG20*(1+(ExpenseGrowth/12))</f>
        <v/>
      </c>
      <c r="BI20" s="206">
        <f>BH20*(1+(ExpenseGrowth/12))</f>
        <v/>
      </c>
      <c r="BJ20" s="206">
        <f>BI20*(1+(ExpenseGrowth/12))</f>
        <v/>
      </c>
      <c r="BK20" s="206">
        <f>BJ20*(1+(ExpenseGrowth/12))</f>
        <v/>
      </c>
      <c r="BL20" s="206">
        <f>BK20*(1+(ExpenseGrowth/12))</f>
        <v/>
      </c>
      <c r="BM20" s="206">
        <f>BL20*(1+(ExpenseGrowth/12))</f>
        <v/>
      </c>
      <c r="BN20" s="206">
        <f>BM20*(1+(ExpenseGrowth/12))</f>
        <v/>
      </c>
      <c r="BO20" s="206">
        <f>BN20*(1+(ExpenseGrowth/12))</f>
        <v/>
      </c>
      <c r="BP20" s="206">
        <f>BO20*(1+(ExpenseGrowth/12))</f>
        <v/>
      </c>
      <c r="BQ20" s="206">
        <f>BP20*(1+(ExpenseGrowth/12))</f>
        <v/>
      </c>
      <c r="BR20" s="206">
        <f>BQ20*(1+(ExpenseGrowth/12))</f>
        <v/>
      </c>
      <c r="BS20" s="206">
        <f>BR20*(1+(ExpenseGrowth/12))</f>
        <v/>
      </c>
      <c r="BT20" s="206">
        <f>BS20*(1+(ExpenseGrowth/12))</f>
        <v/>
      </c>
      <c r="BU20" s="206">
        <f>BT20*(1+(ExpenseGrowth/12))</f>
        <v/>
      </c>
      <c r="BV20" s="206">
        <f>BU20*(1+(ExpenseGrowth/12))</f>
        <v/>
      </c>
      <c r="BW20" s="206">
        <f>BV20*(1+(ExpenseGrowth/12))</f>
        <v/>
      </c>
      <c r="BX20" s="206">
        <f>BW20*(1+(ExpenseGrowth/12))</f>
        <v/>
      </c>
      <c r="BY20" s="206">
        <f>BX20*(1+(ExpenseGrowth/12))</f>
        <v/>
      </c>
      <c r="BZ20" s="206">
        <f>BY20*(1+(ExpenseGrowth/12))</f>
        <v/>
      </c>
      <c r="CA20" s="206">
        <f>BZ20*(1+(ExpenseGrowth/12))</f>
        <v/>
      </c>
      <c r="CB20" s="206">
        <f>CA20*(1+(ExpenseGrowth/12))</f>
        <v/>
      </c>
      <c r="CC20" s="206">
        <f>CB20*(1+(ExpenseGrowth/12))</f>
        <v/>
      </c>
      <c r="CD20" s="206">
        <f>CC20*(1+(ExpenseGrowth/12))</f>
        <v/>
      </c>
      <c r="CE20" s="206">
        <f>CD20*(1+(ExpenseGrowth/12))</f>
        <v/>
      </c>
      <c r="CF20" s="206">
        <f>CE20*(1+(ExpenseGrowth/12))</f>
        <v/>
      </c>
      <c r="CG20" s="206">
        <f>CF20*(1+(ExpenseGrowth/12))</f>
        <v/>
      </c>
      <c r="CH20" s="206">
        <f>CG20*(1+(ExpenseGrowth/12))</f>
        <v/>
      </c>
      <c r="CI20" s="206">
        <f>CH20*(1+(ExpenseGrowth/12))</f>
        <v/>
      </c>
      <c r="CJ20" s="206">
        <f>CI20*(1+(ExpenseGrowth/12))</f>
        <v/>
      </c>
      <c r="CK20" s="206">
        <f>CJ20*(1+(ExpenseGrowth/12))</f>
        <v/>
      </c>
      <c r="CL20" s="206">
        <f>CK20*(1+(ExpenseGrowth/12))</f>
        <v/>
      </c>
      <c r="CM20" s="206">
        <f>CL20*(1+(ExpenseGrowth/12))</f>
        <v/>
      </c>
      <c r="CN20" s="206">
        <f>CM20*(1+(ExpenseGrowth/12))</f>
        <v/>
      </c>
      <c r="CO20" s="206">
        <f>CN20*(1+(ExpenseGrowth/12))</f>
        <v/>
      </c>
      <c r="CP20" s="206">
        <f>CO20*(1+(ExpenseGrowth/12))</f>
        <v/>
      </c>
      <c r="CQ20" s="206">
        <f>CP20*(1+(ExpenseGrowth/12))</f>
        <v/>
      </c>
      <c r="CR20" s="206">
        <f>CQ20*(1+(ExpenseGrowth/12))</f>
        <v/>
      </c>
      <c r="CS20" s="206">
        <f>CR20*(1+(ExpenseGrowth/12))</f>
        <v/>
      </c>
      <c r="CT20" s="206">
        <f>CS20*(1+(ExpenseGrowth/12))</f>
        <v/>
      </c>
      <c r="CU20" s="206">
        <f>CT20*(1+(ExpenseGrowth/12))</f>
        <v/>
      </c>
      <c r="CV20" s="206">
        <f>CU20*(1+(ExpenseGrowth/12))</f>
        <v/>
      </c>
      <c r="CW20" s="206">
        <f>CV20*(1+(ExpenseGrowth/12))</f>
        <v/>
      </c>
      <c r="CX20" s="206">
        <f>CW20*(1+(ExpenseGrowth/12))</f>
        <v/>
      </c>
      <c r="CY20" s="206">
        <f>CX20*(1+(ExpenseGrowth/12))</f>
        <v/>
      </c>
      <c r="CZ20" s="206">
        <f>CY20*(1+(ExpenseGrowth/12))</f>
        <v/>
      </c>
      <c r="DA20" s="206">
        <f>CZ20*(1+(ExpenseGrowth/12))</f>
        <v/>
      </c>
      <c r="DB20" s="206">
        <f>DA20*(1+(ExpenseGrowth/12))</f>
        <v/>
      </c>
      <c r="DC20" s="206">
        <f>DB20*(1+(ExpenseGrowth/12))</f>
        <v/>
      </c>
      <c r="DD20" s="206">
        <f>DC20*(1+(ExpenseGrowth/12))</f>
        <v/>
      </c>
      <c r="DE20" s="206">
        <f>DD20*(1+(ExpenseGrowth/12))</f>
        <v/>
      </c>
      <c r="DF20" s="206">
        <f>DE20*(1+(ExpenseGrowth/12))</f>
        <v/>
      </c>
      <c r="DG20" s="206">
        <f>DF20*(1+(ExpenseGrowth/12))</f>
        <v/>
      </c>
      <c r="DH20" s="206">
        <f>DG20*(1+(ExpenseGrowth/12))</f>
        <v/>
      </c>
      <c r="DI20" s="206">
        <f>DH20*(1+(ExpenseGrowth/12))</f>
        <v/>
      </c>
      <c r="DJ20" s="206">
        <f>DI20*(1+(ExpenseGrowth/12))</f>
        <v/>
      </c>
      <c r="DK20" s="206">
        <f>DJ20*(1+(ExpenseGrowth/12))</f>
        <v/>
      </c>
      <c r="DL20" s="206">
        <f>DK20*(1+(ExpenseGrowth/12))</f>
        <v/>
      </c>
      <c r="DM20" s="206">
        <f>DL20*(1+(ExpenseGrowth/12))</f>
        <v/>
      </c>
      <c r="DN20" s="206">
        <f>DM20*(1+(ExpenseGrowth/12))</f>
        <v/>
      </c>
      <c r="DO20" s="206">
        <f>DN20*(1+(ExpenseGrowth/12))</f>
        <v/>
      </c>
      <c r="DP20" s="206">
        <f>DO20*(1+(ExpenseGrowth/12))</f>
        <v/>
      </c>
      <c r="DQ20" s="206">
        <f>DP20*(1+(ExpenseGrowth/12))</f>
        <v/>
      </c>
      <c r="DR20" s="206">
        <f>DQ20*(1+(ExpenseGrowth/12))</f>
        <v/>
      </c>
      <c r="DS20" s="206">
        <f>DR20*(1+(ExpenseGrowth/12))</f>
        <v/>
      </c>
      <c r="DT20" s="206">
        <f>DS20*(1+(ExpenseGrowth/12))</f>
        <v/>
      </c>
    </row>
    <row r="21">
      <c r="B21" s="1" t="inlineStr">
        <is>
          <t>(-) Advertising, Admin &amp; Payroll</t>
        </is>
      </c>
      <c r="C21" s="32" t="n"/>
      <c r="D21" s="300">
        <f>'Inputs &amp; Summary'!G18</f>
        <v/>
      </c>
      <c r="E21" s="298">
        <f>IF(MONTH(E$6)=1, D21*(1+ExpenseGrowth),D21)</f>
        <v/>
      </c>
      <c r="F21" s="298">
        <f>IF(MONTH(F$6)=1, E21*(1+ExpenseGrowth),E21)</f>
        <v/>
      </c>
      <c r="G21" s="298">
        <f>IF(MONTH(G$6)=1, F21*(1+ExpenseGrowth),F21)</f>
        <v/>
      </c>
      <c r="H21" s="298">
        <f>IF(MONTH(H$6)=1, G21*(1+ExpenseGrowth),G21)</f>
        <v/>
      </c>
      <c r="I21" s="298">
        <f>IF(MONTH(I$6)=1, H21*(1+ExpenseGrowth),H21)</f>
        <v/>
      </c>
      <c r="J21" s="298">
        <f>IF(MONTH(J$6)=1, I21*(1+ExpenseGrowth),I21)</f>
        <v/>
      </c>
      <c r="K21" s="298">
        <f>IF(MONTH(K$6)=1, J21*(1+ExpenseGrowth),J21)</f>
        <v/>
      </c>
      <c r="L21" s="298">
        <f>IF(MONTH(L$6)=1, K21*(1+ExpenseGrowth),K21)</f>
        <v/>
      </c>
      <c r="M21" s="298">
        <f>IF(MONTH(M$6)=1, L21*(1+ExpenseGrowth),L21)</f>
        <v/>
      </c>
      <c r="N21" s="298">
        <f>IF(MONTH(N$6)=1, M21*(1+ExpenseGrowth),M21)</f>
        <v/>
      </c>
      <c r="O21" s="298">
        <f>IF(MONTH(O$6)=1, N21*(1+ExpenseGrowth),N21)</f>
        <v/>
      </c>
      <c r="P21" s="298">
        <f>IF(MONTH(P$6)=1, O21*(1+ExpenseGrowth),O21)</f>
        <v/>
      </c>
      <c r="Q21" s="298">
        <f>IF(MONTH(Q$6)=1, P21*(1+ExpenseGrowth),P21)</f>
        <v/>
      </c>
      <c r="R21" s="298">
        <f>IF(MONTH(R$6)=1, Q21*(1+ExpenseGrowth),Q21)</f>
        <v/>
      </c>
      <c r="S21" s="298">
        <f>IF(MONTH(S$6)=1, R21*(1+ExpenseGrowth),R21)</f>
        <v/>
      </c>
      <c r="T21" s="298">
        <f>IF(MONTH(T$6)=1, S21*(1+ExpenseGrowth),S21)</f>
        <v/>
      </c>
      <c r="U21" s="298">
        <f>IF(MONTH(U$6)=1, T21*(1+ExpenseGrowth),T21)</f>
        <v/>
      </c>
      <c r="V21" s="298">
        <f>IF(MONTH(V$6)=1, U21*(1+ExpenseGrowth),U21)</f>
        <v/>
      </c>
      <c r="W21" s="298">
        <f>IF(MONTH(W$6)=1, V21*(1+ExpenseGrowth),V21)</f>
        <v/>
      </c>
      <c r="X21" s="298">
        <f>IF(MONTH(X$6)=1, W21*(1+ExpenseGrowth),W21)</f>
        <v/>
      </c>
      <c r="Y21" s="298">
        <f>IF(MONTH(Y$6)=1, X21*(1+ExpenseGrowth),X21)</f>
        <v/>
      </c>
      <c r="Z21" s="298">
        <f>IF(MONTH(Z$6)=1, Y21*(1+ExpenseGrowth),Y21)</f>
        <v/>
      </c>
      <c r="AA21" s="298">
        <f>IF(MONTH(AA$6)=1, Z21*(1+ExpenseGrowth),Z21)</f>
        <v/>
      </c>
      <c r="AB21" s="298">
        <f>IF(MONTH(AB$6)=1, AA21*(1+ExpenseGrowth),AA21)</f>
        <v/>
      </c>
      <c r="AC21" s="298">
        <f>IF(MONTH(AC$6)=1, AB21*(1+ExpenseGrowth),AB21)</f>
        <v/>
      </c>
      <c r="AD21" s="298">
        <f>IF(MONTH(AD$6)=1, AC21*(1+ExpenseGrowth),AC21)</f>
        <v/>
      </c>
      <c r="AE21" s="298">
        <f>IF(MONTH(AE$6)=1, AD21*(1+ExpenseGrowth),AD21)</f>
        <v/>
      </c>
      <c r="AF21" s="298">
        <f>IF(MONTH(AF$6)=1, AE21*(1+ExpenseGrowth),AE21)</f>
        <v/>
      </c>
      <c r="AG21" s="298">
        <f>IF(MONTH(AG$6)=1, AF21*(1+ExpenseGrowth),AF21)</f>
        <v/>
      </c>
      <c r="AH21" s="298">
        <f>IF(MONTH(AH$6)=1, AG21*(1+ExpenseGrowth),AG21)</f>
        <v/>
      </c>
      <c r="AI21" s="298">
        <f>IF(MONTH(AI$6)=1, AH21*(1+ExpenseGrowth),AH21)</f>
        <v/>
      </c>
      <c r="AJ21" s="298">
        <f>IF(MONTH(AJ$6)=1, AI21*(1+ExpenseGrowth),AI21)</f>
        <v/>
      </c>
      <c r="AK21" s="298">
        <f>IF(MONTH(AK$6)=1, AJ21*(1+ExpenseGrowth),AJ21)</f>
        <v/>
      </c>
      <c r="AL21" s="298">
        <f>IF(MONTH(AL$6)=1, AK21*(1+ExpenseGrowth),AK21)</f>
        <v/>
      </c>
      <c r="AM21" s="298">
        <f>IF(MONTH(AM$6)=1, AL21*(1+ExpenseGrowth),AL21)</f>
        <v/>
      </c>
      <c r="AN21" s="298">
        <f>IF(MONTH(AN$6)=1, AM21*(1+ExpenseGrowth),AM21)</f>
        <v/>
      </c>
      <c r="AO21" s="298">
        <f>IF(MONTH(AO$6)=1, AN21*(1+ExpenseGrowth),AN21)</f>
        <v/>
      </c>
      <c r="AP21" s="298">
        <f>IF(MONTH(AP$6)=1, AO21*(1+ExpenseGrowth),AO21)</f>
        <v/>
      </c>
      <c r="AQ21" s="298">
        <f>IF(MONTH(AQ$6)=1, AP21*(1+ExpenseGrowth),AP21)</f>
        <v/>
      </c>
      <c r="AR21" s="298">
        <f>IF(MONTH(AR$6)=1, AQ21*(1+ExpenseGrowth),AQ21)</f>
        <v/>
      </c>
      <c r="AS21" s="298">
        <f>IF(MONTH(AS$6)=1, AR21*(1+ExpenseGrowth),AR21)</f>
        <v/>
      </c>
      <c r="AT21" s="298">
        <f>IF(MONTH(AT$6)=1, AS21*(1+ExpenseGrowth),AS21)</f>
        <v/>
      </c>
      <c r="AU21" s="298">
        <f>IF(MONTH(AU$6)=1, AT21*(1+ExpenseGrowth),AT21)</f>
        <v/>
      </c>
      <c r="AV21" s="298">
        <f>IF(MONTH(AV$6)=1, AU21*(1+ExpenseGrowth),AU21)</f>
        <v/>
      </c>
      <c r="AW21" s="298">
        <f>IF(MONTH(AW$6)=1, AV21*(1+ExpenseGrowth),AV21)</f>
        <v/>
      </c>
      <c r="AX21" s="298">
        <f>IF(MONTH(AX$6)=1, AW21*(1+ExpenseGrowth),AW21)</f>
        <v/>
      </c>
      <c r="AY21" s="298">
        <f>IF(MONTH(AY$6)=1, AX21*(1+ExpenseGrowth),AX21)</f>
        <v/>
      </c>
      <c r="AZ21" s="298">
        <f>IF(MONTH(AZ$6)=1, AY21*(1+ExpenseGrowth),AY21)</f>
        <v/>
      </c>
      <c r="BA21" s="298">
        <f>IF(MONTH(BA$6)=1, AZ21*(1+ExpenseGrowth),AZ21)</f>
        <v/>
      </c>
      <c r="BB21" s="298">
        <f>IF(MONTH(BB$6)=1, BA21*(1+ExpenseGrowth),BA21)</f>
        <v/>
      </c>
      <c r="BC21" s="298">
        <f>IF(MONTH(BC$6)=1, BB21*(1+ExpenseGrowth),BB21)</f>
        <v/>
      </c>
      <c r="BD21" s="298">
        <f>IF(MONTH(BD$6)=1, BC21*(1+ExpenseGrowth),BC21)</f>
        <v/>
      </c>
      <c r="BE21" s="298">
        <f>IF(MONTH(BE$6)=1, BD21*(1+ExpenseGrowth),BD21)</f>
        <v/>
      </c>
      <c r="BF21" s="298">
        <f>IF(MONTH(BF$6)=1, BE21*(1+ExpenseGrowth),BE21)</f>
        <v/>
      </c>
      <c r="BG21" s="298">
        <f>IF(MONTH(BG$6)=1, BF21*(1+ExpenseGrowth),BF21)</f>
        <v/>
      </c>
      <c r="BH21" s="298">
        <f>IF(MONTH(BH$6)=1, BG21*(1+ExpenseGrowth),BG21)</f>
        <v/>
      </c>
      <c r="BI21" s="298">
        <f>IF(MONTH(BI$6)=1, BH21*(1+ExpenseGrowth),BH21)</f>
        <v/>
      </c>
      <c r="BJ21" s="298">
        <f>IF(MONTH(BJ$6)=1, BI21*(1+ExpenseGrowth),BI21)</f>
        <v/>
      </c>
      <c r="BK21" s="298">
        <f>IF(MONTH(BK$6)=1, BJ21*(1+ExpenseGrowth),BJ21)</f>
        <v/>
      </c>
      <c r="BL21" s="298">
        <f>IF(MONTH(BL$6)=1, BK21*(1+ExpenseGrowth),BK21)</f>
        <v/>
      </c>
      <c r="BM21" s="298">
        <f>IF(MONTH(BM$6)=1, BL21*(1+ExpenseGrowth),BL21)</f>
        <v/>
      </c>
      <c r="BN21" s="298">
        <f>IF(MONTH(BN$6)=1, BM21*(1+ExpenseGrowth),BM21)</f>
        <v/>
      </c>
      <c r="BO21" s="298">
        <f>IF(MONTH(BO$6)=1, BN21*(1+ExpenseGrowth),BN21)</f>
        <v/>
      </c>
      <c r="BP21" s="298">
        <f>IF(MONTH(BP$6)=1, BO21*(1+ExpenseGrowth),BO21)</f>
        <v/>
      </c>
      <c r="BQ21" s="298">
        <f>IF(MONTH(BQ$6)=1, BP21*(1+ExpenseGrowth),BP21)</f>
        <v/>
      </c>
      <c r="BR21" s="298">
        <f>IF(MONTH(BR$6)=1, BQ21*(1+ExpenseGrowth),BQ21)</f>
        <v/>
      </c>
      <c r="BS21" s="298">
        <f>IF(MONTH(BS$6)=1, BR21*(1+ExpenseGrowth),BR21)</f>
        <v/>
      </c>
      <c r="BT21" s="298">
        <f>IF(MONTH(BT$6)=1, BS21*(1+ExpenseGrowth),BS21)</f>
        <v/>
      </c>
      <c r="BU21" s="298">
        <f>IF(MONTH(BU$6)=1, BT21*(1+ExpenseGrowth),BT21)</f>
        <v/>
      </c>
      <c r="BV21" s="298">
        <f>IF(MONTH(BV$6)=1, BU21*(1+ExpenseGrowth),BU21)</f>
        <v/>
      </c>
      <c r="BW21" s="298">
        <f>IF(MONTH(BW$6)=1, BV21*(1+ExpenseGrowth),BV21)</f>
        <v/>
      </c>
      <c r="BX21" s="298">
        <f>IF(MONTH(BX$6)=1, BW21*(1+ExpenseGrowth),BW21)</f>
        <v/>
      </c>
      <c r="BY21" s="298">
        <f>IF(MONTH(BY$6)=1, BX21*(1+ExpenseGrowth),BX21)</f>
        <v/>
      </c>
      <c r="BZ21" s="298">
        <f>IF(MONTH(BZ$6)=1, BY21*(1+ExpenseGrowth),BY21)</f>
        <v/>
      </c>
      <c r="CA21" s="298">
        <f>IF(MONTH(CA$6)=1, BZ21*(1+ExpenseGrowth),BZ21)</f>
        <v/>
      </c>
      <c r="CB21" s="298">
        <f>IF(MONTH(CB$6)=1, CA21*(1+ExpenseGrowth),CA21)</f>
        <v/>
      </c>
      <c r="CC21" s="298">
        <f>IF(MONTH(CC$6)=1, CB21*(1+ExpenseGrowth),CB21)</f>
        <v/>
      </c>
      <c r="CD21" s="298">
        <f>IF(MONTH(CD$6)=1, CC21*(1+ExpenseGrowth),CC21)</f>
        <v/>
      </c>
      <c r="CE21" s="298">
        <f>IF(MONTH(CE$6)=1, CD21*(1+ExpenseGrowth),CD21)</f>
        <v/>
      </c>
      <c r="CF21" s="298">
        <f>IF(MONTH(CF$6)=1, CE21*(1+ExpenseGrowth),CE21)</f>
        <v/>
      </c>
      <c r="CG21" s="298">
        <f>IF(MONTH(CG$6)=1, CF21*(1+ExpenseGrowth),CF21)</f>
        <v/>
      </c>
      <c r="CH21" s="298">
        <f>IF(MONTH(CH$6)=1, CG21*(1+ExpenseGrowth),CG21)</f>
        <v/>
      </c>
      <c r="CI21" s="298">
        <f>IF(MONTH(CI$6)=1, CH21*(1+ExpenseGrowth),CH21)</f>
        <v/>
      </c>
      <c r="CJ21" s="298">
        <f>IF(MONTH(CJ$6)=1, CI21*(1+ExpenseGrowth),CI21)</f>
        <v/>
      </c>
      <c r="CK21" s="298">
        <f>IF(MONTH(CK$6)=1, CJ21*(1+ExpenseGrowth),CJ21)</f>
        <v/>
      </c>
      <c r="CL21" s="298">
        <f>IF(MONTH(CL$6)=1, CK21*(1+ExpenseGrowth),CK21)</f>
        <v/>
      </c>
      <c r="CM21" s="298">
        <f>IF(MONTH(CM$6)=1, CL21*(1+ExpenseGrowth),CL21)</f>
        <v/>
      </c>
      <c r="CN21" s="298">
        <f>IF(MONTH(CN$6)=1, CM21*(1+ExpenseGrowth),CM21)</f>
        <v/>
      </c>
      <c r="CO21" s="298">
        <f>IF(MONTH(CO$6)=1, CN21*(1+ExpenseGrowth),CN21)</f>
        <v/>
      </c>
      <c r="CP21" s="298">
        <f>IF(MONTH(CP$6)=1, CO21*(1+ExpenseGrowth),CO21)</f>
        <v/>
      </c>
      <c r="CQ21" s="298">
        <f>IF(MONTH(CQ$6)=1, CP21*(1+ExpenseGrowth),CP21)</f>
        <v/>
      </c>
      <c r="CR21" s="298">
        <f>IF(MONTH(CR$6)=1, CQ21*(1+ExpenseGrowth),CQ21)</f>
        <v/>
      </c>
      <c r="CS21" s="298">
        <f>IF(MONTH(CS$6)=1, CR21*(1+ExpenseGrowth),CR21)</f>
        <v/>
      </c>
      <c r="CT21" s="298">
        <f>IF(MONTH(CT$6)=1, CS21*(1+ExpenseGrowth),CS21)</f>
        <v/>
      </c>
      <c r="CU21" s="298">
        <f>IF(MONTH(CU$6)=1, CT21*(1+ExpenseGrowth),CT21)</f>
        <v/>
      </c>
      <c r="CV21" s="298">
        <f>IF(MONTH(CV$6)=1, CU21*(1+ExpenseGrowth),CU21)</f>
        <v/>
      </c>
      <c r="CW21" s="298">
        <f>IF(MONTH(CW$6)=1, CV21*(1+ExpenseGrowth),CV21)</f>
        <v/>
      </c>
      <c r="CX21" s="298">
        <f>IF(MONTH(CX$6)=1, CW21*(1+ExpenseGrowth),CW21)</f>
        <v/>
      </c>
      <c r="CY21" s="298">
        <f>IF(MONTH(CY$6)=1, CX21*(1+ExpenseGrowth),CX21)</f>
        <v/>
      </c>
      <c r="CZ21" s="298">
        <f>IF(MONTH(CZ$6)=1, CY21*(1+ExpenseGrowth),CY21)</f>
        <v/>
      </c>
      <c r="DA21" s="298">
        <f>IF(MONTH(DA$6)=1, CZ21*(1+ExpenseGrowth),CZ21)</f>
        <v/>
      </c>
      <c r="DB21" s="298">
        <f>IF(MONTH(DB$6)=1, DA21*(1+ExpenseGrowth),DA21)</f>
        <v/>
      </c>
      <c r="DC21" s="298">
        <f>IF(MONTH(DC$6)=1, DB21*(1+ExpenseGrowth),DB21)</f>
        <v/>
      </c>
      <c r="DD21" s="298">
        <f>IF(MONTH(DD$6)=1, DC21*(1+ExpenseGrowth),DC21)</f>
        <v/>
      </c>
      <c r="DE21" s="298">
        <f>IF(MONTH(DE$6)=1, DD21*(1+ExpenseGrowth),DD21)</f>
        <v/>
      </c>
      <c r="DF21" s="298">
        <f>IF(MONTH(DF$6)=1, DE21*(1+ExpenseGrowth),DE21)</f>
        <v/>
      </c>
      <c r="DG21" s="298">
        <f>IF(MONTH(DG$6)=1, DF21*(1+ExpenseGrowth),DF21)</f>
        <v/>
      </c>
      <c r="DH21" s="298">
        <f>IF(MONTH(DH$6)=1, DG21*(1+ExpenseGrowth),DG21)</f>
        <v/>
      </c>
      <c r="DI21" s="298">
        <f>IF(MONTH(DI$6)=1, DH21*(1+ExpenseGrowth),DH21)</f>
        <v/>
      </c>
      <c r="DJ21" s="298">
        <f>IF(MONTH(DJ$6)=1, DI21*(1+ExpenseGrowth),DI21)</f>
        <v/>
      </c>
      <c r="DK21" s="298">
        <f>IF(MONTH(DK$6)=1, DJ21*(1+ExpenseGrowth),DJ21)</f>
        <v/>
      </c>
      <c r="DL21" s="298">
        <f>IF(MONTH(DL$6)=1, DK21*(1+ExpenseGrowth),DK21)</f>
        <v/>
      </c>
      <c r="DM21" s="298">
        <f>IF(MONTH(DM$6)=1, DL21*(1+ExpenseGrowth),DL21)</f>
        <v/>
      </c>
      <c r="DN21" s="298">
        <f>IF(MONTH(DN$6)=1, DM21*(1+ExpenseGrowth),DM21)</f>
        <v/>
      </c>
      <c r="DO21" s="298">
        <f>IF(MONTH(DO$6)=1, DN21*(1+ExpenseGrowth),DN21)</f>
        <v/>
      </c>
      <c r="DP21" s="298">
        <f>IF(MONTH(DP$6)=1, DO21*(1+ExpenseGrowth),DO21)</f>
        <v/>
      </c>
      <c r="DQ21" s="298">
        <f>IF(MONTH(DQ$6)=1, DP21*(1+ExpenseGrowth),DP21)</f>
        <v/>
      </c>
      <c r="DR21" s="298">
        <f>IF(MONTH(DR$6)=1, DQ21*(1+ExpenseGrowth),DQ21)</f>
        <v/>
      </c>
      <c r="DS21" s="298">
        <f>IF(MONTH(DS$6)=1, DR21*(1+ExpenseGrowth),DR21)</f>
        <v/>
      </c>
      <c r="DT21" s="298">
        <f>IF(MONTH(DT$6)=1, DS21*(1+ExpenseGrowth),DS21)</f>
        <v/>
      </c>
    </row>
    <row r="22">
      <c r="B22" s="14" t="inlineStr">
        <is>
          <t>Net Operating Income</t>
        </is>
      </c>
      <c r="C22" s="33" t="n"/>
      <c r="D22" s="31" t="n"/>
      <c r="E22" s="301">
        <f>E15+SUM(E16:E21)</f>
        <v/>
      </c>
      <c r="F22" s="301">
        <f>F15+SUM(F16:F21)</f>
        <v/>
      </c>
      <c r="G22" s="301">
        <f>G15+SUM(G16:G21)</f>
        <v/>
      </c>
      <c r="H22" s="301">
        <f>H15+SUM(H16:H21)</f>
        <v/>
      </c>
      <c r="I22" s="301">
        <f>I15+SUM(I16:I21)</f>
        <v/>
      </c>
      <c r="J22" s="301">
        <f>J15+SUM(J16:J21)</f>
        <v/>
      </c>
      <c r="K22" s="301">
        <f>K15+SUM(K16:K21)</f>
        <v/>
      </c>
      <c r="L22" s="301">
        <f>L15+SUM(L16:L21)</f>
        <v/>
      </c>
      <c r="M22" s="301">
        <f>M15+SUM(M16:M21)</f>
        <v/>
      </c>
      <c r="N22" s="301">
        <f>N15+SUM(N16:N21)</f>
        <v/>
      </c>
      <c r="O22" s="301">
        <f>O15+SUM(O16:O21)</f>
        <v/>
      </c>
      <c r="P22" s="301">
        <f>P15+SUM(P16:P21)</f>
        <v/>
      </c>
      <c r="Q22" s="301">
        <f>Q15+SUM(Q16:Q21)</f>
        <v/>
      </c>
      <c r="R22" s="301">
        <f>R15+SUM(R16:R21)</f>
        <v/>
      </c>
      <c r="S22" s="301">
        <f>S15+SUM(S16:S21)</f>
        <v/>
      </c>
      <c r="T22" s="301">
        <f>T15+SUM(T16:T21)</f>
        <v/>
      </c>
      <c r="U22" s="301">
        <f>U15+SUM(U16:U21)</f>
        <v/>
      </c>
      <c r="V22" s="301">
        <f>V15+SUM(V16:V21)</f>
        <v/>
      </c>
      <c r="W22" s="301">
        <f>W15+SUM(W16:W21)</f>
        <v/>
      </c>
      <c r="X22" s="301">
        <f>X15+SUM(X16:X21)</f>
        <v/>
      </c>
      <c r="Y22" s="301">
        <f>Y15+SUM(Y16:Y21)</f>
        <v/>
      </c>
      <c r="Z22" s="301">
        <f>Z15+SUM(Z16:Z21)</f>
        <v/>
      </c>
      <c r="AA22" s="301">
        <f>AA15+SUM(AA16:AA21)</f>
        <v/>
      </c>
      <c r="AB22" s="301">
        <f>AB15+SUM(AB16:AB21)</f>
        <v/>
      </c>
      <c r="AC22" s="301">
        <f>AC15+SUM(AC16:AC21)</f>
        <v/>
      </c>
      <c r="AD22" s="301">
        <f>AD15+SUM(AD16:AD21)</f>
        <v/>
      </c>
      <c r="AE22" s="301">
        <f>AE15+SUM(AE16:AE21)</f>
        <v/>
      </c>
      <c r="AF22" s="301">
        <f>AF15+SUM(AF16:AF21)</f>
        <v/>
      </c>
      <c r="AG22" s="301">
        <f>AG15+SUM(AG16:AG21)</f>
        <v/>
      </c>
      <c r="AH22" s="301">
        <f>AH15+SUM(AH16:AH21)</f>
        <v/>
      </c>
      <c r="AI22" s="301">
        <f>AI15+SUM(AI16:AI21)</f>
        <v/>
      </c>
      <c r="AJ22" s="301">
        <f>AJ15+SUM(AJ16:AJ21)</f>
        <v/>
      </c>
      <c r="AK22" s="301">
        <f>AK15+SUM(AK16:AK21)</f>
        <v/>
      </c>
      <c r="AL22" s="301">
        <f>AL15+SUM(AL16:AL21)</f>
        <v/>
      </c>
      <c r="AM22" s="301">
        <f>AM15+SUM(AM16:AM21)</f>
        <v/>
      </c>
      <c r="AN22" s="301">
        <f>AN15+SUM(AN16:AN21)</f>
        <v/>
      </c>
      <c r="AO22" s="301">
        <f>AO15+SUM(AO16:AO21)</f>
        <v/>
      </c>
      <c r="AP22" s="301">
        <f>AP15+SUM(AP16:AP21)</f>
        <v/>
      </c>
      <c r="AQ22" s="301">
        <f>AQ15+SUM(AQ16:AQ21)</f>
        <v/>
      </c>
      <c r="AR22" s="301">
        <f>AR15+SUM(AR16:AR21)</f>
        <v/>
      </c>
      <c r="AS22" s="301">
        <f>AS15+SUM(AS16:AS21)</f>
        <v/>
      </c>
      <c r="AT22" s="301">
        <f>AT15+SUM(AT16:AT21)</f>
        <v/>
      </c>
      <c r="AU22" s="301">
        <f>AU15+SUM(AU16:AU21)</f>
        <v/>
      </c>
      <c r="AV22" s="301">
        <f>AV15+SUM(AV16:AV21)</f>
        <v/>
      </c>
      <c r="AW22" s="301">
        <f>AW15+SUM(AW16:AW21)</f>
        <v/>
      </c>
      <c r="AX22" s="301">
        <f>AX15+SUM(AX16:AX21)</f>
        <v/>
      </c>
      <c r="AY22" s="301">
        <f>AY15+SUM(AY16:AY21)</f>
        <v/>
      </c>
      <c r="AZ22" s="301">
        <f>AZ15+SUM(AZ16:AZ21)</f>
        <v/>
      </c>
      <c r="BA22" s="301">
        <f>BA15+SUM(BA16:BA21)</f>
        <v/>
      </c>
      <c r="BB22" s="301">
        <f>BB15+SUM(BB16:BB21)</f>
        <v/>
      </c>
      <c r="BC22" s="301">
        <f>BC15+SUM(BC16:BC21)</f>
        <v/>
      </c>
      <c r="BD22" s="301">
        <f>BD15+SUM(BD16:BD21)</f>
        <v/>
      </c>
      <c r="BE22" s="301">
        <f>BE15+SUM(BE16:BE21)</f>
        <v/>
      </c>
      <c r="BF22" s="301">
        <f>BF15+SUM(BF16:BF21)</f>
        <v/>
      </c>
      <c r="BG22" s="301">
        <f>BG15+SUM(BG16:BG21)</f>
        <v/>
      </c>
      <c r="BH22" s="301">
        <f>BH15+SUM(BH16:BH21)</f>
        <v/>
      </c>
      <c r="BI22" s="301">
        <f>BI15+SUM(BI16:BI21)</f>
        <v/>
      </c>
      <c r="BJ22" s="301">
        <f>BJ15+SUM(BJ16:BJ21)</f>
        <v/>
      </c>
      <c r="BK22" s="301">
        <f>BK15+SUM(BK16:BK21)</f>
        <v/>
      </c>
      <c r="BL22" s="301">
        <f>BL15+SUM(BL16:BL21)</f>
        <v/>
      </c>
      <c r="BM22" s="301">
        <f>BM15+SUM(BM16:BM21)</f>
        <v/>
      </c>
      <c r="BN22" s="301">
        <f>BN15+SUM(BN16:BN21)</f>
        <v/>
      </c>
      <c r="BO22" s="301">
        <f>BO15+SUM(BO16:BO21)</f>
        <v/>
      </c>
      <c r="BP22" s="301">
        <f>BP15+SUM(BP16:BP21)</f>
        <v/>
      </c>
      <c r="BQ22" s="301">
        <f>BQ15+SUM(BQ16:BQ21)</f>
        <v/>
      </c>
      <c r="BR22" s="301">
        <f>BR15+SUM(BR16:BR21)</f>
        <v/>
      </c>
      <c r="BS22" s="301">
        <f>BS15+SUM(BS16:BS21)</f>
        <v/>
      </c>
      <c r="BT22" s="301">
        <f>BT15+SUM(BT16:BT21)</f>
        <v/>
      </c>
      <c r="BU22" s="301">
        <f>BU15+SUM(BU16:BU21)</f>
        <v/>
      </c>
      <c r="BV22" s="301">
        <f>BV15+SUM(BV16:BV21)</f>
        <v/>
      </c>
      <c r="BW22" s="301">
        <f>BW15+SUM(BW16:BW21)</f>
        <v/>
      </c>
      <c r="BX22" s="301">
        <f>BX15+SUM(BX16:BX21)</f>
        <v/>
      </c>
      <c r="BY22" s="301">
        <f>BY15+SUM(BY16:BY21)</f>
        <v/>
      </c>
      <c r="BZ22" s="301">
        <f>BZ15+SUM(BZ16:BZ21)</f>
        <v/>
      </c>
      <c r="CA22" s="301">
        <f>CA15+SUM(CA16:CA21)</f>
        <v/>
      </c>
      <c r="CB22" s="301">
        <f>CB15+SUM(CB16:CB21)</f>
        <v/>
      </c>
      <c r="CC22" s="301">
        <f>CC15+SUM(CC16:CC21)</f>
        <v/>
      </c>
      <c r="CD22" s="301">
        <f>CD15+SUM(CD16:CD21)</f>
        <v/>
      </c>
      <c r="CE22" s="301">
        <f>CE15+SUM(CE16:CE21)</f>
        <v/>
      </c>
      <c r="CF22" s="301">
        <f>CF15+SUM(CF16:CF21)</f>
        <v/>
      </c>
      <c r="CG22" s="301">
        <f>CG15+SUM(CG16:CG21)</f>
        <v/>
      </c>
      <c r="CH22" s="301">
        <f>CH15+SUM(CH16:CH21)</f>
        <v/>
      </c>
      <c r="CI22" s="301">
        <f>CI15+SUM(CI16:CI21)</f>
        <v/>
      </c>
      <c r="CJ22" s="301">
        <f>CJ15+SUM(CJ16:CJ21)</f>
        <v/>
      </c>
      <c r="CK22" s="301">
        <f>CK15+SUM(CK16:CK21)</f>
        <v/>
      </c>
      <c r="CL22" s="301">
        <f>CL15+SUM(CL16:CL21)</f>
        <v/>
      </c>
      <c r="CM22" s="301">
        <f>CM15+SUM(CM16:CM21)</f>
        <v/>
      </c>
      <c r="CN22" s="301">
        <f>CN15+SUM(CN16:CN21)</f>
        <v/>
      </c>
      <c r="CO22" s="301">
        <f>CO15+SUM(CO16:CO21)</f>
        <v/>
      </c>
      <c r="CP22" s="301">
        <f>CP15+SUM(CP16:CP21)</f>
        <v/>
      </c>
      <c r="CQ22" s="301">
        <f>CQ15+SUM(CQ16:CQ21)</f>
        <v/>
      </c>
      <c r="CR22" s="301">
        <f>CR15+SUM(CR16:CR21)</f>
        <v/>
      </c>
      <c r="CS22" s="301">
        <f>CS15+SUM(CS16:CS21)</f>
        <v/>
      </c>
      <c r="CT22" s="301">
        <f>CT15+SUM(CT16:CT21)</f>
        <v/>
      </c>
      <c r="CU22" s="301">
        <f>CU15+SUM(CU16:CU21)</f>
        <v/>
      </c>
      <c r="CV22" s="301">
        <f>CV15+SUM(CV16:CV21)</f>
        <v/>
      </c>
      <c r="CW22" s="301">
        <f>CW15+SUM(CW16:CW21)</f>
        <v/>
      </c>
      <c r="CX22" s="301">
        <f>CX15+SUM(CX16:CX21)</f>
        <v/>
      </c>
      <c r="CY22" s="301">
        <f>CY15+SUM(CY16:CY21)</f>
        <v/>
      </c>
      <c r="CZ22" s="301">
        <f>CZ15+SUM(CZ16:CZ21)</f>
        <v/>
      </c>
      <c r="DA22" s="301">
        <f>DA15+SUM(DA16:DA21)</f>
        <v/>
      </c>
      <c r="DB22" s="301">
        <f>DB15+SUM(DB16:DB21)</f>
        <v/>
      </c>
      <c r="DC22" s="301">
        <f>DC15+SUM(DC16:DC21)</f>
        <v/>
      </c>
      <c r="DD22" s="301">
        <f>DD15+SUM(DD16:DD21)</f>
        <v/>
      </c>
      <c r="DE22" s="301">
        <f>DE15+SUM(DE16:DE21)</f>
        <v/>
      </c>
      <c r="DF22" s="301">
        <f>DF15+SUM(DF16:DF21)</f>
        <v/>
      </c>
      <c r="DG22" s="301">
        <f>DG15+SUM(DG16:DG21)</f>
        <v/>
      </c>
      <c r="DH22" s="301">
        <f>DH15+SUM(DH16:DH21)</f>
        <v/>
      </c>
      <c r="DI22" s="301">
        <f>DI15+SUM(DI16:DI21)</f>
        <v/>
      </c>
      <c r="DJ22" s="301">
        <f>DJ15+SUM(DJ16:DJ21)</f>
        <v/>
      </c>
      <c r="DK22" s="301">
        <f>DK15+SUM(DK16:DK21)</f>
        <v/>
      </c>
      <c r="DL22" s="301">
        <f>DL15+SUM(DL16:DL21)</f>
        <v/>
      </c>
      <c r="DM22" s="301">
        <f>DM15+SUM(DM16:DM21)</f>
        <v/>
      </c>
      <c r="DN22" s="301">
        <f>DN15+SUM(DN16:DN21)</f>
        <v/>
      </c>
      <c r="DO22" s="301">
        <f>DO15+SUM(DO16:DO21)</f>
        <v/>
      </c>
      <c r="DP22" s="301">
        <f>DP15+SUM(DP16:DP21)</f>
        <v/>
      </c>
      <c r="DQ22" s="301">
        <f>DQ15+SUM(DQ16:DQ21)</f>
        <v/>
      </c>
      <c r="DR22" s="301">
        <f>DR15+SUM(DR16:DR21)</f>
        <v/>
      </c>
      <c r="DS22" s="301">
        <f>DS15+SUM(DS16:DS21)</f>
        <v/>
      </c>
      <c r="DT22" s="301">
        <f>DT15+SUM(DT16:DT21)</f>
        <v/>
      </c>
    </row>
    <row r="23">
      <c r="B23" s="44" t="inlineStr">
        <is>
          <t>NOI Margin</t>
        </is>
      </c>
      <c r="C23" s="33" t="n"/>
      <c r="D23" s="31" t="n"/>
      <c r="E23" s="302">
        <f>IFERROR(E22/E12, "n/a")</f>
        <v/>
      </c>
      <c r="F23" s="302">
        <f>IFERROR(F22/F12, "n/a")</f>
        <v/>
      </c>
      <c r="G23" s="302">
        <f>IFERROR(G22/G12, "n/a")</f>
        <v/>
      </c>
      <c r="H23" s="302">
        <f>IFERROR(H22/H12, "n/a")</f>
        <v/>
      </c>
      <c r="I23" s="302">
        <f>IFERROR(I22/I12, "n/a")</f>
        <v/>
      </c>
      <c r="J23" s="302">
        <f>IFERROR(J22/J12, "n/a")</f>
        <v/>
      </c>
      <c r="K23" s="302">
        <f>IFERROR(K22/K12, "n/a")</f>
        <v/>
      </c>
      <c r="L23" s="302">
        <f>IFERROR(L22/L12, "n/a")</f>
        <v/>
      </c>
      <c r="M23" s="302">
        <f>IFERROR(M22/M12, "n/a")</f>
        <v/>
      </c>
      <c r="N23" s="302">
        <f>IFERROR(N22/N12, "n/a")</f>
        <v/>
      </c>
      <c r="O23" s="302">
        <f>IFERROR(O22/O12, "n/a")</f>
        <v/>
      </c>
      <c r="P23" s="302">
        <f>IFERROR(P22/P12, "n/a")</f>
        <v/>
      </c>
      <c r="Q23" s="302">
        <f>IFERROR(Q22/Q12, "n/a")</f>
        <v/>
      </c>
      <c r="R23" s="302">
        <f>IFERROR(R22/R12, "n/a")</f>
        <v/>
      </c>
      <c r="S23" s="302">
        <f>IFERROR(S22/S12, "n/a")</f>
        <v/>
      </c>
      <c r="T23" s="302">
        <f>IFERROR(T22/T12, "n/a")</f>
        <v/>
      </c>
      <c r="U23" s="302">
        <f>IFERROR(U22/U12, "n/a")</f>
        <v/>
      </c>
      <c r="V23" s="302">
        <f>IFERROR(V22/V12, "n/a")</f>
        <v/>
      </c>
      <c r="W23" s="302">
        <f>IFERROR(W22/W12, "n/a")</f>
        <v/>
      </c>
      <c r="X23" s="302">
        <f>IFERROR(X22/X12, "n/a")</f>
        <v/>
      </c>
      <c r="Y23" s="302">
        <f>IFERROR(Y22/Y12, "n/a")</f>
        <v/>
      </c>
      <c r="Z23" s="302">
        <f>IFERROR(Z22/Z12, "n/a")</f>
        <v/>
      </c>
      <c r="AA23" s="302">
        <f>IFERROR(AA22/AA12, "n/a")</f>
        <v/>
      </c>
      <c r="AB23" s="302">
        <f>IFERROR(AB22/AB12, "n/a")</f>
        <v/>
      </c>
      <c r="AC23" s="302">
        <f>IFERROR(AC22/AC12, "n/a")</f>
        <v/>
      </c>
      <c r="AD23" s="302">
        <f>IFERROR(AD22/AD12, "n/a")</f>
        <v/>
      </c>
      <c r="AE23" s="302">
        <f>IFERROR(AE22/AE12, "n/a")</f>
        <v/>
      </c>
      <c r="AF23" s="302">
        <f>IFERROR(AF22/AF12, "n/a")</f>
        <v/>
      </c>
      <c r="AG23" s="302">
        <f>IFERROR(AG22/AG12, "n/a")</f>
        <v/>
      </c>
      <c r="AH23" s="302">
        <f>IFERROR(AH22/AH12, "n/a")</f>
        <v/>
      </c>
      <c r="AI23" s="302">
        <f>IFERROR(AI22/AI12, "n/a")</f>
        <v/>
      </c>
      <c r="AJ23" s="302">
        <f>IFERROR(AJ22/AJ12, "n/a")</f>
        <v/>
      </c>
      <c r="AK23" s="302">
        <f>IFERROR(AK22/AK12, "n/a")</f>
        <v/>
      </c>
      <c r="AL23" s="302">
        <f>IFERROR(AL22/AL12, "n/a")</f>
        <v/>
      </c>
      <c r="AM23" s="302">
        <f>IFERROR(AM22/AM12, "n/a")</f>
        <v/>
      </c>
      <c r="AN23" s="302">
        <f>IFERROR(AN22/AN12, "n/a")</f>
        <v/>
      </c>
      <c r="AO23" s="302">
        <f>IFERROR(AO22/AO12, "n/a")</f>
        <v/>
      </c>
      <c r="AP23" s="302">
        <f>IFERROR(AP22/AP12, "n/a")</f>
        <v/>
      </c>
      <c r="AQ23" s="302">
        <f>IFERROR(AQ22/AQ12, "n/a")</f>
        <v/>
      </c>
      <c r="AR23" s="302">
        <f>IFERROR(AR22/AR12, "n/a")</f>
        <v/>
      </c>
      <c r="AS23" s="302">
        <f>IFERROR(AS22/AS12, "n/a")</f>
        <v/>
      </c>
      <c r="AT23" s="302">
        <f>IFERROR(AT22/AT12, "n/a")</f>
        <v/>
      </c>
      <c r="AU23" s="302">
        <f>IFERROR(AU22/AU12, "n/a")</f>
        <v/>
      </c>
      <c r="AV23" s="302">
        <f>IFERROR(AV22/AV12, "n/a")</f>
        <v/>
      </c>
      <c r="AW23" s="302">
        <f>IFERROR(AW22/AW12, "n/a")</f>
        <v/>
      </c>
      <c r="AX23" s="302">
        <f>IFERROR(AX22/AX12, "n/a")</f>
        <v/>
      </c>
      <c r="AY23" s="302">
        <f>IFERROR(AY22/AY12, "n/a")</f>
        <v/>
      </c>
      <c r="AZ23" s="302">
        <f>IFERROR(AZ22/AZ12, "n/a")</f>
        <v/>
      </c>
      <c r="BA23" s="302">
        <f>IFERROR(BA22/BA12, "n/a")</f>
        <v/>
      </c>
      <c r="BB23" s="302">
        <f>IFERROR(BB22/BB12, "n/a")</f>
        <v/>
      </c>
      <c r="BC23" s="302">
        <f>IFERROR(BC22/BC12, "n/a")</f>
        <v/>
      </c>
      <c r="BD23" s="302">
        <f>IFERROR(BD22/BD12, "n/a")</f>
        <v/>
      </c>
      <c r="BE23" s="302">
        <f>IFERROR(BE22/BE12, "n/a")</f>
        <v/>
      </c>
      <c r="BF23" s="302">
        <f>IFERROR(BF22/BF12, "n/a")</f>
        <v/>
      </c>
      <c r="BG23" s="302">
        <f>IFERROR(BG22/BG12, "n/a")</f>
        <v/>
      </c>
      <c r="BH23" s="302">
        <f>IFERROR(BH22/BH12, "n/a")</f>
        <v/>
      </c>
      <c r="BI23" s="302">
        <f>IFERROR(BI22/BI12, "n/a")</f>
        <v/>
      </c>
      <c r="BJ23" s="302">
        <f>IFERROR(BJ22/BJ12, "n/a")</f>
        <v/>
      </c>
      <c r="BK23" s="302">
        <f>IFERROR(BK22/BK12, "n/a")</f>
        <v/>
      </c>
      <c r="BL23" s="302">
        <f>IFERROR(BL22/BL12, "n/a")</f>
        <v/>
      </c>
      <c r="BM23" s="302">
        <f>IFERROR(BM22/BM12, "n/a")</f>
        <v/>
      </c>
      <c r="BN23" s="302">
        <f>IFERROR(BN22/BN12, "n/a")</f>
        <v/>
      </c>
      <c r="BO23" s="302">
        <f>IFERROR(BO22/BO12, "n/a")</f>
        <v/>
      </c>
      <c r="BP23" s="302">
        <f>IFERROR(BP22/BP12, "n/a")</f>
        <v/>
      </c>
      <c r="BQ23" s="302">
        <f>IFERROR(BQ22/BQ12, "n/a")</f>
        <v/>
      </c>
      <c r="BR23" s="302">
        <f>IFERROR(BR22/BR12, "n/a")</f>
        <v/>
      </c>
      <c r="BS23" s="302">
        <f>IFERROR(BS22/BS12, "n/a")</f>
        <v/>
      </c>
      <c r="BT23" s="302">
        <f>IFERROR(BT22/BT12, "n/a")</f>
        <v/>
      </c>
      <c r="BU23" s="302">
        <f>IFERROR(BU22/BU12, "n/a")</f>
        <v/>
      </c>
      <c r="BV23" s="302">
        <f>IFERROR(BV22/BV12, "n/a")</f>
        <v/>
      </c>
      <c r="BW23" s="302">
        <f>IFERROR(BW22/BW12, "n/a")</f>
        <v/>
      </c>
      <c r="BX23" s="302">
        <f>IFERROR(BX22/BX12, "n/a")</f>
        <v/>
      </c>
      <c r="BY23" s="302">
        <f>IFERROR(BY22/BY12, "n/a")</f>
        <v/>
      </c>
      <c r="BZ23" s="302">
        <f>IFERROR(BZ22/BZ12, "n/a")</f>
        <v/>
      </c>
      <c r="CA23" s="302">
        <f>IFERROR(CA22/CA12, "n/a")</f>
        <v/>
      </c>
      <c r="CB23" s="302">
        <f>IFERROR(CB22/CB12, "n/a")</f>
        <v/>
      </c>
      <c r="CC23" s="302">
        <f>IFERROR(CC22/CC12, "n/a")</f>
        <v/>
      </c>
      <c r="CD23" s="302">
        <f>IFERROR(CD22/CD12, "n/a")</f>
        <v/>
      </c>
      <c r="CE23" s="302">
        <f>IFERROR(CE22/CE12, "n/a")</f>
        <v/>
      </c>
      <c r="CF23" s="302">
        <f>IFERROR(CF22/CF12, "n/a")</f>
        <v/>
      </c>
      <c r="CG23" s="302">
        <f>IFERROR(CG22/CG12, "n/a")</f>
        <v/>
      </c>
      <c r="CH23" s="302">
        <f>IFERROR(CH22/CH12, "n/a")</f>
        <v/>
      </c>
      <c r="CI23" s="302">
        <f>IFERROR(CI22/CI12, "n/a")</f>
        <v/>
      </c>
      <c r="CJ23" s="302">
        <f>IFERROR(CJ22/CJ12, "n/a")</f>
        <v/>
      </c>
      <c r="CK23" s="302">
        <f>IFERROR(CK22/CK12, "n/a")</f>
        <v/>
      </c>
      <c r="CL23" s="302">
        <f>IFERROR(CL22/CL12, "n/a")</f>
        <v/>
      </c>
      <c r="CM23" s="302">
        <f>IFERROR(CM22/CM12, "n/a")</f>
        <v/>
      </c>
      <c r="CN23" s="302">
        <f>IFERROR(CN22/CN12, "n/a")</f>
        <v/>
      </c>
      <c r="CO23" s="302">
        <f>IFERROR(CO22/CO12, "n/a")</f>
        <v/>
      </c>
      <c r="CP23" s="302">
        <f>IFERROR(CP22/CP12, "n/a")</f>
        <v/>
      </c>
      <c r="CQ23" s="302">
        <f>IFERROR(CQ22/CQ12, "n/a")</f>
        <v/>
      </c>
      <c r="CR23" s="302">
        <f>IFERROR(CR22/CR12, "n/a")</f>
        <v/>
      </c>
      <c r="CS23" s="302">
        <f>IFERROR(CS22/CS12, "n/a")</f>
        <v/>
      </c>
      <c r="CT23" s="302">
        <f>IFERROR(CT22/CT12, "n/a")</f>
        <v/>
      </c>
      <c r="CU23" s="302">
        <f>IFERROR(CU22/CU12, "n/a")</f>
        <v/>
      </c>
      <c r="CV23" s="302">
        <f>IFERROR(CV22/CV12, "n/a")</f>
        <v/>
      </c>
      <c r="CW23" s="302">
        <f>IFERROR(CW22/CW12, "n/a")</f>
        <v/>
      </c>
      <c r="CX23" s="302">
        <f>IFERROR(CX22/CX12, "n/a")</f>
        <v/>
      </c>
      <c r="CY23" s="302">
        <f>IFERROR(CY22/CY12, "n/a")</f>
        <v/>
      </c>
      <c r="CZ23" s="302">
        <f>IFERROR(CZ22/CZ12, "n/a")</f>
        <v/>
      </c>
      <c r="DA23" s="302">
        <f>IFERROR(DA22/DA12, "n/a")</f>
        <v/>
      </c>
      <c r="DB23" s="302">
        <f>IFERROR(DB22/DB12, "n/a")</f>
        <v/>
      </c>
      <c r="DC23" s="302">
        <f>IFERROR(DC22/DC12, "n/a")</f>
        <v/>
      </c>
      <c r="DD23" s="302">
        <f>IFERROR(DD22/DD12, "n/a")</f>
        <v/>
      </c>
      <c r="DE23" s="302">
        <f>IFERROR(DE22/DE12, "n/a")</f>
        <v/>
      </c>
      <c r="DF23" s="302">
        <f>IFERROR(DF22/DF12, "n/a")</f>
        <v/>
      </c>
      <c r="DG23" s="302">
        <f>IFERROR(DG22/DG12, "n/a")</f>
        <v/>
      </c>
      <c r="DH23" s="302">
        <f>IFERROR(DH22/DH12, "n/a")</f>
        <v/>
      </c>
      <c r="DI23" s="302">
        <f>IFERROR(DI22/DI12, "n/a")</f>
        <v/>
      </c>
      <c r="DJ23" s="302">
        <f>IFERROR(DJ22/DJ12, "n/a")</f>
        <v/>
      </c>
      <c r="DK23" s="302">
        <f>IFERROR(DK22/DK12, "n/a")</f>
        <v/>
      </c>
      <c r="DL23" s="302">
        <f>IFERROR(DL22/DL12, "n/a")</f>
        <v/>
      </c>
      <c r="DM23" s="302">
        <f>IFERROR(DM22/DM12, "n/a")</f>
        <v/>
      </c>
      <c r="DN23" s="302">
        <f>IFERROR(DN22/DN12, "n/a")</f>
        <v/>
      </c>
      <c r="DO23" s="302">
        <f>IFERROR(DO22/DO12, "n/a")</f>
        <v/>
      </c>
      <c r="DP23" s="302">
        <f>IFERROR(DP22/DP12, "n/a")</f>
        <v/>
      </c>
      <c r="DQ23" s="302">
        <f>IFERROR(DQ22/DQ12, "n/a")</f>
        <v/>
      </c>
      <c r="DR23" s="302">
        <f>IFERROR(DR22/DR12, "n/a")</f>
        <v/>
      </c>
      <c r="DS23" s="302">
        <f>IFERROR(DS22/DS12, "n/a")</f>
        <v/>
      </c>
      <c r="DT23" s="302">
        <f>IFERROR(DT22/DT12, "n/a")</f>
        <v/>
      </c>
    </row>
    <row r="24">
      <c r="B24" s="1" t="inlineStr">
        <is>
          <t>(-) Debt Service</t>
        </is>
      </c>
      <c r="C24" s="32" t="n"/>
      <c r="D24" s="300">
        <f>'Inputs &amp; Summary'!$G$20</f>
        <v/>
      </c>
      <c r="E24" s="298">
        <f>IF(AND('Inputs &amp; Summary'!$D$43="Yes",E$8&lt;='Inputs &amp; Summary'!$D$44),-'Inputs &amp; Summary'!$D$45,-'Inputs &amp; Summary'!$D$42)</f>
        <v/>
      </c>
      <c r="F24" s="298">
        <f>IF(AND('Inputs &amp; Summary'!$D$43="Yes",F$8&lt;='Inputs &amp; Summary'!$D$44),-'Inputs &amp; Summary'!$D$45,-'Inputs &amp; Summary'!$D$42)</f>
        <v/>
      </c>
      <c r="G24" s="298">
        <f>IF(AND('Inputs &amp; Summary'!$D$43="Yes",G$8&lt;='Inputs &amp; Summary'!$D$44),-'Inputs &amp; Summary'!$D$45,-'Inputs &amp; Summary'!$D$42)</f>
        <v/>
      </c>
      <c r="H24" s="298">
        <f>IF(AND('Inputs &amp; Summary'!$D$43="Yes",H$8&lt;='Inputs &amp; Summary'!$D$44),-'Inputs &amp; Summary'!$D$45,-'Inputs &amp; Summary'!$D$42)</f>
        <v/>
      </c>
      <c r="I24" s="298">
        <f>IF(AND('Inputs &amp; Summary'!$D$43="Yes",I$8&lt;='Inputs &amp; Summary'!$D$44),-'Inputs &amp; Summary'!$D$45,-'Inputs &amp; Summary'!$D$42)</f>
        <v/>
      </c>
      <c r="J24" s="298">
        <f>IF(AND('Inputs &amp; Summary'!$D$43="Yes",J$8&lt;='Inputs &amp; Summary'!$D$44),-'Inputs &amp; Summary'!$D$45,-'Inputs &amp; Summary'!$D$42)</f>
        <v/>
      </c>
      <c r="K24" s="298">
        <f>IF(AND('Inputs &amp; Summary'!$D$43="Yes",K$8&lt;='Inputs &amp; Summary'!$D$44),-'Inputs &amp; Summary'!$D$45,-'Inputs &amp; Summary'!$D$42)</f>
        <v/>
      </c>
      <c r="L24" s="298">
        <f>IF(AND('Inputs &amp; Summary'!$D$43="Yes",L$8&lt;='Inputs &amp; Summary'!$D$44),-'Inputs &amp; Summary'!$D$45,-'Inputs &amp; Summary'!$D$42)</f>
        <v/>
      </c>
      <c r="M24" s="298">
        <f>IF(AND('Inputs &amp; Summary'!$D$43="Yes",M$8&lt;='Inputs &amp; Summary'!$D$44),-'Inputs &amp; Summary'!$D$45,-'Inputs &amp; Summary'!$D$42)</f>
        <v/>
      </c>
      <c r="N24" s="298">
        <f>IF(AND('Inputs &amp; Summary'!$D$43="Yes",N$8&lt;='Inputs &amp; Summary'!$D$44),-'Inputs &amp; Summary'!$D$45,-'Inputs &amp; Summary'!$D$42)</f>
        <v/>
      </c>
      <c r="O24" s="298">
        <f>IF(AND('Inputs &amp; Summary'!$D$43="Yes",O$8&lt;='Inputs &amp; Summary'!$D$44),-'Inputs &amp; Summary'!$D$45,-'Inputs &amp; Summary'!$D$42)</f>
        <v/>
      </c>
      <c r="P24" s="298">
        <f>IF(AND('Inputs &amp; Summary'!$D$43="Yes",P$8&lt;='Inputs &amp; Summary'!$D$44),-'Inputs &amp; Summary'!$D$45,-'Inputs &amp; Summary'!$D$42)</f>
        <v/>
      </c>
      <c r="Q24" s="298">
        <f>IF(AND('Inputs &amp; Summary'!$D$43="Yes",Q$8&lt;='Inputs &amp; Summary'!$D$44),-'Inputs &amp; Summary'!$D$45,-'Inputs &amp; Summary'!$D$42)</f>
        <v/>
      </c>
      <c r="R24" s="298">
        <f>IF(AND('Inputs &amp; Summary'!$D$43="Yes",R$8&lt;='Inputs &amp; Summary'!$D$44),-'Inputs &amp; Summary'!$D$45,-'Inputs &amp; Summary'!$D$42)</f>
        <v/>
      </c>
      <c r="S24" s="298">
        <f>IF(AND('Inputs &amp; Summary'!$D$43="Yes",S$8&lt;='Inputs &amp; Summary'!$D$44),-'Inputs &amp; Summary'!$D$45,-'Inputs &amp; Summary'!$D$42)</f>
        <v/>
      </c>
      <c r="T24" s="298">
        <f>IF(AND('Inputs &amp; Summary'!$D$43="Yes",T$8&lt;='Inputs &amp; Summary'!$D$44),-'Inputs &amp; Summary'!$D$45,-'Inputs &amp; Summary'!$D$42)</f>
        <v/>
      </c>
      <c r="U24" s="298">
        <f>IF(AND('Inputs &amp; Summary'!$D$43="Yes",U$8&lt;='Inputs &amp; Summary'!$D$44),-'Inputs &amp; Summary'!$D$45,-'Inputs &amp; Summary'!$D$42)</f>
        <v/>
      </c>
      <c r="V24" s="298">
        <f>IF(AND('Inputs &amp; Summary'!$D$43="Yes",V$8&lt;='Inputs &amp; Summary'!$D$44),-'Inputs &amp; Summary'!$D$45,-'Inputs &amp; Summary'!$D$42)</f>
        <v/>
      </c>
      <c r="W24" s="298">
        <f>IF(AND('Inputs &amp; Summary'!$D$43="Yes",W$8&lt;='Inputs &amp; Summary'!$D$44),-'Inputs &amp; Summary'!$D$45,-'Inputs &amp; Summary'!$D$42)</f>
        <v/>
      </c>
      <c r="X24" s="298">
        <f>IF(AND('Inputs &amp; Summary'!$D$43="Yes",X$8&lt;='Inputs &amp; Summary'!$D$44),-'Inputs &amp; Summary'!$D$45,-'Inputs &amp; Summary'!$D$42)</f>
        <v/>
      </c>
      <c r="Y24" s="298">
        <f>IF(AND('Inputs &amp; Summary'!$D$43="Yes",Y$8&lt;='Inputs &amp; Summary'!$D$44),-'Inputs &amp; Summary'!$D$45,-'Inputs &amp; Summary'!$D$42)</f>
        <v/>
      </c>
      <c r="Z24" s="298">
        <f>IF(AND('Inputs &amp; Summary'!$D$43="Yes",Z$8&lt;='Inputs &amp; Summary'!$D$44),-'Inputs &amp; Summary'!$D$45,-'Inputs &amp; Summary'!$D$42)</f>
        <v/>
      </c>
      <c r="AA24" s="298">
        <f>IF(AND('Inputs &amp; Summary'!$D$43="Yes",AA$8&lt;='Inputs &amp; Summary'!$D$44),-'Inputs &amp; Summary'!$D$45,-'Inputs &amp; Summary'!$D$42)</f>
        <v/>
      </c>
      <c r="AB24" s="298">
        <f>IF(AND('Inputs &amp; Summary'!$D$43="Yes",AB$8&lt;='Inputs &amp; Summary'!$D$44),-'Inputs &amp; Summary'!$D$45,-'Inputs &amp; Summary'!$D$42)</f>
        <v/>
      </c>
      <c r="AC24" s="298">
        <f>IF(AND('Inputs &amp; Summary'!$D$43="Yes",AC$8&lt;='Inputs &amp; Summary'!$D$44),-'Inputs &amp; Summary'!$D$45,-'Inputs &amp; Summary'!$D$42)</f>
        <v/>
      </c>
      <c r="AD24" s="298">
        <f>IF(AND('Inputs &amp; Summary'!$D$43="Yes",AD$8&lt;='Inputs &amp; Summary'!$D$44),-'Inputs &amp; Summary'!$D$45,-'Inputs &amp; Summary'!$D$42)</f>
        <v/>
      </c>
      <c r="AE24" s="298">
        <f>IF(AND('Inputs &amp; Summary'!$D$43="Yes",AE$8&lt;='Inputs &amp; Summary'!$D$44),-'Inputs &amp; Summary'!$D$45,-'Inputs &amp; Summary'!$D$42)</f>
        <v/>
      </c>
      <c r="AF24" s="298">
        <f>IF(AND('Inputs &amp; Summary'!$D$43="Yes",AF$8&lt;='Inputs &amp; Summary'!$D$44),-'Inputs &amp; Summary'!$D$45,-'Inputs &amp; Summary'!$D$42)</f>
        <v/>
      </c>
      <c r="AG24" s="298">
        <f>IF(AND('Inputs &amp; Summary'!$D$43="Yes",AG$8&lt;='Inputs &amp; Summary'!$D$44),-'Inputs &amp; Summary'!$D$45,-'Inputs &amp; Summary'!$D$42)</f>
        <v/>
      </c>
      <c r="AH24" s="298">
        <f>IF(AND('Inputs &amp; Summary'!$D$43="Yes",AH$8&lt;='Inputs &amp; Summary'!$D$44),-'Inputs &amp; Summary'!$D$45,-'Inputs &amp; Summary'!$D$42)</f>
        <v/>
      </c>
      <c r="AI24" s="298">
        <f>IF(AND('Inputs &amp; Summary'!$D$43="Yes",AI$8&lt;='Inputs &amp; Summary'!$D$44),-'Inputs &amp; Summary'!$D$45,-'Inputs &amp; Summary'!$D$42)</f>
        <v/>
      </c>
      <c r="AJ24" s="298">
        <f>IF(AND('Inputs &amp; Summary'!$D$43="Yes",AJ$8&lt;='Inputs &amp; Summary'!$D$44),-'Inputs &amp; Summary'!$D$45,-'Inputs &amp; Summary'!$D$42)</f>
        <v/>
      </c>
      <c r="AK24" s="298">
        <f>IF(AND('Inputs &amp; Summary'!$D$43="Yes",AK$8&lt;='Inputs &amp; Summary'!$D$44),-'Inputs &amp; Summary'!$D$45,-'Inputs &amp; Summary'!$D$42)</f>
        <v/>
      </c>
      <c r="AL24" s="298">
        <f>IF(AND('Inputs &amp; Summary'!$D$43="Yes",AL$8&lt;='Inputs &amp; Summary'!$D$44),-'Inputs &amp; Summary'!$D$45,-'Inputs &amp; Summary'!$D$42)</f>
        <v/>
      </c>
      <c r="AM24" s="298">
        <f>IF(AND('Inputs &amp; Summary'!$D$43="Yes",AM$8&lt;='Inputs &amp; Summary'!$D$44),-'Inputs &amp; Summary'!$D$45,-'Inputs &amp; Summary'!$D$42)</f>
        <v/>
      </c>
      <c r="AN24" s="298">
        <f>IF(AND('Inputs &amp; Summary'!$D$43="Yes",AN$8&lt;='Inputs &amp; Summary'!$D$44),-'Inputs &amp; Summary'!$D$45,-'Inputs &amp; Summary'!$D$42)</f>
        <v/>
      </c>
      <c r="AO24" s="298">
        <f>IF(AND('Inputs &amp; Summary'!$D$43="Yes",AO$8&lt;='Inputs &amp; Summary'!$D$44),-'Inputs &amp; Summary'!$D$45,-'Inputs &amp; Summary'!$D$42)</f>
        <v/>
      </c>
      <c r="AP24" s="298">
        <f>IF(AND('Inputs &amp; Summary'!$D$43="Yes",AP$8&lt;='Inputs &amp; Summary'!$D$44),-'Inputs &amp; Summary'!$D$45,-'Inputs &amp; Summary'!$D$42)</f>
        <v/>
      </c>
      <c r="AQ24" s="298">
        <f>IF(AND('Inputs &amp; Summary'!$D$43="Yes",AQ$8&lt;='Inputs &amp; Summary'!$D$44),-'Inputs &amp; Summary'!$D$45,-'Inputs &amp; Summary'!$D$42)</f>
        <v/>
      </c>
      <c r="AR24" s="298">
        <f>IF(AND('Inputs &amp; Summary'!$D$43="Yes",AR$8&lt;='Inputs &amp; Summary'!$D$44),-'Inputs &amp; Summary'!$D$45,-'Inputs &amp; Summary'!$D$42)</f>
        <v/>
      </c>
      <c r="AS24" s="298">
        <f>IF(AND('Inputs &amp; Summary'!$D$43="Yes",AS$8&lt;='Inputs &amp; Summary'!$D$44),-'Inputs &amp; Summary'!$D$45,-'Inputs &amp; Summary'!$D$42)</f>
        <v/>
      </c>
      <c r="AT24" s="298">
        <f>IF(AND('Inputs &amp; Summary'!$D$43="Yes",AT$8&lt;='Inputs &amp; Summary'!$D$44),-'Inputs &amp; Summary'!$D$45,-'Inputs &amp; Summary'!$D$42)</f>
        <v/>
      </c>
      <c r="AU24" s="298">
        <f>IF(AND('Inputs &amp; Summary'!$D$43="Yes",AU$8&lt;='Inputs &amp; Summary'!$D$44),-'Inputs &amp; Summary'!$D$45,-'Inputs &amp; Summary'!$D$42)</f>
        <v/>
      </c>
      <c r="AV24" s="298">
        <f>IF(AND('Inputs &amp; Summary'!$D$43="Yes",AV$8&lt;='Inputs &amp; Summary'!$D$44),-'Inputs &amp; Summary'!$D$45,-'Inputs &amp; Summary'!$D$42)</f>
        <v/>
      </c>
      <c r="AW24" s="298">
        <f>IF(AND('Inputs &amp; Summary'!$D$43="Yes",AW$8&lt;='Inputs &amp; Summary'!$D$44),-'Inputs &amp; Summary'!$D$45,-'Inputs &amp; Summary'!$D$42)</f>
        <v/>
      </c>
      <c r="AX24" s="298">
        <f>IF(AND('Inputs &amp; Summary'!$D$43="Yes",AX$8&lt;='Inputs &amp; Summary'!$D$44),-'Inputs &amp; Summary'!$D$45,-'Inputs &amp; Summary'!$D$42)</f>
        <v/>
      </c>
      <c r="AY24" s="298">
        <f>IF(AND('Inputs &amp; Summary'!$D$43="Yes",AY$8&lt;='Inputs &amp; Summary'!$D$44),-'Inputs &amp; Summary'!$D$45,-'Inputs &amp; Summary'!$D$42)</f>
        <v/>
      </c>
      <c r="AZ24" s="298">
        <f>IF(AND('Inputs &amp; Summary'!$D$43="Yes",AZ$8&lt;='Inputs &amp; Summary'!$D$44),-'Inputs &amp; Summary'!$D$45,-'Inputs &amp; Summary'!$D$42)</f>
        <v/>
      </c>
      <c r="BA24" s="298">
        <f>IF(AND('Inputs &amp; Summary'!$D$43="Yes",BA$8&lt;='Inputs &amp; Summary'!$D$44),-'Inputs &amp; Summary'!$D$45,-'Inputs &amp; Summary'!$D$42)</f>
        <v/>
      </c>
      <c r="BB24" s="298">
        <f>IF(AND('Inputs &amp; Summary'!$D$43="Yes",BB$8&lt;='Inputs &amp; Summary'!$D$44),-'Inputs &amp; Summary'!$D$45,-'Inputs &amp; Summary'!$D$42)</f>
        <v/>
      </c>
      <c r="BC24" s="298">
        <f>IF(AND('Inputs &amp; Summary'!$D$43="Yes",BC$8&lt;='Inputs &amp; Summary'!$D$44),-'Inputs &amp; Summary'!$D$45,-'Inputs &amp; Summary'!$D$42)</f>
        <v/>
      </c>
      <c r="BD24" s="298">
        <f>IF(AND('Inputs &amp; Summary'!$D$43="Yes",BD$8&lt;='Inputs &amp; Summary'!$D$44),-'Inputs &amp; Summary'!$D$45,-'Inputs &amp; Summary'!$D$42)</f>
        <v/>
      </c>
      <c r="BE24" s="298">
        <f>IF(AND('Inputs &amp; Summary'!$D$43="Yes",BE$8&lt;='Inputs &amp; Summary'!$D$44),-'Inputs &amp; Summary'!$D$45,-'Inputs &amp; Summary'!$D$42)</f>
        <v/>
      </c>
      <c r="BF24" s="298">
        <f>IF(AND('Inputs &amp; Summary'!$D$43="Yes",BF$8&lt;='Inputs &amp; Summary'!$D$44),-'Inputs &amp; Summary'!$D$45,-'Inputs &amp; Summary'!$D$42)</f>
        <v/>
      </c>
      <c r="BG24" s="298">
        <f>IF(AND('Inputs &amp; Summary'!$D$43="Yes",BG$8&lt;='Inputs &amp; Summary'!$D$44),-'Inputs &amp; Summary'!$D$45,-'Inputs &amp; Summary'!$D$42)</f>
        <v/>
      </c>
      <c r="BH24" s="298">
        <f>IF(AND('Inputs &amp; Summary'!$D$43="Yes",BH$8&lt;='Inputs &amp; Summary'!$D$44),-'Inputs &amp; Summary'!$D$45,-'Inputs &amp; Summary'!$D$42)</f>
        <v/>
      </c>
      <c r="BI24" s="298">
        <f>IF(AND('Inputs &amp; Summary'!$D$43="Yes",BI$8&lt;='Inputs &amp; Summary'!$D$44),-'Inputs &amp; Summary'!$D$45,-'Inputs &amp; Summary'!$D$42)</f>
        <v/>
      </c>
      <c r="BJ24" s="298">
        <f>IF(AND('Inputs &amp; Summary'!$D$43="Yes",BJ$8&lt;='Inputs &amp; Summary'!$D$44),-'Inputs &amp; Summary'!$D$45,-'Inputs &amp; Summary'!$D$42)</f>
        <v/>
      </c>
      <c r="BK24" s="298">
        <f>IF(AND('Inputs &amp; Summary'!$D$43="Yes",BK$8&lt;='Inputs &amp; Summary'!$D$44),-'Inputs &amp; Summary'!$D$45,-'Inputs &amp; Summary'!$D$42)</f>
        <v/>
      </c>
      <c r="BL24" s="298">
        <f>IF(AND('Inputs &amp; Summary'!$D$43="Yes",BL$8&lt;='Inputs &amp; Summary'!$D$44),-'Inputs &amp; Summary'!$D$45,-'Inputs &amp; Summary'!$D$42)</f>
        <v/>
      </c>
      <c r="BM24" s="298">
        <f>IF(AND('Inputs &amp; Summary'!$D$43="Yes",BM$8&lt;='Inputs &amp; Summary'!$D$44),-'Inputs &amp; Summary'!$D$45,-'Inputs &amp; Summary'!$D$42)</f>
        <v/>
      </c>
      <c r="BN24" s="298">
        <f>IF(AND('Inputs &amp; Summary'!$D$43="Yes",BN$8&lt;='Inputs &amp; Summary'!$D$44),-'Inputs &amp; Summary'!$D$45,-'Inputs &amp; Summary'!$D$42)</f>
        <v/>
      </c>
      <c r="BO24" s="298">
        <f>IF(AND('Inputs &amp; Summary'!$D$43="Yes",BO$8&lt;='Inputs &amp; Summary'!$D$44),-'Inputs &amp; Summary'!$D$45,-'Inputs &amp; Summary'!$D$42)</f>
        <v/>
      </c>
      <c r="BP24" s="298">
        <f>IF(AND('Inputs &amp; Summary'!$D$43="Yes",BP$8&lt;='Inputs &amp; Summary'!$D$44),-'Inputs &amp; Summary'!$D$45,-'Inputs &amp; Summary'!$D$42)</f>
        <v/>
      </c>
      <c r="BQ24" s="298">
        <f>IF(AND('Inputs &amp; Summary'!$D$43="Yes",BQ$8&lt;='Inputs &amp; Summary'!$D$44),-'Inputs &amp; Summary'!$D$45,-'Inputs &amp; Summary'!$D$42)</f>
        <v/>
      </c>
      <c r="BR24" s="298">
        <f>IF(AND('Inputs &amp; Summary'!$D$43="Yes",BR$8&lt;='Inputs &amp; Summary'!$D$44),-'Inputs &amp; Summary'!$D$45,-'Inputs &amp; Summary'!$D$42)</f>
        <v/>
      </c>
      <c r="BS24" s="298">
        <f>IF(AND('Inputs &amp; Summary'!$D$43="Yes",BS$8&lt;='Inputs &amp; Summary'!$D$44),-'Inputs &amp; Summary'!$D$45,-'Inputs &amp; Summary'!$D$42)</f>
        <v/>
      </c>
      <c r="BT24" s="298">
        <f>IF(AND('Inputs &amp; Summary'!$D$43="Yes",BT$8&lt;='Inputs &amp; Summary'!$D$44),-'Inputs &amp; Summary'!$D$45,-'Inputs &amp; Summary'!$D$42)</f>
        <v/>
      </c>
      <c r="BU24" s="298">
        <f>IF(AND('Inputs &amp; Summary'!$D$43="Yes",BU$8&lt;='Inputs &amp; Summary'!$D$44),-'Inputs &amp; Summary'!$D$45,-'Inputs &amp; Summary'!$D$42)</f>
        <v/>
      </c>
      <c r="BV24" s="298">
        <f>IF(AND('Inputs &amp; Summary'!$D$43="Yes",BV$8&lt;='Inputs &amp; Summary'!$D$44),-'Inputs &amp; Summary'!$D$45,-'Inputs &amp; Summary'!$D$42)</f>
        <v/>
      </c>
      <c r="BW24" s="298">
        <f>IF(AND('Inputs &amp; Summary'!$D$43="Yes",BW$8&lt;='Inputs &amp; Summary'!$D$44),-'Inputs &amp; Summary'!$D$45,-'Inputs &amp; Summary'!$D$42)</f>
        <v/>
      </c>
      <c r="BX24" s="298">
        <f>IF(AND('Inputs &amp; Summary'!$D$43="Yes",BX$8&lt;='Inputs &amp; Summary'!$D$44),-'Inputs &amp; Summary'!$D$45,-'Inputs &amp; Summary'!$D$42)</f>
        <v/>
      </c>
      <c r="BY24" s="298">
        <f>IF(AND('Inputs &amp; Summary'!$D$43="Yes",BY$8&lt;='Inputs &amp; Summary'!$D$44),-'Inputs &amp; Summary'!$D$45,-'Inputs &amp; Summary'!$D$42)</f>
        <v/>
      </c>
      <c r="BZ24" s="298">
        <f>IF(AND('Inputs &amp; Summary'!$D$43="Yes",BZ$8&lt;='Inputs &amp; Summary'!$D$44),-'Inputs &amp; Summary'!$D$45,-'Inputs &amp; Summary'!$D$42)</f>
        <v/>
      </c>
      <c r="CA24" s="298">
        <f>IF(AND('Inputs &amp; Summary'!$D$43="Yes",CA$8&lt;='Inputs &amp; Summary'!$D$44),-'Inputs &amp; Summary'!$D$45,-'Inputs &amp; Summary'!$D$42)</f>
        <v/>
      </c>
      <c r="CB24" s="298">
        <f>IF(AND('Inputs &amp; Summary'!$D$43="Yes",CB$8&lt;='Inputs &amp; Summary'!$D$44),-'Inputs &amp; Summary'!$D$45,-'Inputs &amp; Summary'!$D$42)</f>
        <v/>
      </c>
      <c r="CC24" s="298">
        <f>IF(AND('Inputs &amp; Summary'!$D$43="Yes",CC$8&lt;='Inputs &amp; Summary'!$D$44),-'Inputs &amp; Summary'!$D$45,-'Inputs &amp; Summary'!$D$42)</f>
        <v/>
      </c>
      <c r="CD24" s="298">
        <f>IF(AND('Inputs &amp; Summary'!$D$43="Yes",CD$8&lt;='Inputs &amp; Summary'!$D$44),-'Inputs &amp; Summary'!$D$45,-'Inputs &amp; Summary'!$D$42)</f>
        <v/>
      </c>
      <c r="CE24" s="298">
        <f>IF(AND('Inputs &amp; Summary'!$D$43="Yes",CE$8&lt;='Inputs &amp; Summary'!$D$44),-'Inputs &amp; Summary'!$D$45,-'Inputs &amp; Summary'!$D$42)</f>
        <v/>
      </c>
      <c r="CF24" s="298">
        <f>IF(AND('Inputs &amp; Summary'!$D$43="Yes",CF$8&lt;='Inputs &amp; Summary'!$D$44),-'Inputs &amp; Summary'!$D$45,-'Inputs &amp; Summary'!$D$42)</f>
        <v/>
      </c>
      <c r="CG24" s="298">
        <f>IF(AND('Inputs &amp; Summary'!$D$43="Yes",CG$8&lt;='Inputs &amp; Summary'!$D$44),-'Inputs &amp; Summary'!$D$45,-'Inputs &amp; Summary'!$D$42)</f>
        <v/>
      </c>
      <c r="CH24" s="298">
        <f>IF(AND('Inputs &amp; Summary'!$D$43="Yes",CH$8&lt;='Inputs &amp; Summary'!$D$44),-'Inputs &amp; Summary'!$D$45,-'Inputs &amp; Summary'!$D$42)</f>
        <v/>
      </c>
      <c r="CI24" s="298">
        <f>IF(AND('Inputs &amp; Summary'!$D$43="Yes",CI$8&lt;='Inputs &amp; Summary'!$D$44),-'Inputs &amp; Summary'!$D$45,-'Inputs &amp; Summary'!$D$42)</f>
        <v/>
      </c>
      <c r="CJ24" s="298">
        <f>IF(AND('Inputs &amp; Summary'!$D$43="Yes",CJ$8&lt;='Inputs &amp; Summary'!$D$44),-'Inputs &amp; Summary'!$D$45,-'Inputs &amp; Summary'!$D$42)</f>
        <v/>
      </c>
      <c r="CK24" s="298">
        <f>IF(AND('Inputs &amp; Summary'!$D$43="Yes",CK$8&lt;='Inputs &amp; Summary'!$D$44),-'Inputs &amp; Summary'!$D$45,-'Inputs &amp; Summary'!$D$42)</f>
        <v/>
      </c>
      <c r="CL24" s="298">
        <f>IF(AND('Inputs &amp; Summary'!$D$43="Yes",CL$8&lt;='Inputs &amp; Summary'!$D$44),-'Inputs &amp; Summary'!$D$45,-'Inputs &amp; Summary'!$D$42)</f>
        <v/>
      </c>
      <c r="CM24" s="298">
        <f>IF(AND('Inputs &amp; Summary'!$D$43="Yes",CM$8&lt;='Inputs &amp; Summary'!$D$44),-'Inputs &amp; Summary'!$D$45,-'Inputs &amp; Summary'!$D$42)</f>
        <v/>
      </c>
      <c r="CN24" s="298">
        <f>IF(AND('Inputs &amp; Summary'!$D$43="Yes",CN$8&lt;='Inputs &amp; Summary'!$D$44),-'Inputs &amp; Summary'!$D$45,-'Inputs &amp; Summary'!$D$42)</f>
        <v/>
      </c>
      <c r="CO24" s="298">
        <f>IF(AND('Inputs &amp; Summary'!$D$43="Yes",CO$8&lt;='Inputs &amp; Summary'!$D$44),-'Inputs &amp; Summary'!$D$45,-'Inputs &amp; Summary'!$D$42)</f>
        <v/>
      </c>
      <c r="CP24" s="298">
        <f>IF(AND('Inputs &amp; Summary'!$D$43="Yes",CP$8&lt;='Inputs &amp; Summary'!$D$44),-'Inputs &amp; Summary'!$D$45,-'Inputs &amp; Summary'!$D$42)</f>
        <v/>
      </c>
      <c r="CQ24" s="298">
        <f>IF(AND('Inputs &amp; Summary'!$D$43="Yes",CQ$8&lt;='Inputs &amp; Summary'!$D$44),-'Inputs &amp; Summary'!$D$45,-'Inputs &amp; Summary'!$D$42)</f>
        <v/>
      </c>
      <c r="CR24" s="298">
        <f>IF(AND('Inputs &amp; Summary'!$D$43="Yes",CR$8&lt;='Inputs &amp; Summary'!$D$44),-'Inputs &amp; Summary'!$D$45,-'Inputs &amp; Summary'!$D$42)</f>
        <v/>
      </c>
      <c r="CS24" s="298">
        <f>IF(AND('Inputs &amp; Summary'!$D$43="Yes",CS$8&lt;='Inputs &amp; Summary'!$D$44),-'Inputs &amp; Summary'!$D$45,-'Inputs &amp; Summary'!$D$42)</f>
        <v/>
      </c>
      <c r="CT24" s="298">
        <f>IF(AND('Inputs &amp; Summary'!$D$43="Yes",CT$8&lt;='Inputs &amp; Summary'!$D$44),-'Inputs &amp; Summary'!$D$45,-'Inputs &amp; Summary'!$D$42)</f>
        <v/>
      </c>
      <c r="CU24" s="298">
        <f>IF(AND('Inputs &amp; Summary'!$D$43="Yes",CU$8&lt;='Inputs &amp; Summary'!$D$44),-'Inputs &amp; Summary'!$D$45,-'Inputs &amp; Summary'!$D$42)</f>
        <v/>
      </c>
      <c r="CV24" s="298">
        <f>IF(AND('Inputs &amp; Summary'!$D$43="Yes",CV$8&lt;='Inputs &amp; Summary'!$D$44),-'Inputs &amp; Summary'!$D$45,-'Inputs &amp; Summary'!$D$42)</f>
        <v/>
      </c>
      <c r="CW24" s="298">
        <f>IF(AND('Inputs &amp; Summary'!$D$43="Yes",CW$8&lt;='Inputs &amp; Summary'!$D$44),-'Inputs &amp; Summary'!$D$45,-'Inputs &amp; Summary'!$D$42)</f>
        <v/>
      </c>
      <c r="CX24" s="298">
        <f>IF(AND('Inputs &amp; Summary'!$D$43="Yes",CX$8&lt;='Inputs &amp; Summary'!$D$44),-'Inputs &amp; Summary'!$D$45,-'Inputs &amp; Summary'!$D$42)</f>
        <v/>
      </c>
      <c r="CY24" s="298">
        <f>IF(AND('Inputs &amp; Summary'!$D$43="Yes",CY$8&lt;='Inputs &amp; Summary'!$D$44),-'Inputs &amp; Summary'!$D$45,-'Inputs &amp; Summary'!$D$42)</f>
        <v/>
      </c>
      <c r="CZ24" s="298">
        <f>IF(AND('Inputs &amp; Summary'!$D$43="Yes",CZ$8&lt;='Inputs &amp; Summary'!$D$44),-'Inputs &amp; Summary'!$D$45,-'Inputs &amp; Summary'!$D$42)</f>
        <v/>
      </c>
      <c r="DA24" s="298">
        <f>IF(AND('Inputs &amp; Summary'!$D$43="Yes",DA$8&lt;='Inputs &amp; Summary'!$D$44),-'Inputs &amp; Summary'!$D$45,-'Inputs &amp; Summary'!$D$42)</f>
        <v/>
      </c>
      <c r="DB24" s="298">
        <f>IF(AND('Inputs &amp; Summary'!$D$43="Yes",DB$8&lt;='Inputs &amp; Summary'!$D$44),-'Inputs &amp; Summary'!$D$45,-'Inputs &amp; Summary'!$D$42)</f>
        <v/>
      </c>
      <c r="DC24" s="298">
        <f>IF(AND('Inputs &amp; Summary'!$D$43="Yes",DC$8&lt;='Inputs &amp; Summary'!$D$44),-'Inputs &amp; Summary'!$D$45,-'Inputs &amp; Summary'!$D$42)</f>
        <v/>
      </c>
      <c r="DD24" s="298">
        <f>IF(AND('Inputs &amp; Summary'!$D$43="Yes",DD$8&lt;='Inputs &amp; Summary'!$D$44),-'Inputs &amp; Summary'!$D$45,-'Inputs &amp; Summary'!$D$42)</f>
        <v/>
      </c>
      <c r="DE24" s="298">
        <f>IF(AND('Inputs &amp; Summary'!$D$43="Yes",DE$8&lt;='Inputs &amp; Summary'!$D$44),-'Inputs &amp; Summary'!$D$45,-'Inputs &amp; Summary'!$D$42)</f>
        <v/>
      </c>
      <c r="DF24" s="298">
        <f>IF(AND('Inputs &amp; Summary'!$D$43="Yes",DF$8&lt;='Inputs &amp; Summary'!$D$44),-'Inputs &amp; Summary'!$D$45,-'Inputs &amp; Summary'!$D$42)</f>
        <v/>
      </c>
      <c r="DG24" s="298">
        <f>IF(AND('Inputs &amp; Summary'!$D$43="Yes",DG$8&lt;='Inputs &amp; Summary'!$D$44),-'Inputs &amp; Summary'!$D$45,-'Inputs &amp; Summary'!$D$42)</f>
        <v/>
      </c>
      <c r="DH24" s="298">
        <f>IF(AND('Inputs &amp; Summary'!$D$43="Yes",DH$8&lt;='Inputs &amp; Summary'!$D$44),-'Inputs &amp; Summary'!$D$45,-'Inputs &amp; Summary'!$D$42)</f>
        <v/>
      </c>
      <c r="DI24" s="298">
        <f>IF(AND('Inputs &amp; Summary'!$D$43="Yes",DI$8&lt;='Inputs &amp; Summary'!$D$44),-'Inputs &amp; Summary'!$D$45,-'Inputs &amp; Summary'!$D$42)</f>
        <v/>
      </c>
      <c r="DJ24" s="298">
        <f>IF(AND('Inputs &amp; Summary'!$D$43="Yes",DJ$8&lt;='Inputs &amp; Summary'!$D$44),-'Inputs &amp; Summary'!$D$45,-'Inputs &amp; Summary'!$D$42)</f>
        <v/>
      </c>
      <c r="DK24" s="298">
        <f>IF(AND('Inputs &amp; Summary'!$D$43="Yes",DK$8&lt;='Inputs &amp; Summary'!$D$44),-'Inputs &amp; Summary'!$D$45,-'Inputs &amp; Summary'!$D$42)</f>
        <v/>
      </c>
      <c r="DL24" s="298">
        <f>IF(AND('Inputs &amp; Summary'!$D$43="Yes",DL$8&lt;='Inputs &amp; Summary'!$D$44),-'Inputs &amp; Summary'!$D$45,-'Inputs &amp; Summary'!$D$42)</f>
        <v/>
      </c>
      <c r="DM24" s="298">
        <f>IF(AND('Inputs &amp; Summary'!$D$43="Yes",DM$8&lt;='Inputs &amp; Summary'!$D$44),-'Inputs &amp; Summary'!$D$45,-'Inputs &amp; Summary'!$D$42)</f>
        <v/>
      </c>
      <c r="DN24" s="298">
        <f>IF(AND('Inputs &amp; Summary'!$D$43="Yes",DN$8&lt;='Inputs &amp; Summary'!$D$44),-'Inputs &amp; Summary'!$D$45,-'Inputs &amp; Summary'!$D$42)</f>
        <v/>
      </c>
      <c r="DO24" s="298">
        <f>IF(AND('Inputs &amp; Summary'!$D$43="Yes",DO$8&lt;='Inputs &amp; Summary'!$D$44),-'Inputs &amp; Summary'!$D$45,-'Inputs &amp; Summary'!$D$42)</f>
        <v/>
      </c>
      <c r="DP24" s="298">
        <f>IF(AND('Inputs &amp; Summary'!$D$43="Yes",DP$8&lt;='Inputs &amp; Summary'!$D$44),-'Inputs &amp; Summary'!$D$45,-'Inputs &amp; Summary'!$D$42)</f>
        <v/>
      </c>
      <c r="DQ24" s="298">
        <f>IF(AND('Inputs &amp; Summary'!$D$43="Yes",DQ$8&lt;='Inputs &amp; Summary'!$D$44),-'Inputs &amp; Summary'!$D$45,-'Inputs &amp; Summary'!$D$42)</f>
        <v/>
      </c>
      <c r="DR24" s="298">
        <f>IF(AND('Inputs &amp; Summary'!$D$43="Yes",DR$8&lt;='Inputs &amp; Summary'!$D$44),-'Inputs &amp; Summary'!$D$45,-'Inputs &amp; Summary'!$D$42)</f>
        <v/>
      </c>
      <c r="DS24" s="298">
        <f>IF(AND('Inputs &amp; Summary'!$D$43="Yes",DS$8&lt;='Inputs &amp; Summary'!$D$44),-'Inputs &amp; Summary'!$D$45,-'Inputs &amp; Summary'!$D$42)</f>
        <v/>
      </c>
      <c r="DT24" s="298">
        <f>IF(AND('Inputs &amp; Summary'!$D$43="Yes",DT$8&lt;='Inputs &amp; Summary'!$D$44),-'Inputs &amp; Summary'!$D$45,-'Inputs &amp; Summary'!$D$42)</f>
        <v/>
      </c>
    </row>
    <row r="25">
      <c r="B25" s="14" t="inlineStr">
        <is>
          <t>Monthly Cash Flow</t>
        </is>
      </c>
      <c r="C25" s="33" t="n"/>
      <c r="D25" s="31" t="n"/>
      <c r="E25" s="206">
        <f>E22+E24</f>
        <v/>
      </c>
      <c r="F25" s="206">
        <f>F22+F24</f>
        <v/>
      </c>
      <c r="G25" s="206">
        <f>G22+G24</f>
        <v/>
      </c>
      <c r="H25" s="206">
        <f>H22+H24</f>
        <v/>
      </c>
      <c r="I25" s="206">
        <f>I22+I24</f>
        <v/>
      </c>
      <c r="J25" s="206">
        <f>J22+J24</f>
        <v/>
      </c>
      <c r="K25" s="206">
        <f>K22+K24</f>
        <v/>
      </c>
      <c r="L25" s="206">
        <f>L22+L24</f>
        <v/>
      </c>
      <c r="M25" s="206">
        <f>M22+M24</f>
        <v/>
      </c>
      <c r="N25" s="206">
        <f>N22+N24</f>
        <v/>
      </c>
      <c r="O25" s="206">
        <f>O22+O24</f>
        <v/>
      </c>
      <c r="P25" s="206">
        <f>P22+P24</f>
        <v/>
      </c>
      <c r="Q25" s="206">
        <f>Q22+Q24</f>
        <v/>
      </c>
      <c r="R25" s="206">
        <f>R22+R24</f>
        <v/>
      </c>
      <c r="S25" s="206">
        <f>S22+S24</f>
        <v/>
      </c>
      <c r="T25" s="206">
        <f>T22+T24</f>
        <v/>
      </c>
      <c r="U25" s="206">
        <f>U22+U24</f>
        <v/>
      </c>
      <c r="V25" s="206">
        <f>V22+V24</f>
        <v/>
      </c>
      <c r="W25" s="206">
        <f>W22+W24</f>
        <v/>
      </c>
      <c r="X25" s="206">
        <f>X22+X24</f>
        <v/>
      </c>
      <c r="Y25" s="206">
        <f>Y22+Y24</f>
        <v/>
      </c>
      <c r="Z25" s="206">
        <f>Z22+Z24</f>
        <v/>
      </c>
      <c r="AA25" s="206">
        <f>AA22+AA24</f>
        <v/>
      </c>
      <c r="AB25" s="206">
        <f>AB22+AB24</f>
        <v/>
      </c>
      <c r="AC25" s="206">
        <f>AC22+AC24</f>
        <v/>
      </c>
      <c r="AD25" s="206">
        <f>AD22+AD24</f>
        <v/>
      </c>
      <c r="AE25" s="206">
        <f>AE22+AE24</f>
        <v/>
      </c>
      <c r="AF25" s="206">
        <f>AF22+AF24</f>
        <v/>
      </c>
      <c r="AG25" s="206">
        <f>AG22+AG24</f>
        <v/>
      </c>
      <c r="AH25" s="206">
        <f>AH22+AH24</f>
        <v/>
      </c>
      <c r="AI25" s="206">
        <f>AI22+AI24</f>
        <v/>
      </c>
      <c r="AJ25" s="206">
        <f>AJ22+AJ24</f>
        <v/>
      </c>
      <c r="AK25" s="206">
        <f>AK22+AK24</f>
        <v/>
      </c>
      <c r="AL25" s="206">
        <f>AL22+AL24</f>
        <v/>
      </c>
      <c r="AM25" s="206">
        <f>AM22+AM24</f>
        <v/>
      </c>
      <c r="AN25" s="206">
        <f>AN22+AN24</f>
        <v/>
      </c>
      <c r="AO25" s="206">
        <f>AO22+AO24</f>
        <v/>
      </c>
      <c r="AP25" s="206">
        <f>AP22+AP24</f>
        <v/>
      </c>
      <c r="AQ25" s="206">
        <f>AQ22+AQ24</f>
        <v/>
      </c>
      <c r="AR25" s="206">
        <f>AR22+AR24</f>
        <v/>
      </c>
      <c r="AS25" s="206">
        <f>AS22+AS24</f>
        <v/>
      </c>
      <c r="AT25" s="206">
        <f>AT22+AT24</f>
        <v/>
      </c>
      <c r="AU25" s="206">
        <f>AU22+AU24</f>
        <v/>
      </c>
      <c r="AV25" s="206">
        <f>AV22+AV24</f>
        <v/>
      </c>
      <c r="AW25" s="206">
        <f>AW22+AW24</f>
        <v/>
      </c>
      <c r="AX25" s="206">
        <f>AX22+AX24</f>
        <v/>
      </c>
      <c r="AY25" s="206">
        <f>AY22+AY24</f>
        <v/>
      </c>
      <c r="AZ25" s="206">
        <f>AZ22+AZ24</f>
        <v/>
      </c>
      <c r="BA25" s="206">
        <f>BA22+BA24</f>
        <v/>
      </c>
      <c r="BB25" s="206">
        <f>BB22+BB24</f>
        <v/>
      </c>
      <c r="BC25" s="206">
        <f>BC22+BC24</f>
        <v/>
      </c>
      <c r="BD25" s="206">
        <f>BD22+BD24</f>
        <v/>
      </c>
      <c r="BE25" s="206">
        <f>BE22+BE24</f>
        <v/>
      </c>
      <c r="BF25" s="206">
        <f>BF22+BF24</f>
        <v/>
      </c>
      <c r="BG25" s="206">
        <f>BG22+BG24</f>
        <v/>
      </c>
      <c r="BH25" s="206">
        <f>BH22+BH24</f>
        <v/>
      </c>
      <c r="BI25" s="206">
        <f>BI22+BI24</f>
        <v/>
      </c>
      <c r="BJ25" s="206">
        <f>BJ22+BJ24</f>
        <v/>
      </c>
      <c r="BK25" s="206">
        <f>BK22+BK24</f>
        <v/>
      </c>
      <c r="BL25" s="206">
        <f>BL22+BL24</f>
        <v/>
      </c>
      <c r="BM25" s="206">
        <f>BM22+BM24</f>
        <v/>
      </c>
      <c r="BN25" s="206">
        <f>BN22+BN24</f>
        <v/>
      </c>
      <c r="BO25" s="206">
        <f>BO22+BO24</f>
        <v/>
      </c>
      <c r="BP25" s="206">
        <f>BP22+BP24</f>
        <v/>
      </c>
      <c r="BQ25" s="206">
        <f>BQ22+BQ24</f>
        <v/>
      </c>
      <c r="BR25" s="206">
        <f>BR22+BR24</f>
        <v/>
      </c>
      <c r="BS25" s="206">
        <f>BS22+BS24</f>
        <v/>
      </c>
      <c r="BT25" s="206">
        <f>BT22+BT24</f>
        <v/>
      </c>
      <c r="BU25" s="206">
        <f>BU22+BU24</f>
        <v/>
      </c>
      <c r="BV25" s="206">
        <f>BV22+BV24</f>
        <v/>
      </c>
      <c r="BW25" s="206">
        <f>BW22+BW24</f>
        <v/>
      </c>
      <c r="BX25" s="206">
        <f>BX22+BX24</f>
        <v/>
      </c>
      <c r="BY25" s="206">
        <f>BY22+BY24</f>
        <v/>
      </c>
      <c r="BZ25" s="206">
        <f>BZ22+BZ24</f>
        <v/>
      </c>
      <c r="CA25" s="206">
        <f>CA22+CA24</f>
        <v/>
      </c>
      <c r="CB25" s="206">
        <f>CB22+CB24</f>
        <v/>
      </c>
      <c r="CC25" s="206">
        <f>CC22+CC24</f>
        <v/>
      </c>
      <c r="CD25" s="206">
        <f>CD22+CD24</f>
        <v/>
      </c>
      <c r="CE25" s="206">
        <f>CE22+CE24</f>
        <v/>
      </c>
      <c r="CF25" s="206">
        <f>CF22+CF24</f>
        <v/>
      </c>
      <c r="CG25" s="206">
        <f>CG22+CG24</f>
        <v/>
      </c>
      <c r="CH25" s="206">
        <f>CH22+CH24</f>
        <v/>
      </c>
      <c r="CI25" s="206">
        <f>CI22+CI24</f>
        <v/>
      </c>
      <c r="CJ25" s="206">
        <f>CJ22+CJ24</f>
        <v/>
      </c>
      <c r="CK25" s="206">
        <f>CK22+CK24</f>
        <v/>
      </c>
      <c r="CL25" s="206">
        <f>CL22+CL24</f>
        <v/>
      </c>
      <c r="CM25" s="206">
        <f>CM22+CM24</f>
        <v/>
      </c>
      <c r="CN25" s="206">
        <f>CN22+CN24</f>
        <v/>
      </c>
      <c r="CO25" s="206">
        <f>CO22+CO24</f>
        <v/>
      </c>
      <c r="CP25" s="206">
        <f>CP22+CP24</f>
        <v/>
      </c>
      <c r="CQ25" s="206">
        <f>CQ22+CQ24</f>
        <v/>
      </c>
      <c r="CR25" s="206">
        <f>CR22+CR24</f>
        <v/>
      </c>
      <c r="CS25" s="206">
        <f>CS22+CS24</f>
        <v/>
      </c>
      <c r="CT25" s="206">
        <f>CT22+CT24</f>
        <v/>
      </c>
      <c r="CU25" s="206">
        <f>CU22+CU24</f>
        <v/>
      </c>
      <c r="CV25" s="206">
        <f>CV22+CV24</f>
        <v/>
      </c>
      <c r="CW25" s="206">
        <f>CW22+CW24</f>
        <v/>
      </c>
      <c r="CX25" s="206">
        <f>CX22+CX24</f>
        <v/>
      </c>
      <c r="CY25" s="206">
        <f>CY22+CY24</f>
        <v/>
      </c>
      <c r="CZ25" s="206">
        <f>CZ22+CZ24</f>
        <v/>
      </c>
      <c r="DA25" s="206">
        <f>DA22+DA24</f>
        <v/>
      </c>
      <c r="DB25" s="206">
        <f>DB22+DB24</f>
        <v/>
      </c>
      <c r="DC25" s="206">
        <f>DC22+DC24</f>
        <v/>
      </c>
      <c r="DD25" s="206">
        <f>DD22+DD24</f>
        <v/>
      </c>
      <c r="DE25" s="206">
        <f>DE22+DE24</f>
        <v/>
      </c>
      <c r="DF25" s="206">
        <f>DF22+DF24</f>
        <v/>
      </c>
      <c r="DG25" s="206">
        <f>DG22+DG24</f>
        <v/>
      </c>
      <c r="DH25" s="206">
        <f>DH22+DH24</f>
        <v/>
      </c>
      <c r="DI25" s="206">
        <f>DI22+DI24</f>
        <v/>
      </c>
      <c r="DJ25" s="206">
        <f>DJ22+DJ24</f>
        <v/>
      </c>
      <c r="DK25" s="206">
        <f>DK22+DK24</f>
        <v/>
      </c>
      <c r="DL25" s="206">
        <f>DL22+DL24</f>
        <v/>
      </c>
      <c r="DM25" s="206">
        <f>DM22+DM24</f>
        <v/>
      </c>
      <c r="DN25" s="206">
        <f>DN22+DN24</f>
        <v/>
      </c>
      <c r="DO25" s="206">
        <f>DO22+DO24</f>
        <v/>
      </c>
      <c r="DP25" s="206">
        <f>DP22+DP24</f>
        <v/>
      </c>
      <c r="DQ25" s="206">
        <f>DQ22+DQ24</f>
        <v/>
      </c>
      <c r="DR25" s="206">
        <f>DR22+DR24</f>
        <v/>
      </c>
      <c r="DS25" s="206">
        <f>DS22+DS24</f>
        <v/>
      </c>
      <c r="DT25" s="206">
        <f>DT22+DT24</f>
        <v/>
      </c>
    </row>
    <row r="26">
      <c r="B26" s="44" t="inlineStr">
        <is>
          <t>DSCR</t>
        </is>
      </c>
      <c r="C26" s="33" t="n"/>
      <c r="D26" s="31" t="n"/>
      <c r="E26" s="303">
        <f>E22/-E24</f>
        <v/>
      </c>
      <c r="F26" s="303">
        <f>F22/-F24</f>
        <v/>
      </c>
      <c r="G26" s="303">
        <f>G22/-G24</f>
        <v/>
      </c>
      <c r="H26" s="303">
        <f>H22/-H24</f>
        <v/>
      </c>
      <c r="I26" s="303">
        <f>I22/-I24</f>
        <v/>
      </c>
      <c r="J26" s="303">
        <f>J22/-J24</f>
        <v/>
      </c>
      <c r="K26" s="303">
        <f>K22/-K24</f>
        <v/>
      </c>
      <c r="L26" s="303">
        <f>L22/-L24</f>
        <v/>
      </c>
      <c r="M26" s="303">
        <f>M22/-M24</f>
        <v/>
      </c>
      <c r="N26" s="303">
        <f>N22/-N24</f>
        <v/>
      </c>
      <c r="O26" s="303">
        <f>O22/-O24</f>
        <v/>
      </c>
      <c r="P26" s="303">
        <f>P22/-P24</f>
        <v/>
      </c>
      <c r="Q26" s="303">
        <f>Q22/-Q24</f>
        <v/>
      </c>
      <c r="R26" s="303">
        <f>R22/-R24</f>
        <v/>
      </c>
      <c r="S26" s="303">
        <f>S22/-S24</f>
        <v/>
      </c>
      <c r="T26" s="303">
        <f>T22/-T24</f>
        <v/>
      </c>
      <c r="U26" s="303">
        <f>U22/-U24</f>
        <v/>
      </c>
      <c r="V26" s="303">
        <f>V22/-V24</f>
        <v/>
      </c>
      <c r="W26" s="303">
        <f>W22/-W24</f>
        <v/>
      </c>
      <c r="X26" s="303">
        <f>X22/-X24</f>
        <v/>
      </c>
      <c r="Y26" s="303">
        <f>Y22/-Y24</f>
        <v/>
      </c>
      <c r="Z26" s="303">
        <f>Z22/-Z24</f>
        <v/>
      </c>
      <c r="AA26" s="303">
        <f>AA22/-AA24</f>
        <v/>
      </c>
      <c r="AB26" s="303">
        <f>AB22/-AB24</f>
        <v/>
      </c>
      <c r="AC26" s="303">
        <f>AC22/-AC24</f>
        <v/>
      </c>
      <c r="AD26" s="303">
        <f>AD22/-AD24</f>
        <v/>
      </c>
      <c r="AE26" s="303">
        <f>AE22/-AE24</f>
        <v/>
      </c>
      <c r="AF26" s="303">
        <f>AF22/-AF24</f>
        <v/>
      </c>
      <c r="AG26" s="303">
        <f>AG22/-AG24</f>
        <v/>
      </c>
      <c r="AH26" s="303">
        <f>AH22/-AH24</f>
        <v/>
      </c>
      <c r="AI26" s="303">
        <f>AI22/-AI24</f>
        <v/>
      </c>
      <c r="AJ26" s="303">
        <f>AJ22/-AJ24</f>
        <v/>
      </c>
      <c r="AK26" s="303">
        <f>AK22/-AK24</f>
        <v/>
      </c>
      <c r="AL26" s="303">
        <f>AL22/-AL24</f>
        <v/>
      </c>
      <c r="AM26" s="303">
        <f>AM22/-AM24</f>
        <v/>
      </c>
      <c r="AN26" s="303">
        <f>AN22/-AN24</f>
        <v/>
      </c>
      <c r="AO26" s="303">
        <f>AO22/-AO24</f>
        <v/>
      </c>
      <c r="AP26" s="303">
        <f>AP22/-AP24</f>
        <v/>
      </c>
      <c r="AQ26" s="303">
        <f>AQ22/-AQ24</f>
        <v/>
      </c>
      <c r="AR26" s="303">
        <f>AR22/-AR24</f>
        <v/>
      </c>
      <c r="AS26" s="303">
        <f>AS22/-AS24</f>
        <v/>
      </c>
      <c r="AT26" s="303">
        <f>AT22/-AT24</f>
        <v/>
      </c>
      <c r="AU26" s="303">
        <f>AU22/-AU24</f>
        <v/>
      </c>
      <c r="AV26" s="303">
        <f>AV22/-AV24</f>
        <v/>
      </c>
      <c r="AW26" s="303">
        <f>AW22/-AW24</f>
        <v/>
      </c>
      <c r="AX26" s="303">
        <f>AX22/-AX24</f>
        <v/>
      </c>
      <c r="AY26" s="303">
        <f>AY22/-AY24</f>
        <v/>
      </c>
      <c r="AZ26" s="303">
        <f>AZ22/-AZ24</f>
        <v/>
      </c>
      <c r="BA26" s="303">
        <f>BA22/-BA24</f>
        <v/>
      </c>
      <c r="BB26" s="303">
        <f>BB22/-BB24</f>
        <v/>
      </c>
      <c r="BC26" s="303">
        <f>BC22/-BC24</f>
        <v/>
      </c>
      <c r="BD26" s="303">
        <f>BD22/-BD24</f>
        <v/>
      </c>
      <c r="BE26" s="303">
        <f>BE22/-BE24</f>
        <v/>
      </c>
      <c r="BF26" s="303">
        <f>BF22/-BF24</f>
        <v/>
      </c>
      <c r="BG26" s="303">
        <f>BG22/-BG24</f>
        <v/>
      </c>
      <c r="BH26" s="303">
        <f>BH22/-BH24</f>
        <v/>
      </c>
      <c r="BI26" s="303">
        <f>BI22/-BI24</f>
        <v/>
      </c>
      <c r="BJ26" s="303">
        <f>BJ22/-BJ24</f>
        <v/>
      </c>
      <c r="BK26" s="303">
        <f>BK22/-BK24</f>
        <v/>
      </c>
      <c r="BL26" s="303">
        <f>BL22/-BL24</f>
        <v/>
      </c>
      <c r="BM26" s="303">
        <f>BM22/-BM24</f>
        <v/>
      </c>
      <c r="BN26" s="303">
        <f>BN22/-BN24</f>
        <v/>
      </c>
      <c r="BO26" s="303">
        <f>BO22/-BO24</f>
        <v/>
      </c>
      <c r="BP26" s="303">
        <f>BP22/-BP24</f>
        <v/>
      </c>
      <c r="BQ26" s="303">
        <f>BQ22/-BQ24</f>
        <v/>
      </c>
      <c r="BR26" s="303">
        <f>BR22/-BR24</f>
        <v/>
      </c>
      <c r="BS26" s="303">
        <f>BS22/-BS24</f>
        <v/>
      </c>
      <c r="BT26" s="303">
        <f>BT22/-BT24</f>
        <v/>
      </c>
      <c r="BU26" s="303">
        <f>BU22/-BU24</f>
        <v/>
      </c>
      <c r="BV26" s="303">
        <f>BV22/-BV24</f>
        <v/>
      </c>
      <c r="BW26" s="303">
        <f>BW22/-BW24</f>
        <v/>
      </c>
      <c r="BX26" s="303">
        <f>BX22/-BX24</f>
        <v/>
      </c>
      <c r="BY26" s="303">
        <f>BY22/-BY24</f>
        <v/>
      </c>
      <c r="BZ26" s="303">
        <f>BZ22/-BZ24</f>
        <v/>
      </c>
      <c r="CA26" s="303">
        <f>CA22/-CA24</f>
        <v/>
      </c>
      <c r="CB26" s="303">
        <f>CB22/-CB24</f>
        <v/>
      </c>
      <c r="CC26" s="303">
        <f>CC22/-CC24</f>
        <v/>
      </c>
      <c r="CD26" s="303">
        <f>CD22/-CD24</f>
        <v/>
      </c>
      <c r="CE26" s="303">
        <f>CE22/-CE24</f>
        <v/>
      </c>
      <c r="CF26" s="303">
        <f>CF22/-CF24</f>
        <v/>
      </c>
      <c r="CG26" s="303">
        <f>CG22/-CG24</f>
        <v/>
      </c>
      <c r="CH26" s="303">
        <f>CH22/-CH24</f>
        <v/>
      </c>
      <c r="CI26" s="303">
        <f>CI22/-CI24</f>
        <v/>
      </c>
      <c r="CJ26" s="303">
        <f>CJ22/-CJ24</f>
        <v/>
      </c>
      <c r="CK26" s="303">
        <f>CK22/-CK24</f>
        <v/>
      </c>
      <c r="CL26" s="303">
        <f>CL22/-CL24</f>
        <v/>
      </c>
      <c r="CM26" s="303">
        <f>CM22/-CM24</f>
        <v/>
      </c>
      <c r="CN26" s="303">
        <f>CN22/-CN24</f>
        <v/>
      </c>
      <c r="CO26" s="303">
        <f>CO22/-CO24</f>
        <v/>
      </c>
      <c r="CP26" s="303">
        <f>CP22/-CP24</f>
        <v/>
      </c>
      <c r="CQ26" s="303">
        <f>CQ22/-CQ24</f>
        <v/>
      </c>
      <c r="CR26" s="303">
        <f>CR22/-CR24</f>
        <v/>
      </c>
      <c r="CS26" s="303">
        <f>CS22/-CS24</f>
        <v/>
      </c>
      <c r="CT26" s="303">
        <f>CT22/-CT24</f>
        <v/>
      </c>
      <c r="CU26" s="303">
        <f>CU22/-CU24</f>
        <v/>
      </c>
      <c r="CV26" s="303">
        <f>CV22/-CV24</f>
        <v/>
      </c>
      <c r="CW26" s="303">
        <f>CW22/-CW24</f>
        <v/>
      </c>
      <c r="CX26" s="303">
        <f>CX22/-CX24</f>
        <v/>
      </c>
      <c r="CY26" s="303">
        <f>CY22/-CY24</f>
        <v/>
      </c>
      <c r="CZ26" s="303">
        <f>CZ22/-CZ24</f>
        <v/>
      </c>
      <c r="DA26" s="303">
        <f>DA22/-DA24</f>
        <v/>
      </c>
      <c r="DB26" s="303">
        <f>DB22/-DB24</f>
        <v/>
      </c>
      <c r="DC26" s="303">
        <f>DC22/-DC24</f>
        <v/>
      </c>
      <c r="DD26" s="303">
        <f>DD22/-DD24</f>
        <v/>
      </c>
      <c r="DE26" s="303">
        <f>DE22/-DE24</f>
        <v/>
      </c>
      <c r="DF26" s="303">
        <f>DF22/-DF24</f>
        <v/>
      </c>
      <c r="DG26" s="303">
        <f>DG22/-DG24</f>
        <v/>
      </c>
      <c r="DH26" s="303">
        <f>DH22/-DH24</f>
        <v/>
      </c>
      <c r="DI26" s="303">
        <f>DI22/-DI24</f>
        <v/>
      </c>
      <c r="DJ26" s="303">
        <f>DJ22/-DJ24</f>
        <v/>
      </c>
      <c r="DK26" s="303">
        <f>DK22/-DK24</f>
        <v/>
      </c>
      <c r="DL26" s="303">
        <f>DL22/-DL24</f>
        <v/>
      </c>
      <c r="DM26" s="303">
        <f>DM22/-DM24</f>
        <v/>
      </c>
      <c r="DN26" s="303">
        <f>DN22/-DN24</f>
        <v/>
      </c>
      <c r="DO26" s="303">
        <f>DO22/-DO24</f>
        <v/>
      </c>
      <c r="DP26" s="303">
        <f>DP22/-DP24</f>
        <v/>
      </c>
      <c r="DQ26" s="303">
        <f>DQ22/-DQ24</f>
        <v/>
      </c>
      <c r="DR26" s="303">
        <f>DR22/-DR24</f>
        <v/>
      </c>
      <c r="DS26" s="303">
        <f>DS22/-DS24</f>
        <v/>
      </c>
      <c r="DT26" s="303">
        <f>DT22/-DT24</f>
        <v/>
      </c>
    </row>
    <row r="28">
      <c r="B28" s="63" t="inlineStr">
        <is>
          <t>Unlevered Cash Flow</t>
        </is>
      </c>
      <c r="C28" s="64" t="n"/>
      <c r="D28" s="64" t="n"/>
      <c r="E28" s="64" t="n"/>
      <c r="F28" s="64" t="n"/>
      <c r="G28" s="64" t="n"/>
      <c r="H28" s="64" t="n"/>
      <c r="I28" s="64" t="n"/>
      <c r="J28" s="64" t="n"/>
      <c r="K28" s="64" t="n"/>
      <c r="L28" s="64" t="n"/>
      <c r="M28" s="64" t="n"/>
      <c r="N28" s="64" t="n"/>
      <c r="O28" s="64" t="n"/>
      <c r="P28" s="64" t="n"/>
      <c r="Q28" s="64" t="n"/>
      <c r="R28" s="64" t="n"/>
      <c r="S28" s="64" t="n"/>
      <c r="T28" s="64" t="n"/>
      <c r="U28" s="64" t="n"/>
      <c r="V28" s="64" t="n"/>
      <c r="W28" s="64" t="n"/>
      <c r="X28" s="64" t="n"/>
      <c r="Y28" s="64" t="n"/>
      <c r="Z28" s="64" t="n"/>
      <c r="AA28" s="64" t="n"/>
      <c r="AB28" s="64" t="n"/>
      <c r="AC28" s="64" t="n"/>
      <c r="AD28" s="64" t="n"/>
      <c r="AE28" s="64" t="n"/>
      <c r="AF28" s="64" t="n"/>
      <c r="AG28" s="64" t="n"/>
      <c r="AH28" s="64" t="n"/>
      <c r="AI28" s="64" t="n"/>
      <c r="AJ28" s="64" t="n"/>
      <c r="AK28" s="64" t="n"/>
      <c r="AL28" s="64" t="n"/>
      <c r="AM28" s="64" t="n"/>
      <c r="AN28" s="64" t="n"/>
      <c r="AO28" s="64" t="n"/>
      <c r="AP28" s="64" t="n"/>
      <c r="AQ28" s="64" t="n"/>
      <c r="AR28" s="64" t="n"/>
      <c r="AS28" s="64" t="n"/>
      <c r="AT28" s="64" t="n"/>
      <c r="AU28" s="64" t="n"/>
      <c r="AV28" s="64" t="n"/>
      <c r="AW28" s="64" t="n"/>
      <c r="AX28" s="64" t="n"/>
      <c r="AY28" s="64" t="n"/>
      <c r="AZ28" s="64" t="n"/>
      <c r="BA28" s="64" t="n"/>
      <c r="BB28" s="64" t="n"/>
      <c r="BC28" s="64" t="n"/>
      <c r="BD28" s="64" t="n"/>
      <c r="BE28" s="64" t="n"/>
      <c r="BF28" s="64" t="n"/>
      <c r="BG28" s="64" t="n"/>
      <c r="BH28" s="64" t="n"/>
      <c r="BI28" s="64" t="n"/>
      <c r="BJ28" s="64" t="n"/>
      <c r="BK28" s="64" t="n"/>
      <c r="BL28" s="64" t="n"/>
      <c r="BM28" s="64" t="n"/>
      <c r="BN28" s="64" t="n"/>
      <c r="BO28" s="64" t="n"/>
      <c r="BP28" s="64" t="n"/>
      <c r="BQ28" s="64" t="n"/>
      <c r="BR28" s="64" t="n"/>
      <c r="BS28" s="64" t="n"/>
      <c r="BT28" s="64" t="n"/>
      <c r="BU28" s="64" t="n"/>
      <c r="BV28" s="64" t="n"/>
      <c r="BW28" s="64" t="n"/>
      <c r="BX28" s="64" t="n"/>
      <c r="BY28" s="64" t="n"/>
      <c r="BZ28" s="64" t="n"/>
      <c r="CA28" s="64" t="n"/>
      <c r="CB28" s="64" t="n"/>
      <c r="CC28" s="64" t="n"/>
      <c r="CD28" s="64" t="n"/>
      <c r="CE28" s="64" t="n"/>
      <c r="CF28" s="64" t="n"/>
      <c r="CG28" s="64" t="n"/>
      <c r="CH28" s="64" t="n"/>
      <c r="CI28" s="64" t="n"/>
      <c r="CJ28" s="64" t="n"/>
      <c r="CK28" s="64" t="n"/>
      <c r="CL28" s="64" t="n"/>
      <c r="CM28" s="64" t="n"/>
      <c r="CN28" s="64" t="n"/>
      <c r="CO28" s="64" t="n"/>
      <c r="CP28" s="64" t="n"/>
      <c r="CQ28" s="64" t="n"/>
      <c r="CR28" s="64" t="n"/>
      <c r="CS28" s="64" t="n"/>
      <c r="CT28" s="64" t="n"/>
      <c r="CU28" s="64" t="n"/>
      <c r="CV28" s="64" t="n"/>
      <c r="CW28" s="64" t="n"/>
      <c r="CX28" s="64" t="n"/>
      <c r="CY28" s="64" t="n"/>
      <c r="CZ28" s="64" t="n"/>
      <c r="DA28" s="64" t="n"/>
      <c r="DB28" s="64" t="n"/>
      <c r="DC28" s="64" t="n"/>
      <c r="DD28" s="64" t="n"/>
      <c r="DE28" s="64" t="n"/>
      <c r="DF28" s="64" t="n"/>
      <c r="DG28" s="64" t="n"/>
      <c r="DH28" s="64" t="n"/>
      <c r="DI28" s="64" t="n"/>
      <c r="DJ28" s="64" t="n"/>
      <c r="DK28" s="64" t="n"/>
      <c r="DL28" s="64" t="n"/>
      <c r="DM28" s="64" t="n"/>
      <c r="DN28" s="64" t="n"/>
      <c r="DO28" s="64" t="n"/>
      <c r="DP28" s="64" t="n"/>
      <c r="DQ28" s="64" t="n"/>
      <c r="DR28" s="64" t="n"/>
      <c r="DS28" s="64" t="n"/>
      <c r="DT28" s="64" t="n"/>
    </row>
    <row r="29">
      <c r="B29" s="1" t="inlineStr">
        <is>
          <t>(-) Purchase Price</t>
        </is>
      </c>
      <c r="C29" s="33" t="n"/>
      <c r="D29" s="299">
        <f>-PurchasePrice</f>
        <v/>
      </c>
      <c r="E29" s="304" t="n">
        <v>0</v>
      </c>
      <c r="F29" s="304" t="n">
        <v>0</v>
      </c>
      <c r="G29" s="304" t="n">
        <v>0</v>
      </c>
      <c r="H29" s="304" t="n">
        <v>0</v>
      </c>
      <c r="I29" s="304" t="n">
        <v>0</v>
      </c>
      <c r="J29" s="304" t="n">
        <v>0</v>
      </c>
      <c r="K29" s="304" t="n">
        <v>0</v>
      </c>
      <c r="L29" s="304" t="n">
        <v>0</v>
      </c>
      <c r="M29" s="304" t="n">
        <v>0</v>
      </c>
      <c r="N29" s="304" t="n">
        <v>0</v>
      </c>
      <c r="O29" s="304" t="n">
        <v>0</v>
      </c>
      <c r="P29" s="304" t="n">
        <v>0</v>
      </c>
      <c r="Q29" s="304" t="n">
        <v>0</v>
      </c>
      <c r="R29" s="304" t="n">
        <v>0</v>
      </c>
      <c r="S29" s="304" t="n">
        <v>0</v>
      </c>
      <c r="T29" s="304" t="n">
        <v>0</v>
      </c>
      <c r="U29" s="304" t="n">
        <v>0</v>
      </c>
      <c r="V29" s="304" t="n">
        <v>0</v>
      </c>
      <c r="W29" s="304" t="n">
        <v>0</v>
      </c>
      <c r="X29" s="304" t="n">
        <v>0</v>
      </c>
      <c r="Y29" s="304" t="n">
        <v>0</v>
      </c>
      <c r="Z29" s="304" t="n">
        <v>0</v>
      </c>
      <c r="AA29" s="304" t="n">
        <v>0</v>
      </c>
      <c r="AB29" s="304" t="n">
        <v>0</v>
      </c>
      <c r="AC29" s="304" t="n">
        <v>0</v>
      </c>
      <c r="AD29" s="304" t="n">
        <v>0</v>
      </c>
      <c r="AE29" s="304" t="n">
        <v>0</v>
      </c>
      <c r="AF29" s="304" t="n">
        <v>0</v>
      </c>
      <c r="AG29" s="304" t="n">
        <v>0</v>
      </c>
      <c r="AH29" s="304" t="n">
        <v>0</v>
      </c>
      <c r="AI29" s="304" t="n">
        <v>0</v>
      </c>
      <c r="AJ29" s="304" t="n">
        <v>0</v>
      </c>
      <c r="AK29" s="304" t="n">
        <v>0</v>
      </c>
      <c r="AL29" s="304" t="n">
        <v>0</v>
      </c>
      <c r="AM29" s="304" t="n">
        <v>0</v>
      </c>
      <c r="AN29" s="304" t="n">
        <v>0</v>
      </c>
      <c r="AO29" s="304" t="n">
        <v>0</v>
      </c>
      <c r="AP29" s="304" t="n">
        <v>0</v>
      </c>
      <c r="AQ29" s="304" t="n">
        <v>0</v>
      </c>
      <c r="AR29" s="304" t="n">
        <v>0</v>
      </c>
      <c r="AS29" s="304" t="n">
        <v>0</v>
      </c>
      <c r="AT29" s="304" t="n">
        <v>0</v>
      </c>
      <c r="AU29" s="304" t="n">
        <v>0</v>
      </c>
      <c r="AV29" s="304" t="n">
        <v>0</v>
      </c>
      <c r="AW29" s="304" t="n">
        <v>0</v>
      </c>
      <c r="AX29" s="304" t="n">
        <v>0</v>
      </c>
      <c r="AY29" s="304" t="n">
        <v>0</v>
      </c>
      <c r="AZ29" s="304" t="n">
        <v>0</v>
      </c>
      <c r="BA29" s="304" t="n">
        <v>0</v>
      </c>
      <c r="BB29" s="304" t="n">
        <v>0</v>
      </c>
      <c r="BC29" s="304" t="n">
        <v>0</v>
      </c>
      <c r="BD29" s="304" t="n">
        <v>0</v>
      </c>
      <c r="BE29" s="304" t="n">
        <v>0</v>
      </c>
      <c r="BF29" s="304" t="n">
        <v>0</v>
      </c>
      <c r="BG29" s="304" t="n">
        <v>0</v>
      </c>
      <c r="BH29" s="304" t="n">
        <v>0</v>
      </c>
      <c r="BI29" s="304" t="n">
        <v>0</v>
      </c>
      <c r="BJ29" s="304" t="n">
        <v>0</v>
      </c>
      <c r="BK29" s="304" t="n">
        <v>0</v>
      </c>
      <c r="BL29" s="304" t="n">
        <v>0</v>
      </c>
      <c r="BM29" s="304" t="n">
        <v>0</v>
      </c>
      <c r="BN29" s="304" t="n">
        <v>0</v>
      </c>
      <c r="BO29" s="304" t="n">
        <v>0</v>
      </c>
      <c r="BP29" s="304" t="n">
        <v>0</v>
      </c>
      <c r="BQ29" s="304" t="n">
        <v>0</v>
      </c>
      <c r="BR29" s="304" t="n">
        <v>0</v>
      </c>
      <c r="BS29" s="304" t="n">
        <v>0</v>
      </c>
      <c r="BT29" s="304" t="n">
        <v>0</v>
      </c>
      <c r="BU29" s="304" t="n">
        <v>0</v>
      </c>
      <c r="BV29" s="304" t="n">
        <v>0</v>
      </c>
      <c r="BW29" s="304" t="n">
        <v>0</v>
      </c>
      <c r="BX29" s="304" t="n">
        <v>0</v>
      </c>
      <c r="BY29" s="304" t="n">
        <v>0</v>
      </c>
      <c r="BZ29" s="304" t="n">
        <v>0</v>
      </c>
      <c r="CA29" s="304" t="n">
        <v>0</v>
      </c>
      <c r="CB29" s="304" t="n">
        <v>0</v>
      </c>
      <c r="CC29" s="304" t="n">
        <v>0</v>
      </c>
      <c r="CD29" s="304" t="n">
        <v>0</v>
      </c>
      <c r="CE29" s="304" t="n">
        <v>0</v>
      </c>
      <c r="CF29" s="304" t="n">
        <v>0</v>
      </c>
      <c r="CG29" s="304" t="n">
        <v>0</v>
      </c>
      <c r="CH29" s="304" t="n">
        <v>0</v>
      </c>
      <c r="CI29" s="304" t="n">
        <v>0</v>
      </c>
      <c r="CJ29" s="304" t="n">
        <v>0</v>
      </c>
      <c r="CK29" s="304" t="n">
        <v>0</v>
      </c>
      <c r="CL29" s="304" t="n">
        <v>0</v>
      </c>
      <c r="CM29" s="304" t="n">
        <v>0</v>
      </c>
      <c r="CN29" s="304" t="n">
        <v>0</v>
      </c>
      <c r="CO29" s="304" t="n">
        <v>0</v>
      </c>
      <c r="CP29" s="304" t="n">
        <v>0</v>
      </c>
      <c r="CQ29" s="304" t="n">
        <v>0</v>
      </c>
      <c r="CR29" s="304" t="n">
        <v>0</v>
      </c>
      <c r="CS29" s="304" t="n">
        <v>0</v>
      </c>
      <c r="CT29" s="304" t="n">
        <v>0</v>
      </c>
      <c r="CU29" s="304" t="n">
        <v>0</v>
      </c>
      <c r="CV29" s="304" t="n">
        <v>0</v>
      </c>
      <c r="CW29" s="304" t="n">
        <v>0</v>
      </c>
      <c r="CX29" s="304" t="n">
        <v>0</v>
      </c>
      <c r="CY29" s="304" t="n">
        <v>0</v>
      </c>
      <c r="CZ29" s="304" t="n">
        <v>0</v>
      </c>
      <c r="DA29" s="304" t="n">
        <v>0</v>
      </c>
      <c r="DB29" s="304" t="n">
        <v>0</v>
      </c>
      <c r="DC29" s="304" t="n">
        <v>0</v>
      </c>
      <c r="DD29" s="304" t="n">
        <v>0</v>
      </c>
      <c r="DE29" s="304" t="n">
        <v>0</v>
      </c>
      <c r="DF29" s="304" t="n">
        <v>0</v>
      </c>
      <c r="DG29" s="304" t="n">
        <v>0</v>
      </c>
      <c r="DH29" s="304" t="n">
        <v>0</v>
      </c>
      <c r="DI29" s="304" t="n">
        <v>0</v>
      </c>
      <c r="DJ29" s="304" t="n">
        <v>0</v>
      </c>
      <c r="DK29" s="304" t="n">
        <v>0</v>
      </c>
      <c r="DL29" s="304" t="n">
        <v>0</v>
      </c>
      <c r="DM29" s="304" t="n">
        <v>0</v>
      </c>
      <c r="DN29" s="304" t="n">
        <v>0</v>
      </c>
      <c r="DO29" s="304" t="n">
        <v>0</v>
      </c>
      <c r="DP29" s="304" t="n">
        <v>0</v>
      </c>
      <c r="DQ29" s="304" t="n">
        <v>0</v>
      </c>
      <c r="DR29" s="304" t="n">
        <v>0</v>
      </c>
      <c r="DS29" s="304" t="n">
        <v>0</v>
      </c>
      <c r="DT29" s="304" t="n">
        <v>0</v>
      </c>
    </row>
    <row r="30">
      <c r="B30" s="1">
        <f>"(-) "&amp;'Inputs &amp; Summary'!N16</f>
        <v/>
      </c>
      <c r="C30" s="33" t="n"/>
      <c r="D30" s="299">
        <f>-'Inputs &amp; Summary'!P16</f>
        <v/>
      </c>
      <c r="E30" s="304" t="n">
        <v>0</v>
      </c>
      <c r="F30" s="304" t="n">
        <v>0</v>
      </c>
      <c r="G30" s="304" t="n">
        <v>0</v>
      </c>
      <c r="H30" s="304" t="n">
        <v>0</v>
      </c>
      <c r="I30" s="304" t="n">
        <v>0</v>
      </c>
      <c r="J30" s="304" t="n">
        <v>0</v>
      </c>
      <c r="K30" s="304" t="n">
        <v>0</v>
      </c>
      <c r="L30" s="304" t="n">
        <v>0</v>
      </c>
      <c r="M30" s="304" t="n">
        <v>0</v>
      </c>
      <c r="N30" s="304" t="n">
        <v>0</v>
      </c>
      <c r="O30" s="304" t="n">
        <v>0</v>
      </c>
      <c r="P30" s="304" t="n">
        <v>0</v>
      </c>
      <c r="Q30" s="304" t="n">
        <v>0</v>
      </c>
      <c r="R30" s="304" t="n">
        <v>0</v>
      </c>
      <c r="S30" s="304" t="n">
        <v>0</v>
      </c>
      <c r="T30" s="304" t="n">
        <v>0</v>
      </c>
      <c r="U30" s="304" t="n">
        <v>0</v>
      </c>
      <c r="V30" s="304" t="n">
        <v>0</v>
      </c>
      <c r="W30" s="304" t="n">
        <v>0</v>
      </c>
      <c r="X30" s="304" t="n">
        <v>0</v>
      </c>
      <c r="Y30" s="304" t="n">
        <v>0</v>
      </c>
      <c r="Z30" s="304" t="n">
        <v>0</v>
      </c>
      <c r="AA30" s="304" t="n">
        <v>0</v>
      </c>
      <c r="AB30" s="304" t="n">
        <v>0</v>
      </c>
      <c r="AC30" s="304" t="n">
        <v>0</v>
      </c>
      <c r="AD30" s="304" t="n">
        <v>0</v>
      </c>
      <c r="AE30" s="304" t="n">
        <v>0</v>
      </c>
      <c r="AF30" s="304" t="n">
        <v>0</v>
      </c>
      <c r="AG30" s="304" t="n">
        <v>0</v>
      </c>
      <c r="AH30" s="304" t="n">
        <v>0</v>
      </c>
      <c r="AI30" s="304" t="n">
        <v>0</v>
      </c>
      <c r="AJ30" s="304" t="n">
        <v>0</v>
      </c>
      <c r="AK30" s="304" t="n">
        <v>0</v>
      </c>
      <c r="AL30" s="304" t="n">
        <v>0</v>
      </c>
      <c r="AM30" s="304" t="n">
        <v>0</v>
      </c>
      <c r="AN30" s="304" t="n">
        <v>0</v>
      </c>
      <c r="AO30" s="304" t="n">
        <v>0</v>
      </c>
      <c r="AP30" s="304" t="n">
        <v>0</v>
      </c>
      <c r="AQ30" s="304" t="n">
        <v>0</v>
      </c>
      <c r="AR30" s="304" t="n">
        <v>0</v>
      </c>
      <c r="AS30" s="304" t="n">
        <v>0</v>
      </c>
      <c r="AT30" s="304" t="n">
        <v>0</v>
      </c>
      <c r="AU30" s="304" t="n">
        <v>0</v>
      </c>
      <c r="AV30" s="304" t="n">
        <v>0</v>
      </c>
      <c r="AW30" s="304" t="n">
        <v>0</v>
      </c>
      <c r="AX30" s="304" t="n">
        <v>0</v>
      </c>
      <c r="AY30" s="304" t="n">
        <v>0</v>
      </c>
      <c r="AZ30" s="304" t="n">
        <v>0</v>
      </c>
      <c r="BA30" s="304" t="n">
        <v>0</v>
      </c>
      <c r="BB30" s="304" t="n">
        <v>0</v>
      </c>
      <c r="BC30" s="304" t="n">
        <v>0</v>
      </c>
      <c r="BD30" s="304" t="n">
        <v>0</v>
      </c>
      <c r="BE30" s="304" t="n">
        <v>0</v>
      </c>
      <c r="BF30" s="304" t="n">
        <v>0</v>
      </c>
      <c r="BG30" s="304" t="n">
        <v>0</v>
      </c>
      <c r="BH30" s="304" t="n">
        <v>0</v>
      </c>
      <c r="BI30" s="304" t="n">
        <v>0</v>
      </c>
      <c r="BJ30" s="304" t="n">
        <v>0</v>
      </c>
      <c r="BK30" s="304" t="n">
        <v>0</v>
      </c>
      <c r="BL30" s="304" t="n">
        <v>0</v>
      </c>
      <c r="BM30" s="304" t="n">
        <v>0</v>
      </c>
      <c r="BN30" s="304" t="n">
        <v>0</v>
      </c>
      <c r="BO30" s="304" t="n">
        <v>0</v>
      </c>
      <c r="BP30" s="304" t="n">
        <v>0</v>
      </c>
      <c r="BQ30" s="304" t="n">
        <v>0</v>
      </c>
      <c r="BR30" s="304" t="n">
        <v>0</v>
      </c>
      <c r="BS30" s="304" t="n">
        <v>0</v>
      </c>
      <c r="BT30" s="304" t="n">
        <v>0</v>
      </c>
      <c r="BU30" s="304" t="n">
        <v>0</v>
      </c>
      <c r="BV30" s="304" t="n">
        <v>0</v>
      </c>
      <c r="BW30" s="304" t="n">
        <v>0</v>
      </c>
      <c r="BX30" s="304" t="n">
        <v>0</v>
      </c>
      <c r="BY30" s="304" t="n">
        <v>0</v>
      </c>
      <c r="BZ30" s="304" t="n">
        <v>0</v>
      </c>
      <c r="CA30" s="304" t="n">
        <v>0</v>
      </c>
      <c r="CB30" s="304" t="n">
        <v>0</v>
      </c>
      <c r="CC30" s="304" t="n">
        <v>0</v>
      </c>
      <c r="CD30" s="304" t="n">
        <v>0</v>
      </c>
      <c r="CE30" s="304" t="n">
        <v>0</v>
      </c>
      <c r="CF30" s="304" t="n">
        <v>0</v>
      </c>
      <c r="CG30" s="304" t="n">
        <v>0</v>
      </c>
      <c r="CH30" s="304" t="n">
        <v>0</v>
      </c>
      <c r="CI30" s="304" t="n">
        <v>0</v>
      </c>
      <c r="CJ30" s="304" t="n">
        <v>0</v>
      </c>
      <c r="CK30" s="304" t="n">
        <v>0</v>
      </c>
      <c r="CL30" s="304" t="n">
        <v>0</v>
      </c>
      <c r="CM30" s="304" t="n">
        <v>0</v>
      </c>
      <c r="CN30" s="304" t="n">
        <v>0</v>
      </c>
      <c r="CO30" s="304" t="n">
        <v>0</v>
      </c>
      <c r="CP30" s="304" t="n">
        <v>0</v>
      </c>
      <c r="CQ30" s="304" t="n">
        <v>0</v>
      </c>
      <c r="CR30" s="304" t="n">
        <v>0</v>
      </c>
      <c r="CS30" s="304" t="n">
        <v>0</v>
      </c>
      <c r="CT30" s="304" t="n">
        <v>0</v>
      </c>
      <c r="CU30" s="304" t="n">
        <v>0</v>
      </c>
      <c r="CV30" s="304" t="n">
        <v>0</v>
      </c>
      <c r="CW30" s="304" t="n">
        <v>0</v>
      </c>
      <c r="CX30" s="304" t="n">
        <v>0</v>
      </c>
      <c r="CY30" s="304" t="n">
        <v>0</v>
      </c>
      <c r="CZ30" s="304" t="n">
        <v>0</v>
      </c>
      <c r="DA30" s="304" t="n">
        <v>0</v>
      </c>
      <c r="DB30" s="304" t="n">
        <v>0</v>
      </c>
      <c r="DC30" s="304" t="n">
        <v>0</v>
      </c>
      <c r="DD30" s="304" t="n">
        <v>0</v>
      </c>
      <c r="DE30" s="304" t="n">
        <v>0</v>
      </c>
      <c r="DF30" s="304" t="n">
        <v>0</v>
      </c>
      <c r="DG30" s="304" t="n">
        <v>0</v>
      </c>
      <c r="DH30" s="304" t="n">
        <v>0</v>
      </c>
      <c r="DI30" s="304" t="n">
        <v>0</v>
      </c>
      <c r="DJ30" s="304" t="n">
        <v>0</v>
      </c>
      <c r="DK30" s="304" t="n">
        <v>0</v>
      </c>
      <c r="DL30" s="304" t="n">
        <v>0</v>
      </c>
      <c r="DM30" s="304" t="n">
        <v>0</v>
      </c>
      <c r="DN30" s="304" t="n">
        <v>0</v>
      </c>
      <c r="DO30" s="304" t="n">
        <v>0</v>
      </c>
      <c r="DP30" s="304" t="n">
        <v>0</v>
      </c>
      <c r="DQ30" s="304" t="n">
        <v>0</v>
      </c>
      <c r="DR30" s="304" t="n">
        <v>0</v>
      </c>
      <c r="DS30" s="304" t="n">
        <v>0</v>
      </c>
      <c r="DT30" s="304" t="n">
        <v>0</v>
      </c>
    </row>
    <row r="31">
      <c r="B31" s="1">
        <f>"(-) "&amp;'Inputs &amp; Summary'!N17</f>
        <v/>
      </c>
      <c r="C31" s="33" t="n"/>
      <c r="D31" s="299">
        <f>-'Inputs &amp; Summary'!P17</f>
        <v/>
      </c>
      <c r="E31" s="304" t="n">
        <v>0</v>
      </c>
      <c r="F31" s="304" t="n">
        <v>0</v>
      </c>
      <c r="G31" s="304" t="n">
        <v>0</v>
      </c>
      <c r="H31" s="304" t="n">
        <v>0</v>
      </c>
      <c r="I31" s="304" t="n">
        <v>0</v>
      </c>
      <c r="J31" s="304" t="n">
        <v>0</v>
      </c>
      <c r="K31" s="304" t="n">
        <v>0</v>
      </c>
      <c r="L31" s="304" t="n">
        <v>0</v>
      </c>
      <c r="M31" s="304" t="n">
        <v>0</v>
      </c>
      <c r="N31" s="304" t="n">
        <v>0</v>
      </c>
      <c r="O31" s="304" t="n">
        <v>0</v>
      </c>
      <c r="P31" s="304" t="n">
        <v>0</v>
      </c>
      <c r="Q31" s="304" t="n">
        <v>0</v>
      </c>
      <c r="R31" s="304" t="n">
        <v>0</v>
      </c>
      <c r="S31" s="304" t="n">
        <v>0</v>
      </c>
      <c r="T31" s="304" t="n">
        <v>0</v>
      </c>
      <c r="U31" s="304" t="n">
        <v>0</v>
      </c>
      <c r="V31" s="304" t="n">
        <v>0</v>
      </c>
      <c r="W31" s="304" t="n">
        <v>0</v>
      </c>
      <c r="X31" s="304" t="n">
        <v>0</v>
      </c>
      <c r="Y31" s="304" t="n">
        <v>0</v>
      </c>
      <c r="Z31" s="304" t="n">
        <v>0</v>
      </c>
      <c r="AA31" s="304" t="n">
        <v>0</v>
      </c>
      <c r="AB31" s="304" t="n">
        <v>0</v>
      </c>
      <c r="AC31" s="304" t="n">
        <v>0</v>
      </c>
      <c r="AD31" s="304" t="n">
        <v>0</v>
      </c>
      <c r="AE31" s="304" t="n">
        <v>0</v>
      </c>
      <c r="AF31" s="304" t="n">
        <v>0</v>
      </c>
      <c r="AG31" s="304" t="n">
        <v>0</v>
      </c>
      <c r="AH31" s="304" t="n">
        <v>0</v>
      </c>
      <c r="AI31" s="304" t="n">
        <v>0</v>
      </c>
      <c r="AJ31" s="304" t="n">
        <v>0</v>
      </c>
      <c r="AK31" s="304" t="n">
        <v>0</v>
      </c>
      <c r="AL31" s="304" t="n">
        <v>0</v>
      </c>
      <c r="AM31" s="304" t="n">
        <v>0</v>
      </c>
      <c r="AN31" s="304" t="n">
        <v>0</v>
      </c>
      <c r="AO31" s="304" t="n">
        <v>0</v>
      </c>
      <c r="AP31" s="304" t="n">
        <v>0</v>
      </c>
      <c r="AQ31" s="304" t="n">
        <v>0</v>
      </c>
      <c r="AR31" s="304" t="n">
        <v>0</v>
      </c>
      <c r="AS31" s="304" t="n">
        <v>0</v>
      </c>
      <c r="AT31" s="304" t="n">
        <v>0</v>
      </c>
      <c r="AU31" s="304" t="n">
        <v>0</v>
      </c>
      <c r="AV31" s="304" t="n">
        <v>0</v>
      </c>
      <c r="AW31" s="304" t="n">
        <v>0</v>
      </c>
      <c r="AX31" s="304" t="n">
        <v>0</v>
      </c>
      <c r="AY31" s="304" t="n">
        <v>0</v>
      </c>
      <c r="AZ31" s="304" t="n">
        <v>0</v>
      </c>
      <c r="BA31" s="304" t="n">
        <v>0</v>
      </c>
      <c r="BB31" s="304" t="n">
        <v>0</v>
      </c>
      <c r="BC31" s="304" t="n">
        <v>0</v>
      </c>
      <c r="BD31" s="304" t="n">
        <v>0</v>
      </c>
      <c r="BE31" s="304" t="n">
        <v>0</v>
      </c>
      <c r="BF31" s="304" t="n">
        <v>0</v>
      </c>
      <c r="BG31" s="304" t="n">
        <v>0</v>
      </c>
      <c r="BH31" s="304" t="n">
        <v>0</v>
      </c>
      <c r="BI31" s="304" t="n">
        <v>0</v>
      </c>
      <c r="BJ31" s="304" t="n">
        <v>0</v>
      </c>
      <c r="BK31" s="304" t="n">
        <v>0</v>
      </c>
      <c r="BL31" s="304" t="n">
        <v>0</v>
      </c>
      <c r="BM31" s="304" t="n">
        <v>0</v>
      </c>
      <c r="BN31" s="304" t="n">
        <v>0</v>
      </c>
      <c r="BO31" s="304" t="n">
        <v>0</v>
      </c>
      <c r="BP31" s="304" t="n">
        <v>0</v>
      </c>
      <c r="BQ31" s="304" t="n">
        <v>0</v>
      </c>
      <c r="BR31" s="304" t="n">
        <v>0</v>
      </c>
      <c r="BS31" s="304" t="n">
        <v>0</v>
      </c>
      <c r="BT31" s="304" t="n">
        <v>0</v>
      </c>
      <c r="BU31" s="304" t="n">
        <v>0</v>
      </c>
      <c r="BV31" s="304" t="n">
        <v>0</v>
      </c>
      <c r="BW31" s="304" t="n">
        <v>0</v>
      </c>
      <c r="BX31" s="304" t="n">
        <v>0</v>
      </c>
      <c r="BY31" s="304" t="n">
        <v>0</v>
      </c>
      <c r="BZ31" s="304" t="n">
        <v>0</v>
      </c>
      <c r="CA31" s="304" t="n">
        <v>0</v>
      </c>
      <c r="CB31" s="304" t="n">
        <v>0</v>
      </c>
      <c r="CC31" s="304" t="n">
        <v>0</v>
      </c>
      <c r="CD31" s="304" t="n">
        <v>0</v>
      </c>
      <c r="CE31" s="304" t="n">
        <v>0</v>
      </c>
      <c r="CF31" s="304" t="n">
        <v>0</v>
      </c>
      <c r="CG31" s="304" t="n">
        <v>0</v>
      </c>
      <c r="CH31" s="304" t="n">
        <v>0</v>
      </c>
      <c r="CI31" s="304" t="n">
        <v>0</v>
      </c>
      <c r="CJ31" s="304" t="n">
        <v>0</v>
      </c>
      <c r="CK31" s="304" t="n">
        <v>0</v>
      </c>
      <c r="CL31" s="304" t="n">
        <v>0</v>
      </c>
      <c r="CM31" s="304" t="n">
        <v>0</v>
      </c>
      <c r="CN31" s="304" t="n">
        <v>0</v>
      </c>
      <c r="CO31" s="304" t="n">
        <v>0</v>
      </c>
      <c r="CP31" s="304" t="n">
        <v>0</v>
      </c>
      <c r="CQ31" s="304" t="n">
        <v>0</v>
      </c>
      <c r="CR31" s="304" t="n">
        <v>0</v>
      </c>
      <c r="CS31" s="304" t="n">
        <v>0</v>
      </c>
      <c r="CT31" s="304" t="n">
        <v>0</v>
      </c>
      <c r="CU31" s="304" t="n">
        <v>0</v>
      </c>
      <c r="CV31" s="304" t="n">
        <v>0</v>
      </c>
      <c r="CW31" s="304" t="n">
        <v>0</v>
      </c>
      <c r="CX31" s="304" t="n">
        <v>0</v>
      </c>
      <c r="CY31" s="304" t="n">
        <v>0</v>
      </c>
      <c r="CZ31" s="304" t="n">
        <v>0</v>
      </c>
      <c r="DA31" s="304" t="n">
        <v>0</v>
      </c>
      <c r="DB31" s="304" t="n">
        <v>0</v>
      </c>
      <c r="DC31" s="304" t="n">
        <v>0</v>
      </c>
      <c r="DD31" s="304" t="n">
        <v>0</v>
      </c>
      <c r="DE31" s="304" t="n">
        <v>0</v>
      </c>
      <c r="DF31" s="304" t="n">
        <v>0</v>
      </c>
      <c r="DG31" s="304" t="n">
        <v>0</v>
      </c>
      <c r="DH31" s="304" t="n">
        <v>0</v>
      </c>
      <c r="DI31" s="304" t="n">
        <v>0</v>
      </c>
      <c r="DJ31" s="304" t="n">
        <v>0</v>
      </c>
      <c r="DK31" s="304" t="n">
        <v>0</v>
      </c>
      <c r="DL31" s="304" t="n">
        <v>0</v>
      </c>
      <c r="DM31" s="304" t="n">
        <v>0</v>
      </c>
      <c r="DN31" s="304" t="n">
        <v>0</v>
      </c>
      <c r="DO31" s="304" t="n">
        <v>0</v>
      </c>
      <c r="DP31" s="304" t="n">
        <v>0</v>
      </c>
      <c r="DQ31" s="304" t="n">
        <v>0</v>
      </c>
      <c r="DR31" s="304" t="n">
        <v>0</v>
      </c>
      <c r="DS31" s="304" t="n">
        <v>0</v>
      </c>
      <c r="DT31" s="304" t="n">
        <v>0</v>
      </c>
    </row>
    <row r="32">
      <c r="B32" s="1">
        <f>"(+) "&amp;'Inputs &amp; Summary'!N18</f>
        <v/>
      </c>
      <c r="C32" s="33" t="n"/>
      <c r="D32" s="299">
        <f>-'Inputs &amp; Summary'!P18</f>
        <v/>
      </c>
      <c r="E32" s="304" t="n">
        <v>0</v>
      </c>
      <c r="F32" s="304" t="n">
        <v>0</v>
      </c>
      <c r="G32" s="304" t="n">
        <v>0</v>
      </c>
      <c r="H32" s="304" t="n">
        <v>0</v>
      </c>
      <c r="I32" s="304" t="n">
        <v>0</v>
      </c>
      <c r="J32" s="304" t="n">
        <v>0</v>
      </c>
      <c r="K32" s="304" t="n">
        <v>0</v>
      </c>
      <c r="L32" s="304" t="n">
        <v>0</v>
      </c>
      <c r="M32" s="304" t="n">
        <v>0</v>
      </c>
      <c r="N32" s="304" t="n">
        <v>0</v>
      </c>
      <c r="O32" s="304" t="n">
        <v>0</v>
      </c>
      <c r="P32" s="304" t="n">
        <v>0</v>
      </c>
      <c r="Q32" s="304" t="n">
        <v>0</v>
      </c>
      <c r="R32" s="304" t="n">
        <v>0</v>
      </c>
      <c r="S32" s="304" t="n">
        <v>0</v>
      </c>
      <c r="T32" s="304" t="n">
        <v>0</v>
      </c>
      <c r="U32" s="304" t="n">
        <v>0</v>
      </c>
      <c r="V32" s="304" t="n">
        <v>0</v>
      </c>
      <c r="W32" s="304" t="n">
        <v>0</v>
      </c>
      <c r="X32" s="304" t="n">
        <v>0</v>
      </c>
      <c r="Y32" s="304" t="n">
        <v>0</v>
      </c>
      <c r="Z32" s="304" t="n">
        <v>0</v>
      </c>
      <c r="AA32" s="304" t="n">
        <v>0</v>
      </c>
      <c r="AB32" s="304" t="n">
        <v>0</v>
      </c>
      <c r="AC32" s="304" t="n">
        <v>0</v>
      </c>
      <c r="AD32" s="304" t="n">
        <v>0</v>
      </c>
      <c r="AE32" s="304" t="n">
        <v>0</v>
      </c>
      <c r="AF32" s="304" t="n">
        <v>0</v>
      </c>
      <c r="AG32" s="304" t="n">
        <v>0</v>
      </c>
      <c r="AH32" s="304" t="n">
        <v>0</v>
      </c>
      <c r="AI32" s="304" t="n">
        <v>0</v>
      </c>
      <c r="AJ32" s="304" t="n">
        <v>0</v>
      </c>
      <c r="AK32" s="304" t="n">
        <v>0</v>
      </c>
      <c r="AL32" s="304" t="n">
        <v>0</v>
      </c>
      <c r="AM32" s="304" t="n">
        <v>0</v>
      </c>
      <c r="AN32" s="304" t="n">
        <v>0</v>
      </c>
      <c r="AO32" s="304" t="n">
        <v>0</v>
      </c>
      <c r="AP32" s="304" t="n">
        <v>0</v>
      </c>
      <c r="AQ32" s="304" t="n">
        <v>0</v>
      </c>
      <c r="AR32" s="304" t="n">
        <v>0</v>
      </c>
      <c r="AS32" s="304" t="n">
        <v>0</v>
      </c>
      <c r="AT32" s="304" t="n">
        <v>0</v>
      </c>
      <c r="AU32" s="304" t="n">
        <v>0</v>
      </c>
      <c r="AV32" s="304" t="n">
        <v>0</v>
      </c>
      <c r="AW32" s="304" t="n">
        <v>0</v>
      </c>
      <c r="AX32" s="304" t="n">
        <v>0</v>
      </c>
      <c r="AY32" s="304" t="n">
        <v>0</v>
      </c>
      <c r="AZ32" s="304" t="n">
        <v>0</v>
      </c>
      <c r="BA32" s="304" t="n">
        <v>0</v>
      </c>
      <c r="BB32" s="304" t="n">
        <v>0</v>
      </c>
      <c r="BC32" s="304" t="n">
        <v>0</v>
      </c>
      <c r="BD32" s="304" t="n">
        <v>0</v>
      </c>
      <c r="BE32" s="304" t="n">
        <v>0</v>
      </c>
      <c r="BF32" s="304" t="n">
        <v>0</v>
      </c>
      <c r="BG32" s="304" t="n">
        <v>0</v>
      </c>
      <c r="BH32" s="304" t="n">
        <v>0</v>
      </c>
      <c r="BI32" s="304" t="n">
        <v>0</v>
      </c>
      <c r="BJ32" s="304" t="n">
        <v>0</v>
      </c>
      <c r="BK32" s="304" t="n">
        <v>0</v>
      </c>
      <c r="BL32" s="304" t="n">
        <v>0</v>
      </c>
      <c r="BM32" s="304" t="n">
        <v>0</v>
      </c>
      <c r="BN32" s="304" t="n">
        <v>0</v>
      </c>
      <c r="BO32" s="304" t="n">
        <v>0</v>
      </c>
      <c r="BP32" s="304" t="n">
        <v>0</v>
      </c>
      <c r="BQ32" s="304" t="n">
        <v>0</v>
      </c>
      <c r="BR32" s="304" t="n">
        <v>0</v>
      </c>
      <c r="BS32" s="304" t="n">
        <v>0</v>
      </c>
      <c r="BT32" s="304" t="n">
        <v>0</v>
      </c>
      <c r="BU32" s="304" t="n">
        <v>0</v>
      </c>
      <c r="BV32" s="304" t="n">
        <v>0</v>
      </c>
      <c r="BW32" s="304" t="n">
        <v>0</v>
      </c>
      <c r="BX32" s="304" t="n">
        <v>0</v>
      </c>
      <c r="BY32" s="304" t="n">
        <v>0</v>
      </c>
      <c r="BZ32" s="304" t="n">
        <v>0</v>
      </c>
      <c r="CA32" s="304" t="n">
        <v>0</v>
      </c>
      <c r="CB32" s="304" t="n">
        <v>0</v>
      </c>
      <c r="CC32" s="304" t="n">
        <v>0</v>
      </c>
      <c r="CD32" s="304" t="n">
        <v>0</v>
      </c>
      <c r="CE32" s="304" t="n">
        <v>0</v>
      </c>
      <c r="CF32" s="304" t="n">
        <v>0</v>
      </c>
      <c r="CG32" s="304" t="n">
        <v>0</v>
      </c>
      <c r="CH32" s="304" t="n">
        <v>0</v>
      </c>
      <c r="CI32" s="304" t="n">
        <v>0</v>
      </c>
      <c r="CJ32" s="304" t="n">
        <v>0</v>
      </c>
      <c r="CK32" s="304" t="n">
        <v>0</v>
      </c>
      <c r="CL32" s="304" t="n">
        <v>0</v>
      </c>
      <c r="CM32" s="304" t="n">
        <v>0</v>
      </c>
      <c r="CN32" s="304" t="n">
        <v>0</v>
      </c>
      <c r="CO32" s="304" t="n">
        <v>0</v>
      </c>
      <c r="CP32" s="304" t="n">
        <v>0</v>
      </c>
      <c r="CQ32" s="304" t="n">
        <v>0</v>
      </c>
      <c r="CR32" s="304" t="n">
        <v>0</v>
      </c>
      <c r="CS32" s="304" t="n">
        <v>0</v>
      </c>
      <c r="CT32" s="304" t="n">
        <v>0</v>
      </c>
      <c r="CU32" s="304" t="n">
        <v>0</v>
      </c>
      <c r="CV32" s="304" t="n">
        <v>0</v>
      </c>
      <c r="CW32" s="304" t="n">
        <v>0</v>
      </c>
      <c r="CX32" s="304" t="n">
        <v>0</v>
      </c>
      <c r="CY32" s="304" t="n">
        <v>0</v>
      </c>
      <c r="CZ32" s="304" t="n">
        <v>0</v>
      </c>
      <c r="DA32" s="304" t="n">
        <v>0</v>
      </c>
      <c r="DB32" s="304" t="n">
        <v>0</v>
      </c>
      <c r="DC32" s="304" t="n">
        <v>0</v>
      </c>
      <c r="DD32" s="304" t="n">
        <v>0</v>
      </c>
      <c r="DE32" s="304" t="n">
        <v>0</v>
      </c>
      <c r="DF32" s="304" t="n">
        <v>0</v>
      </c>
      <c r="DG32" s="304" t="n">
        <v>0</v>
      </c>
      <c r="DH32" s="304" t="n">
        <v>0</v>
      </c>
      <c r="DI32" s="304" t="n">
        <v>0</v>
      </c>
      <c r="DJ32" s="304" t="n">
        <v>0</v>
      </c>
      <c r="DK32" s="304" t="n">
        <v>0</v>
      </c>
      <c r="DL32" s="304" t="n">
        <v>0</v>
      </c>
      <c r="DM32" s="304" t="n">
        <v>0</v>
      </c>
      <c r="DN32" s="304" t="n">
        <v>0</v>
      </c>
      <c r="DO32" s="304" t="n">
        <v>0</v>
      </c>
      <c r="DP32" s="304" t="n">
        <v>0</v>
      </c>
      <c r="DQ32" s="304" t="n">
        <v>0</v>
      </c>
      <c r="DR32" s="304" t="n">
        <v>0</v>
      </c>
      <c r="DS32" s="304" t="n">
        <v>0</v>
      </c>
      <c r="DT32" s="304" t="n">
        <v>0</v>
      </c>
    </row>
    <row r="33">
      <c r="B33" s="8">
        <f>"(-) "&amp;'Inputs &amp; Summary'!N21</f>
        <v/>
      </c>
      <c r="C33" s="124" t="n"/>
      <c r="D33" s="300">
        <f>-'Inputs &amp; Summary'!P21</f>
        <v/>
      </c>
      <c r="E33" s="305" t="n">
        <v>0</v>
      </c>
      <c r="F33" s="305" t="n">
        <v>0</v>
      </c>
      <c r="G33" s="305" t="n">
        <v>0</v>
      </c>
      <c r="H33" s="305" t="n">
        <v>0</v>
      </c>
      <c r="I33" s="305" t="n">
        <v>0</v>
      </c>
      <c r="J33" s="305" t="n">
        <v>0</v>
      </c>
      <c r="K33" s="305" t="n">
        <v>0</v>
      </c>
      <c r="L33" s="305" t="n">
        <v>0</v>
      </c>
      <c r="M33" s="305" t="n">
        <v>0</v>
      </c>
      <c r="N33" s="305" t="n">
        <v>0</v>
      </c>
      <c r="O33" s="305" t="n">
        <v>0</v>
      </c>
      <c r="P33" s="305" t="n">
        <v>0</v>
      </c>
      <c r="Q33" s="305" t="n">
        <v>0</v>
      </c>
      <c r="R33" s="305" t="n">
        <v>0</v>
      </c>
      <c r="S33" s="305" t="n">
        <v>0</v>
      </c>
      <c r="T33" s="305" t="n">
        <v>0</v>
      </c>
      <c r="U33" s="305" t="n">
        <v>0</v>
      </c>
      <c r="V33" s="305" t="n">
        <v>0</v>
      </c>
      <c r="W33" s="305" t="n">
        <v>0</v>
      </c>
      <c r="X33" s="305" t="n">
        <v>0</v>
      </c>
      <c r="Y33" s="305" t="n">
        <v>0</v>
      </c>
      <c r="Z33" s="305" t="n">
        <v>0</v>
      </c>
      <c r="AA33" s="305" t="n">
        <v>0</v>
      </c>
      <c r="AB33" s="305" t="n">
        <v>0</v>
      </c>
      <c r="AC33" s="305" t="n">
        <v>0</v>
      </c>
      <c r="AD33" s="305" t="n">
        <v>0</v>
      </c>
      <c r="AE33" s="305" t="n">
        <v>0</v>
      </c>
      <c r="AF33" s="305" t="n">
        <v>0</v>
      </c>
      <c r="AG33" s="305" t="n">
        <v>0</v>
      </c>
      <c r="AH33" s="305" t="n">
        <v>0</v>
      </c>
      <c r="AI33" s="305" t="n">
        <v>0</v>
      </c>
      <c r="AJ33" s="305" t="n">
        <v>0</v>
      </c>
      <c r="AK33" s="305" t="n">
        <v>0</v>
      </c>
      <c r="AL33" s="305" t="n">
        <v>0</v>
      </c>
      <c r="AM33" s="305" t="n">
        <v>0</v>
      </c>
      <c r="AN33" s="305" t="n">
        <v>0</v>
      </c>
      <c r="AO33" s="305" t="n">
        <v>0</v>
      </c>
      <c r="AP33" s="305" t="n">
        <v>0</v>
      </c>
      <c r="AQ33" s="305" t="n">
        <v>0</v>
      </c>
      <c r="AR33" s="305" t="n">
        <v>0</v>
      </c>
      <c r="AS33" s="305" t="n">
        <v>0</v>
      </c>
      <c r="AT33" s="305" t="n">
        <v>0</v>
      </c>
      <c r="AU33" s="305" t="n">
        <v>0</v>
      </c>
      <c r="AV33" s="305" t="n">
        <v>0</v>
      </c>
      <c r="AW33" s="305" t="n">
        <v>0</v>
      </c>
      <c r="AX33" s="305" t="n">
        <v>0</v>
      </c>
      <c r="AY33" s="305" t="n">
        <v>0</v>
      </c>
      <c r="AZ33" s="305" t="n">
        <v>0</v>
      </c>
      <c r="BA33" s="305" t="n">
        <v>0</v>
      </c>
      <c r="BB33" s="305" t="n">
        <v>0</v>
      </c>
      <c r="BC33" s="305" t="n">
        <v>0</v>
      </c>
      <c r="BD33" s="305" t="n">
        <v>0</v>
      </c>
      <c r="BE33" s="305" t="n">
        <v>0</v>
      </c>
      <c r="BF33" s="305" t="n">
        <v>0</v>
      </c>
      <c r="BG33" s="305" t="n">
        <v>0</v>
      </c>
      <c r="BH33" s="305" t="n">
        <v>0</v>
      </c>
      <c r="BI33" s="305" t="n">
        <v>0</v>
      </c>
      <c r="BJ33" s="305" t="n">
        <v>0</v>
      </c>
      <c r="BK33" s="305" t="n">
        <v>0</v>
      </c>
      <c r="BL33" s="305" t="n">
        <v>0</v>
      </c>
      <c r="BM33" s="305" t="n">
        <v>0</v>
      </c>
      <c r="BN33" s="305" t="n">
        <v>0</v>
      </c>
      <c r="BO33" s="305" t="n">
        <v>0</v>
      </c>
      <c r="BP33" s="305" t="n">
        <v>0</v>
      </c>
      <c r="BQ33" s="305" t="n">
        <v>0</v>
      </c>
      <c r="BR33" s="305" t="n">
        <v>0</v>
      </c>
      <c r="BS33" s="305" t="n">
        <v>0</v>
      </c>
      <c r="BT33" s="305" t="n">
        <v>0</v>
      </c>
      <c r="BU33" s="305" t="n">
        <v>0</v>
      </c>
      <c r="BV33" s="305" t="n">
        <v>0</v>
      </c>
      <c r="BW33" s="305" t="n">
        <v>0</v>
      </c>
      <c r="BX33" s="305" t="n">
        <v>0</v>
      </c>
      <c r="BY33" s="305" t="n">
        <v>0</v>
      </c>
      <c r="BZ33" s="305" t="n">
        <v>0</v>
      </c>
      <c r="CA33" s="305" t="n">
        <v>0</v>
      </c>
      <c r="CB33" s="305" t="n">
        <v>0</v>
      </c>
      <c r="CC33" s="305" t="n">
        <v>0</v>
      </c>
      <c r="CD33" s="305" t="n">
        <v>0</v>
      </c>
      <c r="CE33" s="305" t="n">
        <v>0</v>
      </c>
      <c r="CF33" s="305" t="n">
        <v>0</v>
      </c>
      <c r="CG33" s="305" t="n">
        <v>0</v>
      </c>
      <c r="CH33" s="305" t="n">
        <v>0</v>
      </c>
      <c r="CI33" s="305" t="n">
        <v>0</v>
      </c>
      <c r="CJ33" s="305" t="n">
        <v>0</v>
      </c>
      <c r="CK33" s="305" t="n">
        <v>0</v>
      </c>
      <c r="CL33" s="305" t="n">
        <v>0</v>
      </c>
      <c r="CM33" s="305" t="n">
        <v>0</v>
      </c>
      <c r="CN33" s="305" t="n">
        <v>0</v>
      </c>
      <c r="CO33" s="305" t="n">
        <v>0</v>
      </c>
      <c r="CP33" s="305" t="n">
        <v>0</v>
      </c>
      <c r="CQ33" s="305" t="n">
        <v>0</v>
      </c>
      <c r="CR33" s="305" t="n">
        <v>0</v>
      </c>
      <c r="CS33" s="305" t="n">
        <v>0</v>
      </c>
      <c r="CT33" s="305" t="n">
        <v>0</v>
      </c>
      <c r="CU33" s="305" t="n">
        <v>0</v>
      </c>
      <c r="CV33" s="305" t="n">
        <v>0</v>
      </c>
      <c r="CW33" s="305" t="n">
        <v>0</v>
      </c>
      <c r="CX33" s="305" t="n">
        <v>0</v>
      </c>
      <c r="CY33" s="305" t="n">
        <v>0</v>
      </c>
      <c r="CZ33" s="305" t="n">
        <v>0</v>
      </c>
      <c r="DA33" s="305" t="n">
        <v>0</v>
      </c>
      <c r="DB33" s="305" t="n">
        <v>0</v>
      </c>
      <c r="DC33" s="305" t="n">
        <v>0</v>
      </c>
      <c r="DD33" s="305" t="n">
        <v>0</v>
      </c>
      <c r="DE33" s="305" t="n">
        <v>0</v>
      </c>
      <c r="DF33" s="305" t="n">
        <v>0</v>
      </c>
      <c r="DG33" s="305" t="n">
        <v>0</v>
      </c>
      <c r="DH33" s="305" t="n">
        <v>0</v>
      </c>
      <c r="DI33" s="305" t="n">
        <v>0</v>
      </c>
      <c r="DJ33" s="305" t="n">
        <v>0</v>
      </c>
      <c r="DK33" s="305" t="n">
        <v>0</v>
      </c>
      <c r="DL33" s="305" t="n">
        <v>0</v>
      </c>
      <c r="DM33" s="305" t="n">
        <v>0</v>
      </c>
      <c r="DN33" s="305" t="n">
        <v>0</v>
      </c>
      <c r="DO33" s="305" t="n">
        <v>0</v>
      </c>
      <c r="DP33" s="305" t="n">
        <v>0</v>
      </c>
      <c r="DQ33" s="305" t="n">
        <v>0</v>
      </c>
      <c r="DR33" s="305" t="n">
        <v>0</v>
      </c>
      <c r="DS33" s="305" t="n">
        <v>0</v>
      </c>
      <c r="DT33" s="305" t="n">
        <v>0</v>
      </c>
    </row>
    <row r="34">
      <c r="B34" s="6" t="inlineStr">
        <is>
          <t>Total Unlevered Costs</t>
        </is>
      </c>
      <c r="C34" s="31" t="n"/>
      <c r="D34" s="306">
        <f>SUM(D29:D33)</f>
        <v/>
      </c>
    </row>
    <row r="36">
      <c r="B36" s="8" t="inlineStr">
        <is>
          <t>(+) Net Operating Income</t>
        </is>
      </c>
      <c r="C36" s="32" t="n"/>
      <c r="D36" s="32" t="n"/>
      <c r="E36" s="298">
        <f>E22*(E$8&lt;='Inputs &amp; Summary'!$D$102)</f>
        <v/>
      </c>
      <c r="F36" s="298">
        <f>F22*(F$8&lt;='Inputs &amp; Summary'!$D$102)</f>
        <v/>
      </c>
      <c r="G36" s="298">
        <f>G22*(G$8&lt;='Inputs &amp; Summary'!$D$102)</f>
        <v/>
      </c>
      <c r="H36" s="298">
        <f>H22*(H$8&lt;='Inputs &amp; Summary'!$D$102)</f>
        <v/>
      </c>
      <c r="I36" s="298">
        <f>I22*(I$8&lt;='Inputs &amp; Summary'!$D$102)</f>
        <v/>
      </c>
      <c r="J36" s="298">
        <f>J22*(J$8&lt;='Inputs &amp; Summary'!$D$102)</f>
        <v/>
      </c>
      <c r="K36" s="298">
        <f>K22*(K$8&lt;='Inputs &amp; Summary'!$D$102)</f>
        <v/>
      </c>
      <c r="L36" s="298">
        <f>L22*(L$8&lt;='Inputs &amp; Summary'!$D$102)</f>
        <v/>
      </c>
      <c r="M36" s="298">
        <f>M22*(M$8&lt;='Inputs &amp; Summary'!$D$102)</f>
        <v/>
      </c>
      <c r="N36" s="298">
        <f>N22*(N$8&lt;='Inputs &amp; Summary'!$D$102)</f>
        <v/>
      </c>
      <c r="O36" s="298">
        <f>O22*(O$8&lt;='Inputs &amp; Summary'!$D$102)</f>
        <v/>
      </c>
      <c r="P36" s="298">
        <f>P22*(P$8&lt;='Inputs &amp; Summary'!$D$102)</f>
        <v/>
      </c>
      <c r="Q36" s="298">
        <f>Q22*(Q$8&lt;='Inputs &amp; Summary'!$D$102)</f>
        <v/>
      </c>
      <c r="R36" s="298">
        <f>R22*(R$8&lt;='Inputs &amp; Summary'!$D$102)</f>
        <v/>
      </c>
      <c r="S36" s="298">
        <f>S22*(S$8&lt;='Inputs &amp; Summary'!$D$102)</f>
        <v/>
      </c>
      <c r="T36" s="298">
        <f>T22*(T$8&lt;='Inputs &amp; Summary'!$D$102)</f>
        <v/>
      </c>
      <c r="U36" s="298">
        <f>U22*(U$8&lt;='Inputs &amp; Summary'!$D$102)</f>
        <v/>
      </c>
      <c r="V36" s="298">
        <f>V22*(V$8&lt;='Inputs &amp; Summary'!$D$102)</f>
        <v/>
      </c>
      <c r="W36" s="298">
        <f>W22*(W$8&lt;='Inputs &amp; Summary'!$D$102)</f>
        <v/>
      </c>
      <c r="X36" s="298">
        <f>X22*(X$8&lt;='Inputs &amp; Summary'!$D$102)</f>
        <v/>
      </c>
      <c r="Y36" s="298">
        <f>Y22*(Y$8&lt;='Inputs &amp; Summary'!$D$102)</f>
        <v/>
      </c>
      <c r="Z36" s="298">
        <f>Z22*(Z$8&lt;='Inputs &amp; Summary'!$D$102)</f>
        <v/>
      </c>
      <c r="AA36" s="298">
        <f>AA22*(AA$8&lt;='Inputs &amp; Summary'!$D$102)</f>
        <v/>
      </c>
      <c r="AB36" s="298">
        <f>AB22*(AB$8&lt;='Inputs &amp; Summary'!$D$102)</f>
        <v/>
      </c>
      <c r="AC36" s="298">
        <f>AC22*(AC$8&lt;='Inputs &amp; Summary'!$D$102)</f>
        <v/>
      </c>
      <c r="AD36" s="298">
        <f>AD22*(AD$8&lt;='Inputs &amp; Summary'!$D$102)</f>
        <v/>
      </c>
      <c r="AE36" s="298">
        <f>AE22*(AE$8&lt;='Inputs &amp; Summary'!$D$102)</f>
        <v/>
      </c>
      <c r="AF36" s="298">
        <f>AF22*(AF$8&lt;='Inputs &amp; Summary'!$D$102)</f>
        <v/>
      </c>
      <c r="AG36" s="298">
        <f>AG22*(AG$8&lt;='Inputs &amp; Summary'!$D$102)</f>
        <v/>
      </c>
      <c r="AH36" s="298">
        <f>AH22*(AH$8&lt;='Inputs &amp; Summary'!$D$102)</f>
        <v/>
      </c>
      <c r="AI36" s="298">
        <f>AI22*(AI$8&lt;='Inputs &amp; Summary'!$D$102)</f>
        <v/>
      </c>
      <c r="AJ36" s="298">
        <f>AJ22*(AJ$8&lt;='Inputs &amp; Summary'!$D$102)</f>
        <v/>
      </c>
      <c r="AK36" s="298">
        <f>AK22*(AK$8&lt;='Inputs &amp; Summary'!$D$102)</f>
        <v/>
      </c>
      <c r="AL36" s="298">
        <f>AL22*(AL$8&lt;='Inputs &amp; Summary'!$D$102)</f>
        <v/>
      </c>
      <c r="AM36" s="298">
        <f>AM22*(AM$8&lt;='Inputs &amp; Summary'!$D$102)</f>
        <v/>
      </c>
      <c r="AN36" s="298">
        <f>AN22*(AN$8&lt;='Inputs &amp; Summary'!$D$102)</f>
        <v/>
      </c>
      <c r="AO36" s="298">
        <f>AO22*(AO$8&lt;='Inputs &amp; Summary'!$D$102)</f>
        <v/>
      </c>
      <c r="AP36" s="298">
        <f>AP22*(AP$8&lt;='Inputs &amp; Summary'!$D$102)</f>
        <v/>
      </c>
      <c r="AQ36" s="298">
        <f>AQ22*(AQ$8&lt;='Inputs &amp; Summary'!$D$102)</f>
        <v/>
      </c>
      <c r="AR36" s="298">
        <f>AR22*(AR$8&lt;='Inputs &amp; Summary'!$D$102)</f>
        <v/>
      </c>
      <c r="AS36" s="298">
        <f>AS22*(AS$8&lt;='Inputs &amp; Summary'!$D$102)</f>
        <v/>
      </c>
      <c r="AT36" s="298">
        <f>AT22*(AT$8&lt;='Inputs &amp; Summary'!$D$102)</f>
        <v/>
      </c>
      <c r="AU36" s="298">
        <f>AU22*(AU$8&lt;='Inputs &amp; Summary'!$D$102)</f>
        <v/>
      </c>
      <c r="AV36" s="298">
        <f>AV22*(AV$8&lt;='Inputs &amp; Summary'!$D$102)</f>
        <v/>
      </c>
      <c r="AW36" s="298">
        <f>AW22*(AW$8&lt;='Inputs &amp; Summary'!$D$102)</f>
        <v/>
      </c>
      <c r="AX36" s="298">
        <f>AX22*(AX$8&lt;='Inputs &amp; Summary'!$D$102)</f>
        <v/>
      </c>
      <c r="AY36" s="298">
        <f>AY22*(AY$8&lt;='Inputs &amp; Summary'!$D$102)</f>
        <v/>
      </c>
      <c r="AZ36" s="298">
        <f>AZ22*(AZ$8&lt;='Inputs &amp; Summary'!$D$102)</f>
        <v/>
      </c>
      <c r="BA36" s="298">
        <f>BA22*(BA$8&lt;='Inputs &amp; Summary'!$D$102)</f>
        <v/>
      </c>
      <c r="BB36" s="298">
        <f>BB22*(BB$8&lt;='Inputs &amp; Summary'!$D$102)</f>
        <v/>
      </c>
      <c r="BC36" s="298">
        <f>BC22*(BC$8&lt;='Inputs &amp; Summary'!$D$102)</f>
        <v/>
      </c>
      <c r="BD36" s="298">
        <f>BD22*(BD$8&lt;='Inputs &amp; Summary'!$D$102)</f>
        <v/>
      </c>
      <c r="BE36" s="298">
        <f>BE22*(BE$8&lt;='Inputs &amp; Summary'!$D$102)</f>
        <v/>
      </c>
      <c r="BF36" s="298">
        <f>BF22*(BF$8&lt;='Inputs &amp; Summary'!$D$102)</f>
        <v/>
      </c>
      <c r="BG36" s="298">
        <f>BG22*(BG$8&lt;='Inputs &amp; Summary'!$D$102)</f>
        <v/>
      </c>
      <c r="BH36" s="298">
        <f>BH22*(BH$8&lt;='Inputs &amp; Summary'!$D$102)</f>
        <v/>
      </c>
      <c r="BI36" s="298">
        <f>BI22*(BI$8&lt;='Inputs &amp; Summary'!$D$102)</f>
        <v/>
      </c>
      <c r="BJ36" s="298">
        <f>BJ22*(BJ$8&lt;='Inputs &amp; Summary'!$D$102)</f>
        <v/>
      </c>
      <c r="BK36" s="298">
        <f>BK22*(BK$8&lt;='Inputs &amp; Summary'!$D$102)</f>
        <v/>
      </c>
      <c r="BL36" s="298">
        <f>BL22*(BL$8&lt;='Inputs &amp; Summary'!$D$102)</f>
        <v/>
      </c>
      <c r="BM36" s="298">
        <f>BM22*(BM$8&lt;='Inputs &amp; Summary'!$D$102)</f>
        <v/>
      </c>
      <c r="BN36" s="298">
        <f>BN22*(BN$8&lt;='Inputs &amp; Summary'!$D$102)</f>
        <v/>
      </c>
      <c r="BO36" s="298">
        <f>BO22*(BO$8&lt;='Inputs &amp; Summary'!$D$102)</f>
        <v/>
      </c>
      <c r="BP36" s="298">
        <f>BP22*(BP$8&lt;='Inputs &amp; Summary'!$D$102)</f>
        <v/>
      </c>
      <c r="BQ36" s="298">
        <f>BQ22*(BQ$8&lt;='Inputs &amp; Summary'!$D$102)</f>
        <v/>
      </c>
      <c r="BR36" s="298">
        <f>BR22*(BR$8&lt;='Inputs &amp; Summary'!$D$102)</f>
        <v/>
      </c>
      <c r="BS36" s="298">
        <f>BS22*(BS$8&lt;='Inputs &amp; Summary'!$D$102)</f>
        <v/>
      </c>
      <c r="BT36" s="298">
        <f>BT22*(BT$8&lt;='Inputs &amp; Summary'!$D$102)</f>
        <v/>
      </c>
      <c r="BU36" s="298">
        <f>BU22*(BU$8&lt;='Inputs &amp; Summary'!$D$102)</f>
        <v/>
      </c>
      <c r="BV36" s="298">
        <f>BV22*(BV$8&lt;='Inputs &amp; Summary'!$D$102)</f>
        <v/>
      </c>
      <c r="BW36" s="298">
        <f>BW22*(BW$8&lt;='Inputs &amp; Summary'!$D$102)</f>
        <v/>
      </c>
      <c r="BX36" s="298">
        <f>BX22*(BX$8&lt;='Inputs &amp; Summary'!$D$102)</f>
        <v/>
      </c>
      <c r="BY36" s="298">
        <f>BY22*(BY$8&lt;='Inputs &amp; Summary'!$D$102)</f>
        <v/>
      </c>
      <c r="BZ36" s="298">
        <f>BZ22*(BZ$8&lt;='Inputs &amp; Summary'!$D$102)</f>
        <v/>
      </c>
      <c r="CA36" s="298">
        <f>CA22*(CA$8&lt;='Inputs &amp; Summary'!$D$102)</f>
        <v/>
      </c>
      <c r="CB36" s="298">
        <f>CB22*(CB$8&lt;='Inputs &amp; Summary'!$D$102)</f>
        <v/>
      </c>
      <c r="CC36" s="298">
        <f>CC22*(CC$8&lt;='Inputs &amp; Summary'!$D$102)</f>
        <v/>
      </c>
      <c r="CD36" s="298">
        <f>CD22*(CD$8&lt;='Inputs &amp; Summary'!$D$102)</f>
        <v/>
      </c>
      <c r="CE36" s="298">
        <f>CE22*(CE$8&lt;='Inputs &amp; Summary'!$D$102)</f>
        <v/>
      </c>
      <c r="CF36" s="298">
        <f>CF22*(CF$8&lt;='Inputs &amp; Summary'!$D$102)</f>
        <v/>
      </c>
      <c r="CG36" s="298">
        <f>CG22*(CG$8&lt;='Inputs &amp; Summary'!$D$102)</f>
        <v/>
      </c>
      <c r="CH36" s="298">
        <f>CH22*(CH$8&lt;='Inputs &amp; Summary'!$D$102)</f>
        <v/>
      </c>
      <c r="CI36" s="298">
        <f>CI22*(CI$8&lt;='Inputs &amp; Summary'!$D$102)</f>
        <v/>
      </c>
      <c r="CJ36" s="298">
        <f>CJ22*(CJ$8&lt;='Inputs &amp; Summary'!$D$102)</f>
        <v/>
      </c>
      <c r="CK36" s="298">
        <f>CK22*(CK$8&lt;='Inputs &amp; Summary'!$D$102)</f>
        <v/>
      </c>
      <c r="CL36" s="298">
        <f>CL22*(CL$8&lt;='Inputs &amp; Summary'!$D$102)</f>
        <v/>
      </c>
      <c r="CM36" s="298">
        <f>CM22*(CM$8&lt;='Inputs &amp; Summary'!$D$102)</f>
        <v/>
      </c>
      <c r="CN36" s="298">
        <f>CN22*(CN$8&lt;='Inputs &amp; Summary'!$D$102)</f>
        <v/>
      </c>
      <c r="CO36" s="298">
        <f>CO22*(CO$8&lt;='Inputs &amp; Summary'!$D$102)</f>
        <v/>
      </c>
      <c r="CP36" s="298">
        <f>CP22*(CP$8&lt;='Inputs &amp; Summary'!$D$102)</f>
        <v/>
      </c>
      <c r="CQ36" s="298">
        <f>CQ22*(CQ$8&lt;='Inputs &amp; Summary'!$D$102)</f>
        <v/>
      </c>
      <c r="CR36" s="298">
        <f>CR22*(CR$8&lt;='Inputs &amp; Summary'!$D$102)</f>
        <v/>
      </c>
      <c r="CS36" s="298">
        <f>CS22*(CS$8&lt;='Inputs &amp; Summary'!$D$102)</f>
        <v/>
      </c>
      <c r="CT36" s="298">
        <f>CT22*(CT$8&lt;='Inputs &amp; Summary'!$D$102)</f>
        <v/>
      </c>
      <c r="CU36" s="298">
        <f>CU22*(CU$8&lt;='Inputs &amp; Summary'!$D$102)</f>
        <v/>
      </c>
      <c r="CV36" s="298">
        <f>CV22*(CV$8&lt;='Inputs &amp; Summary'!$D$102)</f>
        <v/>
      </c>
      <c r="CW36" s="298">
        <f>CW22*(CW$8&lt;='Inputs &amp; Summary'!$D$102)</f>
        <v/>
      </c>
      <c r="CX36" s="298">
        <f>CX22*(CX$8&lt;='Inputs &amp; Summary'!$D$102)</f>
        <v/>
      </c>
      <c r="CY36" s="298">
        <f>CY22*(CY$8&lt;='Inputs &amp; Summary'!$D$102)</f>
        <v/>
      </c>
      <c r="CZ36" s="298">
        <f>CZ22*(CZ$8&lt;='Inputs &amp; Summary'!$D$102)</f>
        <v/>
      </c>
      <c r="DA36" s="298">
        <f>DA22*(DA$8&lt;='Inputs &amp; Summary'!$D$102)</f>
        <v/>
      </c>
      <c r="DB36" s="298">
        <f>DB22*(DB$8&lt;='Inputs &amp; Summary'!$D$102)</f>
        <v/>
      </c>
      <c r="DC36" s="298">
        <f>DC22*(DC$8&lt;='Inputs &amp; Summary'!$D$102)</f>
        <v/>
      </c>
      <c r="DD36" s="298">
        <f>DD22*(DD$8&lt;='Inputs &amp; Summary'!$D$102)</f>
        <v/>
      </c>
      <c r="DE36" s="298">
        <f>DE22*(DE$8&lt;='Inputs &amp; Summary'!$D$102)</f>
        <v/>
      </c>
      <c r="DF36" s="298">
        <f>DF22*(DF$8&lt;='Inputs &amp; Summary'!$D$102)</f>
        <v/>
      </c>
      <c r="DG36" s="298">
        <f>DG22*(DG$8&lt;='Inputs &amp; Summary'!$D$102)</f>
        <v/>
      </c>
      <c r="DH36" s="298">
        <f>DH22*(DH$8&lt;='Inputs &amp; Summary'!$D$102)</f>
        <v/>
      </c>
      <c r="DI36" s="298">
        <f>DI22*(DI$8&lt;='Inputs &amp; Summary'!$D$102)</f>
        <v/>
      </c>
      <c r="DJ36" s="298">
        <f>DJ22*(DJ$8&lt;='Inputs &amp; Summary'!$D$102)</f>
        <v/>
      </c>
      <c r="DK36" s="298">
        <f>DK22*(DK$8&lt;='Inputs &amp; Summary'!$D$102)</f>
        <v/>
      </c>
      <c r="DL36" s="298">
        <f>DL22*(DL$8&lt;='Inputs &amp; Summary'!$D$102)</f>
        <v/>
      </c>
      <c r="DM36" s="298">
        <f>DM22*(DM$8&lt;='Inputs &amp; Summary'!$D$102)</f>
        <v/>
      </c>
      <c r="DN36" s="298">
        <f>DN22*(DN$8&lt;='Inputs &amp; Summary'!$D$102)</f>
        <v/>
      </c>
      <c r="DO36" s="298">
        <f>DO22*(DO$8&lt;='Inputs &amp; Summary'!$D$102)</f>
        <v/>
      </c>
      <c r="DP36" s="298">
        <f>DP22*(DP$8&lt;='Inputs &amp; Summary'!$D$102)</f>
        <v/>
      </c>
      <c r="DQ36" s="298">
        <f>DQ22*(DQ$8&lt;='Inputs &amp; Summary'!$D$102)</f>
        <v/>
      </c>
      <c r="DR36" s="298">
        <f>DR22*(DR$8&lt;='Inputs &amp; Summary'!$D$102)</f>
        <v/>
      </c>
      <c r="DS36" s="298">
        <f>DS22*(DS$8&lt;='Inputs &amp; Summary'!$D$102)</f>
        <v/>
      </c>
      <c r="DT36" s="298">
        <f>DT22*(DT$8&lt;='Inputs &amp; Summary'!$D$102)</f>
        <v/>
      </c>
    </row>
    <row r="37">
      <c r="B37" s="6" t="inlineStr">
        <is>
          <t>Unlevered Operating Cash Flow</t>
        </is>
      </c>
      <c r="C37" s="31" t="n"/>
      <c r="D37" s="31" t="n"/>
      <c r="E37" s="301">
        <f>SUM(E36)</f>
        <v/>
      </c>
      <c r="F37" s="301">
        <f>SUM(F36)</f>
        <v/>
      </c>
      <c r="G37" s="301">
        <f>SUM(G36)</f>
        <v/>
      </c>
      <c r="H37" s="301">
        <f>SUM(H36)</f>
        <v/>
      </c>
      <c r="I37" s="301">
        <f>SUM(I36)</f>
        <v/>
      </c>
      <c r="J37" s="301">
        <f>SUM(J36)</f>
        <v/>
      </c>
      <c r="K37" s="301">
        <f>SUM(K36)</f>
        <v/>
      </c>
      <c r="L37" s="301">
        <f>SUM(L36)</f>
        <v/>
      </c>
      <c r="M37" s="301">
        <f>SUM(M36)</f>
        <v/>
      </c>
      <c r="N37" s="301">
        <f>SUM(N36)</f>
        <v/>
      </c>
      <c r="O37" s="301">
        <f>SUM(O36)</f>
        <v/>
      </c>
      <c r="P37" s="301">
        <f>SUM(P36)</f>
        <v/>
      </c>
      <c r="Q37" s="301">
        <f>SUM(Q36)</f>
        <v/>
      </c>
      <c r="R37" s="301">
        <f>SUM(R36)</f>
        <v/>
      </c>
      <c r="S37" s="301">
        <f>SUM(S36)</f>
        <v/>
      </c>
      <c r="T37" s="301">
        <f>SUM(T36)</f>
        <v/>
      </c>
      <c r="U37" s="301">
        <f>SUM(U36)</f>
        <v/>
      </c>
      <c r="V37" s="301">
        <f>SUM(V36)</f>
        <v/>
      </c>
      <c r="W37" s="301">
        <f>SUM(W36)</f>
        <v/>
      </c>
      <c r="X37" s="301">
        <f>SUM(X36)</f>
        <v/>
      </c>
      <c r="Y37" s="301">
        <f>SUM(Y36)</f>
        <v/>
      </c>
      <c r="Z37" s="301">
        <f>SUM(Z36)</f>
        <v/>
      </c>
      <c r="AA37" s="301">
        <f>SUM(AA36)</f>
        <v/>
      </c>
      <c r="AB37" s="301">
        <f>SUM(AB36)</f>
        <v/>
      </c>
      <c r="AC37" s="301">
        <f>SUM(AC36)</f>
        <v/>
      </c>
      <c r="AD37" s="301">
        <f>SUM(AD36)</f>
        <v/>
      </c>
      <c r="AE37" s="301">
        <f>SUM(AE36)</f>
        <v/>
      </c>
      <c r="AF37" s="301">
        <f>SUM(AF36)</f>
        <v/>
      </c>
      <c r="AG37" s="301">
        <f>SUM(AG36)</f>
        <v/>
      </c>
      <c r="AH37" s="301">
        <f>SUM(AH36)</f>
        <v/>
      </c>
      <c r="AI37" s="301">
        <f>SUM(AI36)</f>
        <v/>
      </c>
      <c r="AJ37" s="301">
        <f>SUM(AJ36)</f>
        <v/>
      </c>
      <c r="AK37" s="301">
        <f>SUM(AK36)</f>
        <v/>
      </c>
      <c r="AL37" s="301">
        <f>SUM(AL36)</f>
        <v/>
      </c>
      <c r="AM37" s="301">
        <f>SUM(AM36)</f>
        <v/>
      </c>
      <c r="AN37" s="301">
        <f>SUM(AN36)</f>
        <v/>
      </c>
      <c r="AO37" s="301">
        <f>SUM(AO36)</f>
        <v/>
      </c>
      <c r="AP37" s="301">
        <f>SUM(AP36)</f>
        <v/>
      </c>
      <c r="AQ37" s="301">
        <f>SUM(AQ36)</f>
        <v/>
      </c>
      <c r="AR37" s="301">
        <f>SUM(AR36)</f>
        <v/>
      </c>
      <c r="AS37" s="301">
        <f>SUM(AS36)</f>
        <v/>
      </c>
      <c r="AT37" s="301">
        <f>SUM(AT36)</f>
        <v/>
      </c>
      <c r="AU37" s="301">
        <f>SUM(AU36)</f>
        <v/>
      </c>
      <c r="AV37" s="301">
        <f>SUM(AV36)</f>
        <v/>
      </c>
      <c r="AW37" s="301">
        <f>SUM(AW36)</f>
        <v/>
      </c>
      <c r="AX37" s="301">
        <f>SUM(AX36)</f>
        <v/>
      </c>
      <c r="AY37" s="301">
        <f>SUM(AY36)</f>
        <v/>
      </c>
      <c r="AZ37" s="301">
        <f>SUM(AZ36)</f>
        <v/>
      </c>
      <c r="BA37" s="301">
        <f>SUM(BA36)</f>
        <v/>
      </c>
      <c r="BB37" s="301">
        <f>SUM(BB36)</f>
        <v/>
      </c>
      <c r="BC37" s="301">
        <f>SUM(BC36)</f>
        <v/>
      </c>
      <c r="BD37" s="301">
        <f>SUM(BD36)</f>
        <v/>
      </c>
      <c r="BE37" s="301">
        <f>SUM(BE36)</f>
        <v/>
      </c>
      <c r="BF37" s="301">
        <f>SUM(BF36)</f>
        <v/>
      </c>
      <c r="BG37" s="301">
        <f>SUM(BG36)</f>
        <v/>
      </c>
      <c r="BH37" s="301">
        <f>SUM(BH36)</f>
        <v/>
      </c>
      <c r="BI37" s="301">
        <f>SUM(BI36)</f>
        <v/>
      </c>
      <c r="BJ37" s="301">
        <f>SUM(BJ36)</f>
        <v/>
      </c>
      <c r="BK37" s="301">
        <f>SUM(BK36)</f>
        <v/>
      </c>
      <c r="BL37" s="301">
        <f>SUM(BL36)</f>
        <v/>
      </c>
      <c r="BM37" s="301">
        <f>SUM(BM36)</f>
        <v/>
      </c>
      <c r="BN37" s="301">
        <f>SUM(BN36)</f>
        <v/>
      </c>
      <c r="BO37" s="301">
        <f>SUM(BO36)</f>
        <v/>
      </c>
      <c r="BP37" s="301">
        <f>SUM(BP36)</f>
        <v/>
      </c>
      <c r="BQ37" s="301">
        <f>SUM(BQ36)</f>
        <v/>
      </c>
      <c r="BR37" s="301">
        <f>SUM(BR36)</f>
        <v/>
      </c>
      <c r="BS37" s="301">
        <f>SUM(BS36)</f>
        <v/>
      </c>
      <c r="BT37" s="301">
        <f>SUM(BT36)</f>
        <v/>
      </c>
      <c r="BU37" s="301">
        <f>SUM(BU36)</f>
        <v/>
      </c>
      <c r="BV37" s="301">
        <f>SUM(BV36)</f>
        <v/>
      </c>
      <c r="BW37" s="301">
        <f>SUM(BW36)</f>
        <v/>
      </c>
      <c r="BX37" s="301">
        <f>SUM(BX36)</f>
        <v/>
      </c>
      <c r="BY37" s="301">
        <f>SUM(BY36)</f>
        <v/>
      </c>
      <c r="BZ37" s="301">
        <f>SUM(BZ36)</f>
        <v/>
      </c>
      <c r="CA37" s="301">
        <f>SUM(CA36)</f>
        <v/>
      </c>
      <c r="CB37" s="301">
        <f>SUM(CB36)</f>
        <v/>
      </c>
      <c r="CC37" s="301">
        <f>SUM(CC36)</f>
        <v/>
      </c>
      <c r="CD37" s="301">
        <f>SUM(CD36)</f>
        <v/>
      </c>
      <c r="CE37" s="301">
        <f>SUM(CE36)</f>
        <v/>
      </c>
      <c r="CF37" s="301">
        <f>SUM(CF36)</f>
        <v/>
      </c>
      <c r="CG37" s="301">
        <f>SUM(CG36)</f>
        <v/>
      </c>
      <c r="CH37" s="301">
        <f>SUM(CH36)</f>
        <v/>
      </c>
      <c r="CI37" s="301">
        <f>SUM(CI36)</f>
        <v/>
      </c>
      <c r="CJ37" s="301">
        <f>SUM(CJ36)</f>
        <v/>
      </c>
      <c r="CK37" s="301">
        <f>SUM(CK36)</f>
        <v/>
      </c>
      <c r="CL37" s="301">
        <f>SUM(CL36)</f>
        <v/>
      </c>
      <c r="CM37" s="301">
        <f>SUM(CM36)</f>
        <v/>
      </c>
      <c r="CN37" s="301">
        <f>SUM(CN36)</f>
        <v/>
      </c>
      <c r="CO37" s="301">
        <f>SUM(CO36)</f>
        <v/>
      </c>
      <c r="CP37" s="301">
        <f>SUM(CP36)</f>
        <v/>
      </c>
      <c r="CQ37" s="301">
        <f>SUM(CQ36)</f>
        <v/>
      </c>
      <c r="CR37" s="301">
        <f>SUM(CR36)</f>
        <v/>
      </c>
      <c r="CS37" s="301">
        <f>SUM(CS36)</f>
        <v/>
      </c>
      <c r="CT37" s="301">
        <f>SUM(CT36)</f>
        <v/>
      </c>
      <c r="CU37" s="301">
        <f>SUM(CU36)</f>
        <v/>
      </c>
      <c r="CV37" s="301">
        <f>SUM(CV36)</f>
        <v/>
      </c>
      <c r="CW37" s="301">
        <f>SUM(CW36)</f>
        <v/>
      </c>
      <c r="CX37" s="301">
        <f>SUM(CX36)</f>
        <v/>
      </c>
      <c r="CY37" s="301">
        <f>SUM(CY36)</f>
        <v/>
      </c>
      <c r="CZ37" s="301">
        <f>SUM(CZ36)</f>
        <v/>
      </c>
      <c r="DA37" s="301">
        <f>SUM(DA36)</f>
        <v/>
      </c>
      <c r="DB37" s="301">
        <f>SUM(DB36)</f>
        <v/>
      </c>
      <c r="DC37" s="301">
        <f>SUM(DC36)</f>
        <v/>
      </c>
      <c r="DD37" s="301">
        <f>SUM(DD36)</f>
        <v/>
      </c>
      <c r="DE37" s="301">
        <f>SUM(DE36)</f>
        <v/>
      </c>
      <c r="DF37" s="301">
        <f>SUM(DF36)</f>
        <v/>
      </c>
      <c r="DG37" s="301">
        <f>SUM(DG36)</f>
        <v/>
      </c>
      <c r="DH37" s="301">
        <f>SUM(DH36)</f>
        <v/>
      </c>
      <c r="DI37" s="301">
        <f>SUM(DI36)</f>
        <v/>
      </c>
      <c r="DJ37" s="301">
        <f>SUM(DJ36)</f>
        <v/>
      </c>
      <c r="DK37" s="301">
        <f>SUM(DK36)</f>
        <v/>
      </c>
      <c r="DL37" s="301">
        <f>SUM(DL36)</f>
        <v/>
      </c>
      <c r="DM37" s="301">
        <f>SUM(DM36)</f>
        <v/>
      </c>
      <c r="DN37" s="301">
        <f>SUM(DN36)</f>
        <v/>
      </c>
      <c r="DO37" s="301">
        <f>SUM(DO36)</f>
        <v/>
      </c>
      <c r="DP37" s="301">
        <f>SUM(DP36)</f>
        <v/>
      </c>
      <c r="DQ37" s="301">
        <f>SUM(DQ36)</f>
        <v/>
      </c>
      <c r="DR37" s="301">
        <f>SUM(DR36)</f>
        <v/>
      </c>
      <c r="DS37" s="301">
        <f>SUM(DS36)</f>
        <v/>
      </c>
      <c r="DT37" s="301">
        <f>SUM(DT36)</f>
        <v/>
      </c>
    </row>
    <row r="39">
      <c r="B39" s="1" t="inlineStr">
        <is>
          <t>(+) Gross Sales Proceeds</t>
        </is>
      </c>
      <c r="C39" s="31" t="n"/>
      <c r="D39" s="31" t="n"/>
      <c r="E39" s="206">
        <f>IF(E$8='Inputs &amp; Summary'!$D$102,'Inputs &amp; Summary'!$O$5,0)</f>
        <v/>
      </c>
      <c r="F39" s="206">
        <f>IF(F$8='Inputs &amp; Summary'!$D$102,'Inputs &amp; Summary'!$O$5,0)</f>
        <v/>
      </c>
      <c r="G39" s="206">
        <f>IF(G$8='Inputs &amp; Summary'!$D$102,'Inputs &amp; Summary'!$O$5,0)</f>
        <v/>
      </c>
      <c r="H39" s="206">
        <f>IF(H$8='Inputs &amp; Summary'!$D$102,'Inputs &amp; Summary'!$O$5,0)</f>
        <v/>
      </c>
      <c r="I39" s="206">
        <f>IF(I$8='Inputs &amp; Summary'!$D$102,'Inputs &amp; Summary'!$O$5,0)</f>
        <v/>
      </c>
      <c r="J39" s="206">
        <f>IF(J$8='Inputs &amp; Summary'!$D$102,'Inputs &amp; Summary'!$O$5,0)</f>
        <v/>
      </c>
      <c r="K39" s="206">
        <f>IF(K$8='Inputs &amp; Summary'!$D$102,'Inputs &amp; Summary'!$O$5,0)</f>
        <v/>
      </c>
      <c r="L39" s="206">
        <f>IF(L$8='Inputs &amp; Summary'!$D$102,'Inputs &amp; Summary'!$O$5,0)</f>
        <v/>
      </c>
      <c r="M39" s="206">
        <f>IF(M$8='Inputs &amp; Summary'!$D$102,'Inputs &amp; Summary'!$O$5,0)</f>
        <v/>
      </c>
      <c r="N39" s="206">
        <f>IF(N$8='Inputs &amp; Summary'!$D$102,'Inputs &amp; Summary'!$O$5,0)</f>
        <v/>
      </c>
      <c r="O39" s="206">
        <f>IF(O$8='Inputs &amp; Summary'!$D$102,'Inputs &amp; Summary'!$O$5,0)</f>
        <v/>
      </c>
      <c r="P39" s="206">
        <f>IF(P$8='Inputs &amp; Summary'!$D$102,'Inputs &amp; Summary'!$O$5,0)</f>
        <v/>
      </c>
      <c r="Q39" s="206">
        <f>IF(Q$8='Inputs &amp; Summary'!$D$102,'Inputs &amp; Summary'!$O$5,0)</f>
        <v/>
      </c>
      <c r="R39" s="206">
        <f>IF(R$8='Inputs &amp; Summary'!$D$102,'Inputs &amp; Summary'!$O$5,0)</f>
        <v/>
      </c>
      <c r="S39" s="206">
        <f>IF(S$8='Inputs &amp; Summary'!$D$102,'Inputs &amp; Summary'!$O$5,0)</f>
        <v/>
      </c>
      <c r="T39" s="206">
        <f>IF(T$8='Inputs &amp; Summary'!$D$102,'Inputs &amp; Summary'!$O$5,0)</f>
        <v/>
      </c>
      <c r="U39" s="206">
        <f>IF(U$8='Inputs &amp; Summary'!$D$102,'Inputs &amp; Summary'!$O$5,0)</f>
        <v/>
      </c>
      <c r="V39" s="206">
        <f>IF(V$8='Inputs &amp; Summary'!$D$102,'Inputs &amp; Summary'!$O$5,0)</f>
        <v/>
      </c>
      <c r="W39" s="206">
        <f>IF(W$8='Inputs &amp; Summary'!$D$102,'Inputs &amp; Summary'!$O$5,0)</f>
        <v/>
      </c>
      <c r="X39" s="206">
        <f>IF(X$8='Inputs &amp; Summary'!$D$102,'Inputs &amp; Summary'!$O$5,0)</f>
        <v/>
      </c>
      <c r="Y39" s="206">
        <f>IF(Y$8='Inputs &amp; Summary'!$D$102,'Inputs &amp; Summary'!$O$5,0)</f>
        <v/>
      </c>
      <c r="Z39" s="206">
        <f>IF(Z$8='Inputs &amp; Summary'!$D$102,'Inputs &amp; Summary'!$O$5,0)</f>
        <v/>
      </c>
      <c r="AA39" s="206">
        <f>IF(AA$8='Inputs &amp; Summary'!$D$102,'Inputs &amp; Summary'!$O$5,0)</f>
        <v/>
      </c>
      <c r="AB39" s="206">
        <f>IF(AB$8='Inputs &amp; Summary'!$D$102,'Inputs &amp; Summary'!$O$5,0)</f>
        <v/>
      </c>
      <c r="AC39" s="206">
        <f>IF(AC$8='Inputs &amp; Summary'!$D$102,'Inputs &amp; Summary'!$O$5,0)</f>
        <v/>
      </c>
      <c r="AD39" s="206">
        <f>IF(AD$8='Inputs &amp; Summary'!$D$102,'Inputs &amp; Summary'!$O$5,0)</f>
        <v/>
      </c>
      <c r="AE39" s="206">
        <f>IF(AE$8='Inputs &amp; Summary'!$D$102,'Inputs &amp; Summary'!$O$5,0)</f>
        <v/>
      </c>
      <c r="AF39" s="206">
        <f>IF(AF$8='Inputs &amp; Summary'!$D$102,'Inputs &amp; Summary'!$O$5,0)</f>
        <v/>
      </c>
      <c r="AG39" s="206">
        <f>IF(AG$8='Inputs &amp; Summary'!$D$102,'Inputs &amp; Summary'!$O$5,0)</f>
        <v/>
      </c>
      <c r="AH39" s="206">
        <f>IF(AH$8='Inputs &amp; Summary'!$D$102,'Inputs &amp; Summary'!$O$5,0)</f>
        <v/>
      </c>
      <c r="AI39" s="206">
        <f>IF(AI$8='Inputs &amp; Summary'!$D$102,'Inputs &amp; Summary'!$O$5,0)</f>
        <v/>
      </c>
      <c r="AJ39" s="206">
        <f>IF(AJ$8='Inputs &amp; Summary'!$D$102,'Inputs &amp; Summary'!$O$5,0)</f>
        <v/>
      </c>
      <c r="AK39" s="206">
        <f>IF(AK$8='Inputs &amp; Summary'!$D$102,'Inputs &amp; Summary'!$O$5,0)</f>
        <v/>
      </c>
      <c r="AL39" s="206">
        <f>IF(AL$8='Inputs &amp; Summary'!$D$102,'Inputs &amp; Summary'!$O$5,0)</f>
        <v/>
      </c>
      <c r="AM39" s="206">
        <f>IF(AM$8='Inputs &amp; Summary'!$D$102,'Inputs &amp; Summary'!$O$5,0)</f>
        <v/>
      </c>
      <c r="AN39" s="206">
        <f>IF(AN$8='Inputs &amp; Summary'!$D$102,'Inputs &amp; Summary'!$O$5,0)</f>
        <v/>
      </c>
      <c r="AO39" s="206">
        <f>IF(AO$8='Inputs &amp; Summary'!$D$102,'Inputs &amp; Summary'!$O$5,0)</f>
        <v/>
      </c>
      <c r="AP39" s="206">
        <f>IF(AP$8='Inputs &amp; Summary'!$D$102,'Inputs &amp; Summary'!$O$5,0)</f>
        <v/>
      </c>
      <c r="AQ39" s="206">
        <f>IF(AQ$8='Inputs &amp; Summary'!$D$102,'Inputs &amp; Summary'!$O$5,0)</f>
        <v/>
      </c>
      <c r="AR39" s="206">
        <f>IF(AR$8='Inputs &amp; Summary'!$D$102,'Inputs &amp; Summary'!$O$5,0)</f>
        <v/>
      </c>
      <c r="AS39" s="206">
        <f>IF(AS$8='Inputs &amp; Summary'!$D$102,'Inputs &amp; Summary'!$O$5,0)</f>
        <v/>
      </c>
      <c r="AT39" s="206">
        <f>IF(AT$8='Inputs &amp; Summary'!$D$102,'Inputs &amp; Summary'!$O$5,0)</f>
        <v/>
      </c>
      <c r="AU39" s="206">
        <f>IF(AU$8='Inputs &amp; Summary'!$D$102,'Inputs &amp; Summary'!$O$5,0)</f>
        <v/>
      </c>
      <c r="AV39" s="206">
        <f>IF(AV$8='Inputs &amp; Summary'!$D$102,'Inputs &amp; Summary'!$O$5,0)</f>
        <v/>
      </c>
      <c r="AW39" s="206">
        <f>IF(AW$8='Inputs &amp; Summary'!$D$102,'Inputs &amp; Summary'!$O$5,0)</f>
        <v/>
      </c>
      <c r="AX39" s="206">
        <f>IF(AX$8='Inputs &amp; Summary'!$D$102,'Inputs &amp; Summary'!$O$5,0)</f>
        <v/>
      </c>
      <c r="AY39" s="206">
        <f>IF(AY$8='Inputs &amp; Summary'!$D$102,'Inputs &amp; Summary'!$O$5,0)</f>
        <v/>
      </c>
      <c r="AZ39" s="206">
        <f>IF(AZ$8='Inputs &amp; Summary'!$D$102,'Inputs &amp; Summary'!$O$5,0)</f>
        <v/>
      </c>
      <c r="BA39" s="206">
        <f>IF(BA$8='Inputs &amp; Summary'!$D$102,'Inputs &amp; Summary'!$O$5,0)</f>
        <v/>
      </c>
      <c r="BB39" s="206">
        <f>IF(BB$8='Inputs &amp; Summary'!$D$102,'Inputs &amp; Summary'!$O$5,0)</f>
        <v/>
      </c>
      <c r="BC39" s="206">
        <f>IF(BC$8='Inputs &amp; Summary'!$D$102,'Inputs &amp; Summary'!$O$5,0)</f>
        <v/>
      </c>
      <c r="BD39" s="206">
        <f>IF(BD$8='Inputs &amp; Summary'!$D$102,'Inputs &amp; Summary'!$O$5,0)</f>
        <v/>
      </c>
      <c r="BE39" s="206">
        <f>IF(BE$8='Inputs &amp; Summary'!$D$102,'Inputs &amp; Summary'!$O$5,0)</f>
        <v/>
      </c>
      <c r="BF39" s="206">
        <f>IF(BF$8='Inputs &amp; Summary'!$D$102,'Inputs &amp; Summary'!$O$5,0)</f>
        <v/>
      </c>
      <c r="BG39" s="206">
        <f>IF(BG$8='Inputs &amp; Summary'!$D$102,'Inputs &amp; Summary'!$O$5,0)</f>
        <v/>
      </c>
      <c r="BH39" s="206">
        <f>IF(BH$8='Inputs &amp; Summary'!$D$102,'Inputs &amp; Summary'!$O$5,0)</f>
        <v/>
      </c>
      <c r="BI39" s="206">
        <f>IF(BI$8='Inputs &amp; Summary'!$D$102,'Inputs &amp; Summary'!$O$5,0)</f>
        <v/>
      </c>
      <c r="BJ39" s="206">
        <f>IF(BJ$8='Inputs &amp; Summary'!$D$102,'Inputs &amp; Summary'!$O$5,0)</f>
        <v/>
      </c>
      <c r="BK39" s="206">
        <f>IF(BK$8='Inputs &amp; Summary'!$D$102,'Inputs &amp; Summary'!$O$5,0)</f>
        <v/>
      </c>
      <c r="BL39" s="206">
        <f>IF(BL$8='Inputs &amp; Summary'!$D$102,'Inputs &amp; Summary'!$O$5,0)</f>
        <v/>
      </c>
      <c r="BM39" s="206">
        <f>IF(BM$8='Inputs &amp; Summary'!$D$102,'Inputs &amp; Summary'!$O$5,0)</f>
        <v/>
      </c>
      <c r="BN39" s="206">
        <f>IF(BN$8='Inputs &amp; Summary'!$D$102,'Inputs &amp; Summary'!$O$5,0)</f>
        <v/>
      </c>
      <c r="BO39" s="206">
        <f>IF(BO$8='Inputs &amp; Summary'!$D$102,'Inputs &amp; Summary'!$O$5,0)</f>
        <v/>
      </c>
      <c r="BP39" s="206">
        <f>IF(BP$8='Inputs &amp; Summary'!$D$102,'Inputs &amp; Summary'!$O$5,0)</f>
        <v/>
      </c>
      <c r="BQ39" s="206">
        <f>IF(BQ$8='Inputs &amp; Summary'!$D$102,'Inputs &amp; Summary'!$O$5,0)</f>
        <v/>
      </c>
      <c r="BR39" s="206">
        <f>IF(BR$8='Inputs &amp; Summary'!$D$102,'Inputs &amp; Summary'!$O$5,0)</f>
        <v/>
      </c>
      <c r="BS39" s="206">
        <f>IF(BS$8='Inputs &amp; Summary'!$D$102,'Inputs &amp; Summary'!$O$5,0)</f>
        <v/>
      </c>
      <c r="BT39" s="206">
        <f>IF(BT$8='Inputs &amp; Summary'!$D$102,'Inputs &amp; Summary'!$O$5,0)</f>
        <v/>
      </c>
      <c r="BU39" s="206">
        <f>IF(BU$8='Inputs &amp; Summary'!$D$102,'Inputs &amp; Summary'!$O$5,0)</f>
        <v/>
      </c>
      <c r="BV39" s="206">
        <f>IF(BV$8='Inputs &amp; Summary'!$D$102,'Inputs &amp; Summary'!$O$5,0)</f>
        <v/>
      </c>
      <c r="BW39" s="206">
        <f>IF(BW$8='Inputs &amp; Summary'!$D$102,'Inputs &amp; Summary'!$O$5,0)</f>
        <v/>
      </c>
      <c r="BX39" s="206">
        <f>IF(BX$8='Inputs &amp; Summary'!$D$102,'Inputs &amp; Summary'!$O$5,0)</f>
        <v/>
      </c>
      <c r="BY39" s="206">
        <f>IF(BY$8='Inputs &amp; Summary'!$D$102,'Inputs &amp; Summary'!$O$5,0)</f>
        <v/>
      </c>
      <c r="BZ39" s="206">
        <f>IF(BZ$8='Inputs &amp; Summary'!$D$102,'Inputs &amp; Summary'!$O$5,0)</f>
        <v/>
      </c>
      <c r="CA39" s="206">
        <f>IF(CA$8='Inputs &amp; Summary'!$D$102,'Inputs &amp; Summary'!$O$5,0)</f>
        <v/>
      </c>
      <c r="CB39" s="206">
        <f>IF(CB$8='Inputs &amp; Summary'!$D$102,'Inputs &amp; Summary'!$O$5,0)</f>
        <v/>
      </c>
      <c r="CC39" s="206">
        <f>IF(CC$8='Inputs &amp; Summary'!$D$102,'Inputs &amp; Summary'!$O$5,0)</f>
        <v/>
      </c>
      <c r="CD39" s="206">
        <f>IF(CD$8='Inputs &amp; Summary'!$D$102,'Inputs &amp; Summary'!$O$5,0)</f>
        <v/>
      </c>
      <c r="CE39" s="206">
        <f>IF(CE$8='Inputs &amp; Summary'!$D$102,'Inputs &amp; Summary'!$O$5,0)</f>
        <v/>
      </c>
      <c r="CF39" s="206">
        <f>IF(CF$8='Inputs &amp; Summary'!$D$102,'Inputs &amp; Summary'!$O$5,0)</f>
        <v/>
      </c>
      <c r="CG39" s="206">
        <f>IF(CG$8='Inputs &amp; Summary'!$D$102,'Inputs &amp; Summary'!$O$5,0)</f>
        <v/>
      </c>
      <c r="CH39" s="206">
        <f>IF(CH$8='Inputs &amp; Summary'!$D$102,'Inputs &amp; Summary'!$O$5,0)</f>
        <v/>
      </c>
      <c r="CI39" s="206">
        <f>IF(CI$8='Inputs &amp; Summary'!$D$102,'Inputs &amp; Summary'!$O$5,0)</f>
        <v/>
      </c>
      <c r="CJ39" s="206">
        <f>IF(CJ$8='Inputs &amp; Summary'!$D$102,'Inputs &amp; Summary'!$O$5,0)</f>
        <v/>
      </c>
      <c r="CK39" s="206">
        <f>IF(CK$8='Inputs &amp; Summary'!$D$102,'Inputs &amp; Summary'!$O$5,0)</f>
        <v/>
      </c>
      <c r="CL39" s="206">
        <f>IF(CL$8='Inputs &amp; Summary'!$D$102,'Inputs &amp; Summary'!$O$5,0)</f>
        <v/>
      </c>
      <c r="CM39" s="206">
        <f>IF(CM$8='Inputs &amp; Summary'!$D$102,'Inputs &amp; Summary'!$O$5,0)</f>
        <v/>
      </c>
      <c r="CN39" s="206">
        <f>IF(CN$8='Inputs &amp; Summary'!$D$102,'Inputs &amp; Summary'!$O$5,0)</f>
        <v/>
      </c>
      <c r="CO39" s="206">
        <f>IF(CO$8='Inputs &amp; Summary'!$D$102,'Inputs &amp; Summary'!$O$5,0)</f>
        <v/>
      </c>
      <c r="CP39" s="206">
        <f>IF(CP$8='Inputs &amp; Summary'!$D$102,'Inputs &amp; Summary'!$O$5,0)</f>
        <v/>
      </c>
      <c r="CQ39" s="206">
        <f>IF(CQ$8='Inputs &amp; Summary'!$D$102,'Inputs &amp; Summary'!$O$5,0)</f>
        <v/>
      </c>
      <c r="CR39" s="206">
        <f>IF(CR$8='Inputs &amp; Summary'!$D$102,'Inputs &amp; Summary'!$O$5,0)</f>
        <v/>
      </c>
      <c r="CS39" s="206">
        <f>IF(CS$8='Inputs &amp; Summary'!$D$102,'Inputs &amp; Summary'!$O$5,0)</f>
        <v/>
      </c>
      <c r="CT39" s="206">
        <f>IF(CT$8='Inputs &amp; Summary'!$D$102,'Inputs &amp; Summary'!$O$5,0)</f>
        <v/>
      </c>
      <c r="CU39" s="206">
        <f>IF(CU$8='Inputs &amp; Summary'!$D$102,'Inputs &amp; Summary'!$O$5,0)</f>
        <v/>
      </c>
      <c r="CV39" s="206">
        <f>IF(CV$8='Inputs &amp; Summary'!$D$102,'Inputs &amp; Summary'!$O$5,0)</f>
        <v/>
      </c>
      <c r="CW39" s="206">
        <f>IF(CW$8='Inputs &amp; Summary'!$D$102,'Inputs &amp; Summary'!$O$5,0)</f>
        <v/>
      </c>
      <c r="CX39" s="206">
        <f>IF(CX$8='Inputs &amp; Summary'!$D$102,'Inputs &amp; Summary'!$O$5,0)</f>
        <v/>
      </c>
      <c r="CY39" s="206">
        <f>IF(CY$8='Inputs &amp; Summary'!$D$102,'Inputs &amp; Summary'!$O$5,0)</f>
        <v/>
      </c>
      <c r="CZ39" s="206">
        <f>IF(CZ$8='Inputs &amp; Summary'!$D$102,'Inputs &amp; Summary'!$O$5,0)</f>
        <v/>
      </c>
      <c r="DA39" s="206">
        <f>IF(DA$8='Inputs &amp; Summary'!$D$102,'Inputs &amp; Summary'!$O$5,0)</f>
        <v/>
      </c>
      <c r="DB39" s="206">
        <f>IF(DB$8='Inputs &amp; Summary'!$D$102,'Inputs &amp; Summary'!$O$5,0)</f>
        <v/>
      </c>
      <c r="DC39" s="206">
        <f>IF(DC$8='Inputs &amp; Summary'!$D$102,'Inputs &amp; Summary'!$O$5,0)</f>
        <v/>
      </c>
      <c r="DD39" s="206">
        <f>IF(DD$8='Inputs &amp; Summary'!$D$102,'Inputs &amp; Summary'!$O$5,0)</f>
        <v/>
      </c>
      <c r="DE39" s="206">
        <f>IF(DE$8='Inputs &amp; Summary'!$D$102,'Inputs &amp; Summary'!$O$5,0)</f>
        <v/>
      </c>
      <c r="DF39" s="206">
        <f>IF(DF$8='Inputs &amp; Summary'!$D$102,'Inputs &amp; Summary'!$O$5,0)</f>
        <v/>
      </c>
      <c r="DG39" s="206">
        <f>IF(DG$8='Inputs &amp; Summary'!$D$102,'Inputs &amp; Summary'!$O$5,0)</f>
        <v/>
      </c>
      <c r="DH39" s="206">
        <f>IF(DH$8='Inputs &amp; Summary'!$D$102,'Inputs &amp; Summary'!$O$5,0)</f>
        <v/>
      </c>
      <c r="DI39" s="206">
        <f>IF(DI$8='Inputs &amp; Summary'!$D$102,'Inputs &amp; Summary'!$O$5,0)</f>
        <v/>
      </c>
      <c r="DJ39" s="206">
        <f>IF(DJ$8='Inputs &amp; Summary'!$D$102,'Inputs &amp; Summary'!$O$5,0)</f>
        <v/>
      </c>
      <c r="DK39" s="206">
        <f>IF(DK$8='Inputs &amp; Summary'!$D$102,'Inputs &amp; Summary'!$O$5,0)</f>
        <v/>
      </c>
      <c r="DL39" s="206">
        <f>IF(DL$8='Inputs &amp; Summary'!$D$102,'Inputs &amp; Summary'!$O$5,0)</f>
        <v/>
      </c>
      <c r="DM39" s="206">
        <f>IF(DM$8='Inputs &amp; Summary'!$D$102,'Inputs &amp; Summary'!$O$5,0)</f>
        <v/>
      </c>
      <c r="DN39" s="206">
        <f>IF(DN$8='Inputs &amp; Summary'!$D$102,'Inputs &amp; Summary'!$O$5,0)</f>
        <v/>
      </c>
      <c r="DO39" s="206">
        <f>IF(DO$8='Inputs &amp; Summary'!$D$102,'Inputs &amp; Summary'!$O$5,0)</f>
        <v/>
      </c>
      <c r="DP39" s="206">
        <f>IF(DP$8='Inputs &amp; Summary'!$D$102,'Inputs &amp; Summary'!$O$5,0)</f>
        <v/>
      </c>
      <c r="DQ39" s="206">
        <f>IF(DQ$8='Inputs &amp; Summary'!$D$102,'Inputs &amp; Summary'!$O$5,0)</f>
        <v/>
      </c>
      <c r="DR39" s="206">
        <f>IF(DR$8='Inputs &amp; Summary'!$D$102,'Inputs &amp; Summary'!$O$5,0)</f>
        <v/>
      </c>
      <c r="DS39" s="206">
        <f>IF(DS$8='Inputs &amp; Summary'!$D$102,'Inputs &amp; Summary'!$O$5,0)</f>
        <v/>
      </c>
      <c r="DT39" s="206">
        <f>IF(DT$8='Inputs &amp; Summary'!$D$102,'Inputs &amp; Summary'!$O$5,0)</f>
        <v/>
      </c>
    </row>
    <row r="40">
      <c r="B40" s="8" t="inlineStr">
        <is>
          <t>(-) Sale Costs</t>
        </is>
      </c>
      <c r="C40" s="32" t="n"/>
      <c r="D40" s="32" t="n"/>
      <c r="E40" s="298">
        <f>-IF(E$8='Inputs &amp; Summary'!$D$102,'Inputs &amp; Summary'!$D$105*E39,0)</f>
        <v/>
      </c>
      <c r="F40" s="298">
        <f>-IF(F$8='Inputs &amp; Summary'!$D$102,'Inputs &amp; Summary'!$D$105*F39,0)</f>
        <v/>
      </c>
      <c r="G40" s="298">
        <f>-IF(G$8='Inputs &amp; Summary'!$D$102,'Inputs &amp; Summary'!$D$105*G39,0)</f>
        <v/>
      </c>
      <c r="H40" s="298">
        <f>-IF(H$8='Inputs &amp; Summary'!$D$102,'Inputs &amp; Summary'!$D$105*H39,0)</f>
        <v/>
      </c>
      <c r="I40" s="298">
        <f>-IF(I$8='Inputs &amp; Summary'!$D$102,'Inputs &amp; Summary'!$D$105*I39,0)</f>
        <v/>
      </c>
      <c r="J40" s="298">
        <f>-IF(J$8='Inputs &amp; Summary'!$D$102,'Inputs &amp; Summary'!$D$105*J39,0)</f>
        <v/>
      </c>
      <c r="K40" s="298">
        <f>-IF(K$8='Inputs &amp; Summary'!$D$102,'Inputs &amp; Summary'!$D$105*K39,0)</f>
        <v/>
      </c>
      <c r="L40" s="298">
        <f>-IF(L$8='Inputs &amp; Summary'!$D$102,'Inputs &amp; Summary'!$D$105*L39,0)</f>
        <v/>
      </c>
      <c r="M40" s="298">
        <f>-IF(M$8='Inputs &amp; Summary'!$D$102,'Inputs &amp; Summary'!$D$105*M39,0)</f>
        <v/>
      </c>
      <c r="N40" s="298">
        <f>-IF(N$8='Inputs &amp; Summary'!$D$102,'Inputs &amp; Summary'!$D$105*N39,0)</f>
        <v/>
      </c>
      <c r="O40" s="298">
        <f>-IF(O$8='Inputs &amp; Summary'!$D$102,'Inputs &amp; Summary'!$D$105*O39,0)</f>
        <v/>
      </c>
      <c r="P40" s="298">
        <f>-IF(P$8='Inputs &amp; Summary'!$D$102,'Inputs &amp; Summary'!$D$105*P39,0)</f>
        <v/>
      </c>
      <c r="Q40" s="298">
        <f>-IF(Q$8='Inputs &amp; Summary'!$D$102,'Inputs &amp; Summary'!$D$105*Q39,0)</f>
        <v/>
      </c>
      <c r="R40" s="298">
        <f>-IF(R$8='Inputs &amp; Summary'!$D$102,'Inputs &amp; Summary'!$D$105*R39,0)</f>
        <v/>
      </c>
      <c r="S40" s="298">
        <f>-IF(S$8='Inputs &amp; Summary'!$D$102,'Inputs &amp; Summary'!$D$105*S39,0)</f>
        <v/>
      </c>
      <c r="T40" s="298">
        <f>-IF(T$8='Inputs &amp; Summary'!$D$102,'Inputs &amp; Summary'!$D$105*T39,0)</f>
        <v/>
      </c>
      <c r="U40" s="298">
        <f>-IF(U$8='Inputs &amp; Summary'!$D$102,'Inputs &amp; Summary'!$D$105*U39,0)</f>
        <v/>
      </c>
      <c r="V40" s="298">
        <f>-IF(V$8='Inputs &amp; Summary'!$D$102,'Inputs &amp; Summary'!$D$105*V39,0)</f>
        <v/>
      </c>
      <c r="W40" s="298">
        <f>-IF(W$8='Inputs &amp; Summary'!$D$102,'Inputs &amp; Summary'!$D$105*W39,0)</f>
        <v/>
      </c>
      <c r="X40" s="298">
        <f>-IF(X$8='Inputs &amp; Summary'!$D$102,'Inputs &amp; Summary'!$D$105*X39,0)</f>
        <v/>
      </c>
      <c r="Y40" s="298">
        <f>-IF(Y$8='Inputs &amp; Summary'!$D$102,'Inputs &amp; Summary'!$D$105*Y39,0)</f>
        <v/>
      </c>
      <c r="Z40" s="298">
        <f>-IF(Z$8='Inputs &amp; Summary'!$D$102,'Inputs &amp; Summary'!$D$105*Z39,0)</f>
        <v/>
      </c>
      <c r="AA40" s="298">
        <f>-IF(AA$8='Inputs &amp; Summary'!$D$102,'Inputs &amp; Summary'!$D$105*AA39,0)</f>
        <v/>
      </c>
      <c r="AB40" s="298">
        <f>-IF(AB$8='Inputs &amp; Summary'!$D$102,'Inputs &amp; Summary'!$D$105*AB39,0)</f>
        <v/>
      </c>
      <c r="AC40" s="298">
        <f>-IF(AC$8='Inputs &amp; Summary'!$D$102,'Inputs &amp; Summary'!$D$105*AC39,0)</f>
        <v/>
      </c>
      <c r="AD40" s="298">
        <f>-IF(AD$8='Inputs &amp; Summary'!$D$102,'Inputs &amp; Summary'!$D$105*AD39,0)</f>
        <v/>
      </c>
      <c r="AE40" s="298">
        <f>-IF(AE$8='Inputs &amp; Summary'!$D$102,'Inputs &amp; Summary'!$D$105*AE39,0)</f>
        <v/>
      </c>
      <c r="AF40" s="298">
        <f>-IF(AF$8='Inputs &amp; Summary'!$D$102,'Inputs &amp; Summary'!$D$105*AF39,0)</f>
        <v/>
      </c>
      <c r="AG40" s="298">
        <f>-IF(AG$8='Inputs &amp; Summary'!$D$102,'Inputs &amp; Summary'!$D$105*AG39,0)</f>
        <v/>
      </c>
      <c r="AH40" s="298">
        <f>-IF(AH$8='Inputs &amp; Summary'!$D$102,'Inputs &amp; Summary'!$D$105*AH39,0)</f>
        <v/>
      </c>
      <c r="AI40" s="298">
        <f>-IF(AI$8='Inputs &amp; Summary'!$D$102,'Inputs &amp; Summary'!$D$105*AI39,0)</f>
        <v/>
      </c>
      <c r="AJ40" s="298">
        <f>-IF(AJ$8='Inputs &amp; Summary'!$D$102,'Inputs &amp; Summary'!$D$105*AJ39,0)</f>
        <v/>
      </c>
      <c r="AK40" s="298">
        <f>-IF(AK$8='Inputs &amp; Summary'!$D$102,'Inputs &amp; Summary'!$D$105*AK39,0)</f>
        <v/>
      </c>
      <c r="AL40" s="298">
        <f>-IF(AL$8='Inputs &amp; Summary'!$D$102,'Inputs &amp; Summary'!$D$105*AL39,0)</f>
        <v/>
      </c>
      <c r="AM40" s="298">
        <f>-IF(AM$8='Inputs &amp; Summary'!$D$102,'Inputs &amp; Summary'!$D$105*AM39,0)</f>
        <v/>
      </c>
      <c r="AN40" s="298">
        <f>-IF(AN$8='Inputs &amp; Summary'!$D$102,'Inputs &amp; Summary'!$D$105*AN39,0)</f>
        <v/>
      </c>
      <c r="AO40" s="298">
        <f>-IF(AO$8='Inputs &amp; Summary'!$D$102,'Inputs &amp; Summary'!$D$105*AO39,0)</f>
        <v/>
      </c>
      <c r="AP40" s="298">
        <f>-IF(AP$8='Inputs &amp; Summary'!$D$102,'Inputs &amp; Summary'!$D$105*AP39,0)</f>
        <v/>
      </c>
      <c r="AQ40" s="298">
        <f>-IF(AQ$8='Inputs &amp; Summary'!$D$102,'Inputs &amp; Summary'!$D$105*AQ39,0)</f>
        <v/>
      </c>
      <c r="AR40" s="298">
        <f>-IF(AR$8='Inputs &amp; Summary'!$D$102,'Inputs &amp; Summary'!$D$105*AR39,0)</f>
        <v/>
      </c>
      <c r="AS40" s="298">
        <f>-IF(AS$8='Inputs &amp; Summary'!$D$102,'Inputs &amp; Summary'!$D$105*AS39,0)</f>
        <v/>
      </c>
      <c r="AT40" s="298">
        <f>-IF(AT$8='Inputs &amp; Summary'!$D$102,'Inputs &amp; Summary'!$D$105*AT39,0)</f>
        <v/>
      </c>
      <c r="AU40" s="298">
        <f>-IF(AU$8='Inputs &amp; Summary'!$D$102,'Inputs &amp; Summary'!$D$105*AU39,0)</f>
        <v/>
      </c>
      <c r="AV40" s="298">
        <f>-IF(AV$8='Inputs &amp; Summary'!$D$102,'Inputs &amp; Summary'!$D$105*AV39,0)</f>
        <v/>
      </c>
      <c r="AW40" s="298">
        <f>-IF(AW$8='Inputs &amp; Summary'!$D$102,'Inputs &amp; Summary'!$D$105*AW39,0)</f>
        <v/>
      </c>
      <c r="AX40" s="298">
        <f>-IF(AX$8='Inputs &amp; Summary'!$D$102,'Inputs &amp; Summary'!$D$105*AX39,0)</f>
        <v/>
      </c>
      <c r="AY40" s="298">
        <f>-IF(AY$8='Inputs &amp; Summary'!$D$102,'Inputs &amp; Summary'!$D$105*AY39,0)</f>
        <v/>
      </c>
      <c r="AZ40" s="298">
        <f>-IF(AZ$8='Inputs &amp; Summary'!$D$102,'Inputs &amp; Summary'!$D$105*AZ39,0)</f>
        <v/>
      </c>
      <c r="BA40" s="298">
        <f>-IF(BA$8='Inputs &amp; Summary'!$D$102,'Inputs &amp; Summary'!$D$105*BA39,0)</f>
        <v/>
      </c>
      <c r="BB40" s="298">
        <f>-IF(BB$8='Inputs &amp; Summary'!$D$102,'Inputs &amp; Summary'!$D$105*BB39,0)</f>
        <v/>
      </c>
      <c r="BC40" s="298">
        <f>-IF(BC$8='Inputs &amp; Summary'!$D$102,'Inputs &amp; Summary'!$D$105*BC39,0)</f>
        <v/>
      </c>
      <c r="BD40" s="298">
        <f>-IF(BD$8='Inputs &amp; Summary'!$D$102,'Inputs &amp; Summary'!$D$105*BD39,0)</f>
        <v/>
      </c>
      <c r="BE40" s="298">
        <f>-IF(BE$8='Inputs &amp; Summary'!$D$102,'Inputs &amp; Summary'!$D$105*BE39,0)</f>
        <v/>
      </c>
      <c r="BF40" s="298">
        <f>-IF(BF$8='Inputs &amp; Summary'!$D$102,'Inputs &amp; Summary'!$D$105*BF39,0)</f>
        <v/>
      </c>
      <c r="BG40" s="298">
        <f>-IF(BG$8='Inputs &amp; Summary'!$D$102,'Inputs &amp; Summary'!$D$105*BG39,0)</f>
        <v/>
      </c>
      <c r="BH40" s="298">
        <f>-IF(BH$8='Inputs &amp; Summary'!$D$102,'Inputs &amp; Summary'!$D$105*BH39,0)</f>
        <v/>
      </c>
      <c r="BI40" s="298">
        <f>-IF(BI$8='Inputs &amp; Summary'!$D$102,'Inputs &amp; Summary'!$D$105*BI39,0)</f>
        <v/>
      </c>
      <c r="BJ40" s="298">
        <f>-IF(BJ$8='Inputs &amp; Summary'!$D$102,'Inputs &amp; Summary'!$D$105*BJ39,0)</f>
        <v/>
      </c>
      <c r="BK40" s="298">
        <f>-IF(BK$8='Inputs &amp; Summary'!$D$102,'Inputs &amp; Summary'!$D$105*BK39,0)</f>
        <v/>
      </c>
      <c r="BL40" s="298">
        <f>-IF(BL$8='Inputs &amp; Summary'!$D$102,'Inputs &amp; Summary'!$D$105*BL39,0)</f>
        <v/>
      </c>
      <c r="BM40" s="298">
        <f>-IF(BM$8='Inputs &amp; Summary'!$D$102,'Inputs &amp; Summary'!$D$105*BM39,0)</f>
        <v/>
      </c>
      <c r="BN40" s="298">
        <f>-IF(BN$8='Inputs &amp; Summary'!$D$102,'Inputs &amp; Summary'!$D$105*BN39,0)</f>
        <v/>
      </c>
      <c r="BO40" s="298">
        <f>-IF(BO$8='Inputs &amp; Summary'!$D$102,'Inputs &amp; Summary'!$D$105*BO39,0)</f>
        <v/>
      </c>
      <c r="BP40" s="298">
        <f>-IF(BP$8='Inputs &amp; Summary'!$D$102,'Inputs &amp; Summary'!$D$105*BP39,0)</f>
        <v/>
      </c>
      <c r="BQ40" s="298">
        <f>-IF(BQ$8='Inputs &amp; Summary'!$D$102,'Inputs &amp; Summary'!$D$105*BQ39,0)</f>
        <v/>
      </c>
      <c r="BR40" s="298">
        <f>-IF(BR$8='Inputs &amp; Summary'!$D$102,'Inputs &amp; Summary'!$D$105*BR39,0)</f>
        <v/>
      </c>
      <c r="BS40" s="298">
        <f>-IF(BS$8='Inputs &amp; Summary'!$D$102,'Inputs &amp; Summary'!$D$105*BS39,0)</f>
        <v/>
      </c>
      <c r="BT40" s="298">
        <f>-IF(BT$8='Inputs &amp; Summary'!$D$102,'Inputs &amp; Summary'!$D$105*BT39,0)</f>
        <v/>
      </c>
      <c r="BU40" s="298">
        <f>-IF(BU$8='Inputs &amp; Summary'!$D$102,'Inputs &amp; Summary'!$D$105*BU39,0)</f>
        <v/>
      </c>
      <c r="BV40" s="298">
        <f>-IF(BV$8='Inputs &amp; Summary'!$D$102,'Inputs &amp; Summary'!$D$105*BV39,0)</f>
        <v/>
      </c>
      <c r="BW40" s="298">
        <f>-IF(BW$8='Inputs &amp; Summary'!$D$102,'Inputs &amp; Summary'!$D$105*BW39,0)</f>
        <v/>
      </c>
      <c r="BX40" s="298">
        <f>-IF(BX$8='Inputs &amp; Summary'!$D$102,'Inputs &amp; Summary'!$D$105*BX39,0)</f>
        <v/>
      </c>
      <c r="BY40" s="298">
        <f>-IF(BY$8='Inputs &amp; Summary'!$D$102,'Inputs &amp; Summary'!$D$105*BY39,0)</f>
        <v/>
      </c>
      <c r="BZ40" s="298">
        <f>-IF(BZ$8='Inputs &amp; Summary'!$D$102,'Inputs &amp; Summary'!$D$105*BZ39,0)</f>
        <v/>
      </c>
      <c r="CA40" s="298">
        <f>-IF(CA$8='Inputs &amp; Summary'!$D$102,'Inputs &amp; Summary'!$D$105*CA39,0)</f>
        <v/>
      </c>
      <c r="CB40" s="298">
        <f>-IF(CB$8='Inputs &amp; Summary'!$D$102,'Inputs &amp; Summary'!$D$105*CB39,0)</f>
        <v/>
      </c>
      <c r="CC40" s="298">
        <f>-IF(CC$8='Inputs &amp; Summary'!$D$102,'Inputs &amp; Summary'!$D$105*CC39,0)</f>
        <v/>
      </c>
      <c r="CD40" s="298">
        <f>-IF(CD$8='Inputs &amp; Summary'!$D$102,'Inputs &amp; Summary'!$D$105*CD39,0)</f>
        <v/>
      </c>
      <c r="CE40" s="298">
        <f>-IF(CE$8='Inputs &amp; Summary'!$D$102,'Inputs &amp; Summary'!$D$105*CE39,0)</f>
        <v/>
      </c>
      <c r="CF40" s="298">
        <f>-IF(CF$8='Inputs &amp; Summary'!$D$102,'Inputs &amp; Summary'!$D$105*CF39,0)</f>
        <v/>
      </c>
      <c r="CG40" s="298">
        <f>-IF(CG$8='Inputs &amp; Summary'!$D$102,'Inputs &amp; Summary'!$D$105*CG39,0)</f>
        <v/>
      </c>
      <c r="CH40" s="298">
        <f>-IF(CH$8='Inputs &amp; Summary'!$D$102,'Inputs &amp; Summary'!$D$105*CH39,0)</f>
        <v/>
      </c>
      <c r="CI40" s="298">
        <f>-IF(CI$8='Inputs &amp; Summary'!$D$102,'Inputs &amp; Summary'!$D$105*CI39,0)</f>
        <v/>
      </c>
      <c r="CJ40" s="298">
        <f>-IF(CJ$8='Inputs &amp; Summary'!$D$102,'Inputs &amp; Summary'!$D$105*CJ39,0)</f>
        <v/>
      </c>
      <c r="CK40" s="298">
        <f>-IF(CK$8='Inputs &amp; Summary'!$D$102,'Inputs &amp; Summary'!$D$105*CK39,0)</f>
        <v/>
      </c>
      <c r="CL40" s="298">
        <f>-IF(CL$8='Inputs &amp; Summary'!$D$102,'Inputs &amp; Summary'!$D$105*CL39,0)</f>
        <v/>
      </c>
      <c r="CM40" s="298">
        <f>-IF(CM$8='Inputs &amp; Summary'!$D$102,'Inputs &amp; Summary'!$D$105*CM39,0)</f>
        <v/>
      </c>
      <c r="CN40" s="298">
        <f>-IF(CN$8='Inputs &amp; Summary'!$D$102,'Inputs &amp; Summary'!$D$105*CN39,0)</f>
        <v/>
      </c>
      <c r="CO40" s="298">
        <f>-IF(CO$8='Inputs &amp; Summary'!$D$102,'Inputs &amp; Summary'!$D$105*CO39,0)</f>
        <v/>
      </c>
      <c r="CP40" s="298">
        <f>-IF(CP$8='Inputs &amp; Summary'!$D$102,'Inputs &amp; Summary'!$D$105*CP39,0)</f>
        <v/>
      </c>
      <c r="CQ40" s="298">
        <f>-IF(CQ$8='Inputs &amp; Summary'!$D$102,'Inputs &amp; Summary'!$D$105*CQ39,0)</f>
        <v/>
      </c>
      <c r="CR40" s="298">
        <f>-IF(CR$8='Inputs &amp; Summary'!$D$102,'Inputs &amp; Summary'!$D$105*CR39,0)</f>
        <v/>
      </c>
      <c r="CS40" s="298">
        <f>-IF(CS$8='Inputs &amp; Summary'!$D$102,'Inputs &amp; Summary'!$D$105*CS39,0)</f>
        <v/>
      </c>
      <c r="CT40" s="298">
        <f>-IF(CT$8='Inputs &amp; Summary'!$D$102,'Inputs &amp; Summary'!$D$105*CT39,0)</f>
        <v/>
      </c>
      <c r="CU40" s="298">
        <f>-IF(CU$8='Inputs &amp; Summary'!$D$102,'Inputs &amp; Summary'!$D$105*CU39,0)</f>
        <v/>
      </c>
      <c r="CV40" s="298">
        <f>-IF(CV$8='Inputs &amp; Summary'!$D$102,'Inputs &amp; Summary'!$D$105*CV39,0)</f>
        <v/>
      </c>
      <c r="CW40" s="298">
        <f>-IF(CW$8='Inputs &amp; Summary'!$D$102,'Inputs &amp; Summary'!$D$105*CW39,0)</f>
        <v/>
      </c>
      <c r="CX40" s="298">
        <f>-IF(CX$8='Inputs &amp; Summary'!$D$102,'Inputs &amp; Summary'!$D$105*CX39,0)</f>
        <v/>
      </c>
      <c r="CY40" s="298">
        <f>-IF(CY$8='Inputs &amp; Summary'!$D$102,'Inputs &amp; Summary'!$D$105*CY39,0)</f>
        <v/>
      </c>
      <c r="CZ40" s="298">
        <f>-IF(CZ$8='Inputs &amp; Summary'!$D$102,'Inputs &amp; Summary'!$D$105*CZ39,0)</f>
        <v/>
      </c>
      <c r="DA40" s="298">
        <f>-IF(DA$8='Inputs &amp; Summary'!$D$102,'Inputs &amp; Summary'!$D$105*DA39,0)</f>
        <v/>
      </c>
      <c r="DB40" s="298">
        <f>-IF(DB$8='Inputs &amp; Summary'!$D$102,'Inputs &amp; Summary'!$D$105*DB39,0)</f>
        <v/>
      </c>
      <c r="DC40" s="298">
        <f>-IF(DC$8='Inputs &amp; Summary'!$D$102,'Inputs &amp; Summary'!$D$105*DC39,0)</f>
        <v/>
      </c>
      <c r="DD40" s="298">
        <f>-IF(DD$8='Inputs &amp; Summary'!$D$102,'Inputs &amp; Summary'!$D$105*DD39,0)</f>
        <v/>
      </c>
      <c r="DE40" s="298">
        <f>-IF(DE$8='Inputs &amp; Summary'!$D$102,'Inputs &amp; Summary'!$D$105*DE39,0)</f>
        <v/>
      </c>
      <c r="DF40" s="298">
        <f>-IF(DF$8='Inputs &amp; Summary'!$D$102,'Inputs &amp; Summary'!$D$105*DF39,0)</f>
        <v/>
      </c>
      <c r="DG40" s="298">
        <f>-IF(DG$8='Inputs &amp; Summary'!$D$102,'Inputs &amp; Summary'!$D$105*DG39,0)</f>
        <v/>
      </c>
      <c r="DH40" s="298">
        <f>-IF(DH$8='Inputs &amp; Summary'!$D$102,'Inputs &amp; Summary'!$D$105*DH39,0)</f>
        <v/>
      </c>
      <c r="DI40" s="298">
        <f>-IF(DI$8='Inputs &amp; Summary'!$D$102,'Inputs &amp; Summary'!$D$105*DI39,0)</f>
        <v/>
      </c>
      <c r="DJ40" s="298">
        <f>-IF(DJ$8='Inputs &amp; Summary'!$D$102,'Inputs &amp; Summary'!$D$105*DJ39,0)</f>
        <v/>
      </c>
      <c r="DK40" s="298">
        <f>-IF(DK$8='Inputs &amp; Summary'!$D$102,'Inputs &amp; Summary'!$D$105*DK39,0)</f>
        <v/>
      </c>
      <c r="DL40" s="298">
        <f>-IF(DL$8='Inputs &amp; Summary'!$D$102,'Inputs &amp; Summary'!$D$105*DL39,0)</f>
        <v/>
      </c>
      <c r="DM40" s="298">
        <f>-IF(DM$8='Inputs &amp; Summary'!$D$102,'Inputs &amp; Summary'!$D$105*DM39,0)</f>
        <v/>
      </c>
      <c r="DN40" s="298">
        <f>-IF(DN$8='Inputs &amp; Summary'!$D$102,'Inputs &amp; Summary'!$D$105*DN39,0)</f>
        <v/>
      </c>
      <c r="DO40" s="298">
        <f>-IF(DO$8='Inputs &amp; Summary'!$D$102,'Inputs &amp; Summary'!$D$105*DO39,0)</f>
        <v/>
      </c>
      <c r="DP40" s="298">
        <f>-IF(DP$8='Inputs &amp; Summary'!$D$102,'Inputs &amp; Summary'!$D$105*DP39,0)</f>
        <v/>
      </c>
      <c r="DQ40" s="298">
        <f>-IF(DQ$8='Inputs &amp; Summary'!$D$102,'Inputs &amp; Summary'!$D$105*DQ39,0)</f>
        <v/>
      </c>
      <c r="DR40" s="298">
        <f>-IF(DR$8='Inputs &amp; Summary'!$D$102,'Inputs &amp; Summary'!$D$105*DR39,0)</f>
        <v/>
      </c>
      <c r="DS40" s="298">
        <f>-IF(DS$8='Inputs &amp; Summary'!$D$102,'Inputs &amp; Summary'!$D$105*DS39,0)</f>
        <v/>
      </c>
      <c r="DT40" s="298">
        <f>-IF(DT$8='Inputs &amp; Summary'!$D$102,'Inputs &amp; Summary'!$D$105*DT39,0)</f>
        <v/>
      </c>
    </row>
    <row r="41">
      <c r="B41" s="6" t="inlineStr">
        <is>
          <t>Total Unlevered Cash Flow</t>
        </is>
      </c>
      <c r="C41" s="31" t="n"/>
      <c r="D41" s="306">
        <f>SUM(D34,D37,D39:D40)</f>
        <v/>
      </c>
      <c r="E41" s="301">
        <f>SUM(E34,E37,E39:E40)</f>
        <v/>
      </c>
      <c r="F41" s="301">
        <f>SUM(F34,F37,F39:F40)</f>
        <v/>
      </c>
      <c r="G41" s="301">
        <f>SUM(G34,G37,G39:G40)</f>
        <v/>
      </c>
      <c r="H41" s="301">
        <f>SUM(H34,H37,H39:H40)</f>
        <v/>
      </c>
      <c r="I41" s="301">
        <f>SUM(I34,I37,I39:I40)</f>
        <v/>
      </c>
      <c r="J41" s="301">
        <f>SUM(J34,J37,J39:J40)</f>
        <v/>
      </c>
      <c r="K41" s="301">
        <f>SUM(K34,K37,K39:K40)</f>
        <v/>
      </c>
      <c r="L41" s="301">
        <f>SUM(L34,L37,L39:L40)</f>
        <v/>
      </c>
      <c r="M41" s="301">
        <f>SUM(M34,M37,M39:M40)</f>
        <v/>
      </c>
      <c r="N41" s="301">
        <f>SUM(N34,N37,N39:N40)</f>
        <v/>
      </c>
      <c r="O41" s="301">
        <f>SUM(O34,O37,O39:O40)</f>
        <v/>
      </c>
      <c r="P41" s="301">
        <f>SUM(P34,P37,P39:P40)</f>
        <v/>
      </c>
      <c r="Q41" s="301">
        <f>SUM(Q34,Q37,Q39:Q40)</f>
        <v/>
      </c>
      <c r="R41" s="301">
        <f>SUM(R34,R37,R39:R40)</f>
        <v/>
      </c>
      <c r="S41" s="301">
        <f>SUM(S34,S37,S39:S40)</f>
        <v/>
      </c>
      <c r="T41" s="301">
        <f>SUM(T34,T37,T39:T40)</f>
        <v/>
      </c>
      <c r="U41" s="301">
        <f>SUM(U34,U37,U39:U40)</f>
        <v/>
      </c>
      <c r="V41" s="301">
        <f>SUM(V34,V37,V39:V40)</f>
        <v/>
      </c>
      <c r="W41" s="301">
        <f>SUM(W34,W37,W39:W40)</f>
        <v/>
      </c>
      <c r="X41" s="301">
        <f>SUM(X34,X37,X39:X40)</f>
        <v/>
      </c>
      <c r="Y41" s="301">
        <f>SUM(Y34,Y37,Y39:Y40)</f>
        <v/>
      </c>
      <c r="Z41" s="301">
        <f>SUM(Z34,Z37,Z39:Z40)</f>
        <v/>
      </c>
      <c r="AA41" s="301">
        <f>SUM(AA34,AA37,AA39:AA40)</f>
        <v/>
      </c>
      <c r="AB41" s="301">
        <f>SUM(AB34,AB37,AB39:AB40)</f>
        <v/>
      </c>
      <c r="AC41" s="301">
        <f>SUM(AC34,AC37,AC39:AC40)</f>
        <v/>
      </c>
      <c r="AD41" s="301">
        <f>SUM(AD34,AD37,AD39:AD40)</f>
        <v/>
      </c>
      <c r="AE41" s="301">
        <f>SUM(AE34,AE37,AE39:AE40)</f>
        <v/>
      </c>
      <c r="AF41" s="301">
        <f>SUM(AF34,AF37,AF39:AF40)</f>
        <v/>
      </c>
      <c r="AG41" s="301">
        <f>SUM(AG34,AG37,AG39:AG40)</f>
        <v/>
      </c>
      <c r="AH41" s="301">
        <f>SUM(AH34,AH37,AH39:AH40)</f>
        <v/>
      </c>
      <c r="AI41" s="301">
        <f>SUM(AI34,AI37,AI39:AI40)</f>
        <v/>
      </c>
      <c r="AJ41" s="301">
        <f>SUM(AJ34,AJ37,AJ39:AJ40)</f>
        <v/>
      </c>
      <c r="AK41" s="301">
        <f>SUM(AK34,AK37,AK39:AK40)</f>
        <v/>
      </c>
      <c r="AL41" s="301">
        <f>SUM(AL34,AL37,AL39:AL40)</f>
        <v/>
      </c>
      <c r="AM41" s="301">
        <f>SUM(AM34,AM37,AM39:AM40)</f>
        <v/>
      </c>
      <c r="AN41" s="301">
        <f>SUM(AN34,AN37,AN39:AN40)</f>
        <v/>
      </c>
      <c r="AO41" s="301">
        <f>SUM(AO34,AO37,AO39:AO40)</f>
        <v/>
      </c>
      <c r="AP41" s="301">
        <f>SUM(AP34,AP37,AP39:AP40)</f>
        <v/>
      </c>
      <c r="AQ41" s="301">
        <f>SUM(AQ34,AQ37,AQ39:AQ40)</f>
        <v/>
      </c>
      <c r="AR41" s="301">
        <f>SUM(AR34,AR37,AR39:AR40)</f>
        <v/>
      </c>
      <c r="AS41" s="301">
        <f>SUM(AS34,AS37,AS39:AS40)</f>
        <v/>
      </c>
      <c r="AT41" s="301">
        <f>SUM(AT34,AT37,AT39:AT40)</f>
        <v/>
      </c>
      <c r="AU41" s="301">
        <f>SUM(AU34,AU37,AU39:AU40)</f>
        <v/>
      </c>
      <c r="AV41" s="301">
        <f>SUM(AV34,AV37,AV39:AV40)</f>
        <v/>
      </c>
      <c r="AW41" s="301">
        <f>SUM(AW34,AW37,AW39:AW40)</f>
        <v/>
      </c>
      <c r="AX41" s="301">
        <f>SUM(AX34,AX37,AX39:AX40)</f>
        <v/>
      </c>
      <c r="AY41" s="301">
        <f>SUM(AY34,AY37,AY39:AY40)</f>
        <v/>
      </c>
      <c r="AZ41" s="301">
        <f>SUM(AZ34,AZ37,AZ39:AZ40)</f>
        <v/>
      </c>
      <c r="BA41" s="301">
        <f>SUM(BA34,BA37,BA39:BA40)</f>
        <v/>
      </c>
      <c r="BB41" s="301">
        <f>SUM(BB34,BB37,BB39:BB40)</f>
        <v/>
      </c>
      <c r="BC41" s="301">
        <f>SUM(BC34,BC37,BC39:BC40)</f>
        <v/>
      </c>
      <c r="BD41" s="301">
        <f>SUM(BD34,BD37,BD39:BD40)</f>
        <v/>
      </c>
      <c r="BE41" s="301">
        <f>SUM(BE34,BE37,BE39:BE40)</f>
        <v/>
      </c>
      <c r="BF41" s="301">
        <f>SUM(BF34,BF37,BF39:BF40)</f>
        <v/>
      </c>
      <c r="BG41" s="301">
        <f>SUM(BG34,BG37,BG39:BG40)</f>
        <v/>
      </c>
      <c r="BH41" s="301">
        <f>SUM(BH34,BH37,BH39:BH40)</f>
        <v/>
      </c>
      <c r="BI41" s="301">
        <f>SUM(BI34,BI37,BI39:BI40)</f>
        <v/>
      </c>
      <c r="BJ41" s="301">
        <f>SUM(BJ34,BJ37,BJ39:BJ40)</f>
        <v/>
      </c>
      <c r="BK41" s="301">
        <f>SUM(BK34,BK37,BK39:BK40)</f>
        <v/>
      </c>
      <c r="BL41" s="301">
        <f>SUM(BL34,BL37,BL39:BL40)</f>
        <v/>
      </c>
      <c r="BM41" s="301">
        <f>SUM(BM34,BM37,BM39:BM40)</f>
        <v/>
      </c>
      <c r="BN41" s="301">
        <f>SUM(BN34,BN37,BN39:BN40)</f>
        <v/>
      </c>
      <c r="BO41" s="301">
        <f>SUM(BO34,BO37,BO39:BO40)</f>
        <v/>
      </c>
      <c r="BP41" s="301">
        <f>SUM(BP34,BP37,BP39:BP40)</f>
        <v/>
      </c>
      <c r="BQ41" s="301">
        <f>SUM(BQ34,BQ37,BQ39:BQ40)</f>
        <v/>
      </c>
      <c r="BR41" s="301">
        <f>SUM(BR34,BR37,BR39:BR40)</f>
        <v/>
      </c>
      <c r="BS41" s="301">
        <f>SUM(BS34,BS37,BS39:BS40)</f>
        <v/>
      </c>
      <c r="BT41" s="301">
        <f>SUM(BT34,BT37,BT39:BT40)</f>
        <v/>
      </c>
      <c r="BU41" s="301">
        <f>SUM(BU34,BU37,BU39:BU40)</f>
        <v/>
      </c>
      <c r="BV41" s="301">
        <f>SUM(BV34,BV37,BV39:BV40)</f>
        <v/>
      </c>
      <c r="BW41" s="301">
        <f>SUM(BW34,BW37,BW39:BW40)</f>
        <v/>
      </c>
      <c r="BX41" s="301">
        <f>SUM(BX34,BX37,BX39:BX40)</f>
        <v/>
      </c>
      <c r="BY41" s="301">
        <f>SUM(BY34,BY37,BY39:BY40)</f>
        <v/>
      </c>
      <c r="BZ41" s="301">
        <f>SUM(BZ34,BZ37,BZ39:BZ40)</f>
        <v/>
      </c>
      <c r="CA41" s="301">
        <f>SUM(CA34,CA37,CA39:CA40)</f>
        <v/>
      </c>
      <c r="CB41" s="301">
        <f>SUM(CB34,CB37,CB39:CB40)</f>
        <v/>
      </c>
      <c r="CC41" s="301">
        <f>SUM(CC34,CC37,CC39:CC40)</f>
        <v/>
      </c>
      <c r="CD41" s="301">
        <f>SUM(CD34,CD37,CD39:CD40)</f>
        <v/>
      </c>
      <c r="CE41" s="301">
        <f>SUM(CE34,CE37,CE39:CE40)</f>
        <v/>
      </c>
      <c r="CF41" s="301">
        <f>SUM(CF34,CF37,CF39:CF40)</f>
        <v/>
      </c>
      <c r="CG41" s="301">
        <f>SUM(CG34,CG37,CG39:CG40)</f>
        <v/>
      </c>
      <c r="CH41" s="301">
        <f>SUM(CH34,CH37,CH39:CH40)</f>
        <v/>
      </c>
      <c r="CI41" s="301">
        <f>SUM(CI34,CI37,CI39:CI40)</f>
        <v/>
      </c>
      <c r="CJ41" s="301">
        <f>SUM(CJ34,CJ37,CJ39:CJ40)</f>
        <v/>
      </c>
      <c r="CK41" s="301">
        <f>SUM(CK34,CK37,CK39:CK40)</f>
        <v/>
      </c>
      <c r="CL41" s="301">
        <f>SUM(CL34,CL37,CL39:CL40)</f>
        <v/>
      </c>
      <c r="CM41" s="301">
        <f>SUM(CM34,CM37,CM39:CM40)</f>
        <v/>
      </c>
      <c r="CN41" s="301">
        <f>SUM(CN34,CN37,CN39:CN40)</f>
        <v/>
      </c>
      <c r="CO41" s="301">
        <f>SUM(CO34,CO37,CO39:CO40)</f>
        <v/>
      </c>
      <c r="CP41" s="301">
        <f>SUM(CP34,CP37,CP39:CP40)</f>
        <v/>
      </c>
      <c r="CQ41" s="301">
        <f>SUM(CQ34,CQ37,CQ39:CQ40)</f>
        <v/>
      </c>
      <c r="CR41" s="301">
        <f>SUM(CR34,CR37,CR39:CR40)</f>
        <v/>
      </c>
      <c r="CS41" s="301">
        <f>SUM(CS34,CS37,CS39:CS40)</f>
        <v/>
      </c>
      <c r="CT41" s="301">
        <f>SUM(CT34,CT37,CT39:CT40)</f>
        <v/>
      </c>
      <c r="CU41" s="301">
        <f>SUM(CU34,CU37,CU39:CU40)</f>
        <v/>
      </c>
      <c r="CV41" s="301">
        <f>SUM(CV34,CV37,CV39:CV40)</f>
        <v/>
      </c>
      <c r="CW41" s="301">
        <f>SUM(CW34,CW37,CW39:CW40)</f>
        <v/>
      </c>
      <c r="CX41" s="301">
        <f>SUM(CX34,CX37,CX39:CX40)</f>
        <v/>
      </c>
      <c r="CY41" s="301">
        <f>SUM(CY34,CY37,CY39:CY40)</f>
        <v/>
      </c>
      <c r="CZ41" s="301">
        <f>SUM(CZ34,CZ37,CZ39:CZ40)</f>
        <v/>
      </c>
      <c r="DA41" s="301">
        <f>SUM(DA34,DA37,DA39:DA40)</f>
        <v/>
      </c>
      <c r="DB41" s="301">
        <f>SUM(DB34,DB37,DB39:DB40)</f>
        <v/>
      </c>
      <c r="DC41" s="301">
        <f>SUM(DC34,DC37,DC39:DC40)</f>
        <v/>
      </c>
      <c r="DD41" s="301">
        <f>SUM(DD34,DD37,DD39:DD40)</f>
        <v/>
      </c>
      <c r="DE41" s="301">
        <f>SUM(DE34,DE37,DE39:DE40)</f>
        <v/>
      </c>
      <c r="DF41" s="301">
        <f>SUM(DF34,DF37,DF39:DF40)</f>
        <v/>
      </c>
      <c r="DG41" s="301">
        <f>SUM(DG34,DG37,DG39:DG40)</f>
        <v/>
      </c>
      <c r="DH41" s="301">
        <f>SUM(DH34,DH37,DH39:DH40)</f>
        <v/>
      </c>
      <c r="DI41" s="301">
        <f>SUM(DI34,DI37,DI39:DI40)</f>
        <v/>
      </c>
      <c r="DJ41" s="301">
        <f>SUM(DJ34,DJ37,DJ39:DJ40)</f>
        <v/>
      </c>
      <c r="DK41" s="301">
        <f>SUM(DK34,DK37,DK39:DK40)</f>
        <v/>
      </c>
      <c r="DL41" s="301">
        <f>SUM(DL34,DL37,DL39:DL40)</f>
        <v/>
      </c>
      <c r="DM41" s="301">
        <f>SUM(DM34,DM37,DM39:DM40)</f>
        <v/>
      </c>
      <c r="DN41" s="301">
        <f>SUM(DN34,DN37,DN39:DN40)</f>
        <v/>
      </c>
      <c r="DO41" s="301">
        <f>SUM(DO34,DO37,DO39:DO40)</f>
        <v/>
      </c>
      <c r="DP41" s="301">
        <f>SUM(DP34,DP37,DP39:DP40)</f>
        <v/>
      </c>
      <c r="DQ41" s="301">
        <f>SUM(DQ34,DQ37,DQ39:DQ40)</f>
        <v/>
      </c>
      <c r="DR41" s="301">
        <f>SUM(DR34,DR37,DR39:DR40)</f>
        <v/>
      </c>
      <c r="DS41" s="301">
        <f>SUM(DS34,DS37,DS39:DS40)</f>
        <v/>
      </c>
      <c r="DT41" s="301">
        <f>SUM(DT34,DT37,DT39:DT40)</f>
        <v/>
      </c>
    </row>
    <row r="42">
      <c r="B42" s="58" t="inlineStr">
        <is>
          <t>Cumulative</t>
        </is>
      </c>
      <c r="D42" s="307">
        <f>SUM($D$41:D41)</f>
        <v/>
      </c>
      <c r="E42" s="307">
        <f>SUM($D$41:E41)</f>
        <v/>
      </c>
      <c r="F42" s="307">
        <f>SUM($D$41:F41)</f>
        <v/>
      </c>
      <c r="G42" s="307">
        <f>SUM($D$41:G41)</f>
        <v/>
      </c>
      <c r="H42" s="307">
        <f>SUM($D$41:H41)</f>
        <v/>
      </c>
      <c r="I42" s="307">
        <f>SUM($D$41:I41)</f>
        <v/>
      </c>
      <c r="J42" s="307">
        <f>SUM($D$41:J41)</f>
        <v/>
      </c>
      <c r="K42" s="307">
        <f>SUM($D$41:K41)</f>
        <v/>
      </c>
      <c r="L42" s="307">
        <f>SUM($D$41:L41)</f>
        <v/>
      </c>
      <c r="M42" s="307">
        <f>SUM($D$41:M41)</f>
        <v/>
      </c>
      <c r="N42" s="307">
        <f>SUM($D$41:N41)</f>
        <v/>
      </c>
      <c r="O42" s="307">
        <f>SUM($D$41:O41)</f>
        <v/>
      </c>
      <c r="P42" s="307">
        <f>SUM($D$41:P41)</f>
        <v/>
      </c>
      <c r="Q42" s="307">
        <f>SUM($D$41:Q41)</f>
        <v/>
      </c>
      <c r="R42" s="307">
        <f>SUM($D$41:R41)</f>
        <v/>
      </c>
      <c r="S42" s="307">
        <f>SUM($D$41:S41)</f>
        <v/>
      </c>
      <c r="T42" s="307">
        <f>SUM($D$41:T41)</f>
        <v/>
      </c>
      <c r="U42" s="307">
        <f>SUM($D$41:U41)</f>
        <v/>
      </c>
      <c r="V42" s="307">
        <f>SUM($D$41:V41)</f>
        <v/>
      </c>
      <c r="W42" s="307">
        <f>SUM($D$41:W41)</f>
        <v/>
      </c>
      <c r="X42" s="307">
        <f>SUM($D$41:X41)</f>
        <v/>
      </c>
      <c r="Y42" s="307">
        <f>SUM($D$41:Y41)</f>
        <v/>
      </c>
      <c r="Z42" s="307">
        <f>SUM($D$41:Z41)</f>
        <v/>
      </c>
      <c r="AA42" s="307">
        <f>SUM($D$41:AA41)</f>
        <v/>
      </c>
      <c r="AB42" s="307">
        <f>SUM($D$41:AB41)</f>
        <v/>
      </c>
      <c r="AC42" s="307">
        <f>SUM($D$41:AC41)</f>
        <v/>
      </c>
      <c r="AD42" s="307">
        <f>SUM($D$41:AD41)</f>
        <v/>
      </c>
      <c r="AE42" s="307">
        <f>SUM($D$41:AE41)</f>
        <v/>
      </c>
      <c r="AF42" s="307">
        <f>SUM($D$41:AF41)</f>
        <v/>
      </c>
      <c r="AG42" s="307">
        <f>SUM($D$41:AG41)</f>
        <v/>
      </c>
      <c r="AH42" s="307">
        <f>SUM($D$41:AH41)</f>
        <v/>
      </c>
      <c r="AI42" s="307">
        <f>SUM($D$41:AI41)</f>
        <v/>
      </c>
      <c r="AJ42" s="307">
        <f>SUM($D$41:AJ41)</f>
        <v/>
      </c>
      <c r="AK42" s="307">
        <f>SUM($D$41:AK41)</f>
        <v/>
      </c>
      <c r="AL42" s="307">
        <f>SUM($D$41:AL41)</f>
        <v/>
      </c>
      <c r="AM42" s="307">
        <f>SUM($D$41:AM41)</f>
        <v/>
      </c>
      <c r="AN42" s="307">
        <f>SUM($D$41:AN41)</f>
        <v/>
      </c>
      <c r="AO42" s="307">
        <f>SUM($D$41:AO41)</f>
        <v/>
      </c>
      <c r="AP42" s="307">
        <f>SUM($D$41:AP41)</f>
        <v/>
      </c>
      <c r="AQ42" s="307">
        <f>SUM($D$41:AQ41)</f>
        <v/>
      </c>
      <c r="AR42" s="307">
        <f>SUM($D$41:AR41)</f>
        <v/>
      </c>
      <c r="AS42" s="307">
        <f>SUM($D$41:AS41)</f>
        <v/>
      </c>
      <c r="AT42" s="307">
        <f>SUM($D$41:AT41)</f>
        <v/>
      </c>
      <c r="AU42" s="307">
        <f>SUM($D$41:AU41)</f>
        <v/>
      </c>
      <c r="AV42" s="307">
        <f>SUM($D$41:AV41)</f>
        <v/>
      </c>
      <c r="AW42" s="307">
        <f>SUM($D$41:AW41)</f>
        <v/>
      </c>
      <c r="AX42" s="307">
        <f>SUM($D$41:AX41)</f>
        <v/>
      </c>
      <c r="AY42" s="307">
        <f>SUM($D$41:AY41)</f>
        <v/>
      </c>
      <c r="AZ42" s="307">
        <f>SUM($D$41:AZ41)</f>
        <v/>
      </c>
      <c r="BA42" s="307">
        <f>SUM($D$41:BA41)</f>
        <v/>
      </c>
      <c r="BB42" s="307">
        <f>SUM($D$41:BB41)</f>
        <v/>
      </c>
      <c r="BC42" s="307">
        <f>SUM($D$41:BC41)</f>
        <v/>
      </c>
      <c r="BD42" s="307">
        <f>SUM($D$41:BD41)</f>
        <v/>
      </c>
      <c r="BE42" s="307">
        <f>SUM($D$41:BE41)</f>
        <v/>
      </c>
      <c r="BF42" s="307">
        <f>SUM($D$41:BF41)</f>
        <v/>
      </c>
      <c r="BG42" s="307">
        <f>SUM($D$41:BG41)</f>
        <v/>
      </c>
      <c r="BH42" s="307">
        <f>SUM($D$41:BH41)</f>
        <v/>
      </c>
      <c r="BI42" s="307">
        <f>SUM($D$41:BI41)</f>
        <v/>
      </c>
      <c r="BJ42" s="307">
        <f>SUM($D$41:BJ41)</f>
        <v/>
      </c>
      <c r="BK42" s="307">
        <f>SUM($D$41:BK41)</f>
        <v/>
      </c>
      <c r="BL42" s="307">
        <f>SUM($D$41:BL41)</f>
        <v/>
      </c>
      <c r="BM42" s="307">
        <f>SUM($D$41:BM41)</f>
        <v/>
      </c>
      <c r="BN42" s="307">
        <f>SUM($D$41:BN41)</f>
        <v/>
      </c>
      <c r="BO42" s="307">
        <f>SUM($D$41:BO41)</f>
        <v/>
      </c>
      <c r="BP42" s="307">
        <f>SUM($D$41:BP41)</f>
        <v/>
      </c>
      <c r="BQ42" s="307">
        <f>SUM($D$41:BQ41)</f>
        <v/>
      </c>
      <c r="BR42" s="307">
        <f>SUM($D$41:BR41)</f>
        <v/>
      </c>
      <c r="BS42" s="307">
        <f>SUM($D$41:BS41)</f>
        <v/>
      </c>
      <c r="BT42" s="307">
        <f>SUM($D$41:BT41)</f>
        <v/>
      </c>
      <c r="BU42" s="307">
        <f>SUM($D$41:BU41)</f>
        <v/>
      </c>
      <c r="BV42" s="307">
        <f>SUM($D$41:BV41)</f>
        <v/>
      </c>
      <c r="BW42" s="307">
        <f>SUM($D$41:BW41)</f>
        <v/>
      </c>
      <c r="BX42" s="307">
        <f>SUM($D$41:BX41)</f>
        <v/>
      </c>
      <c r="BY42" s="307">
        <f>SUM($D$41:BY41)</f>
        <v/>
      </c>
      <c r="BZ42" s="307">
        <f>SUM($D$41:BZ41)</f>
        <v/>
      </c>
      <c r="CA42" s="307">
        <f>SUM($D$41:CA41)</f>
        <v/>
      </c>
      <c r="CB42" s="307">
        <f>SUM($D$41:CB41)</f>
        <v/>
      </c>
      <c r="CC42" s="307">
        <f>SUM($D$41:CC41)</f>
        <v/>
      </c>
      <c r="CD42" s="307">
        <f>SUM($D$41:CD41)</f>
        <v/>
      </c>
      <c r="CE42" s="307">
        <f>SUM($D$41:CE41)</f>
        <v/>
      </c>
      <c r="CF42" s="307">
        <f>SUM($D$41:CF41)</f>
        <v/>
      </c>
      <c r="CG42" s="307">
        <f>SUM($D$41:CG41)</f>
        <v/>
      </c>
      <c r="CH42" s="307">
        <f>SUM($D$41:CH41)</f>
        <v/>
      </c>
      <c r="CI42" s="307">
        <f>SUM($D$41:CI41)</f>
        <v/>
      </c>
      <c r="CJ42" s="307">
        <f>SUM($D$41:CJ41)</f>
        <v/>
      </c>
      <c r="CK42" s="307">
        <f>SUM($D$41:CK41)</f>
        <v/>
      </c>
      <c r="CL42" s="307">
        <f>SUM($D$41:CL41)</f>
        <v/>
      </c>
      <c r="CM42" s="307">
        <f>SUM($D$41:CM41)</f>
        <v/>
      </c>
      <c r="CN42" s="307">
        <f>SUM($D$41:CN41)</f>
        <v/>
      </c>
      <c r="CO42" s="307">
        <f>SUM($D$41:CO41)</f>
        <v/>
      </c>
      <c r="CP42" s="307">
        <f>SUM($D$41:CP41)</f>
        <v/>
      </c>
      <c r="CQ42" s="307">
        <f>SUM($D$41:CQ41)</f>
        <v/>
      </c>
      <c r="CR42" s="307">
        <f>SUM($D$41:CR41)</f>
        <v/>
      </c>
      <c r="CS42" s="307">
        <f>SUM($D$41:CS41)</f>
        <v/>
      </c>
      <c r="CT42" s="307">
        <f>SUM($D$41:CT41)</f>
        <v/>
      </c>
      <c r="CU42" s="307">
        <f>SUM($D$41:CU41)</f>
        <v/>
      </c>
      <c r="CV42" s="307">
        <f>SUM($D$41:CV41)</f>
        <v/>
      </c>
      <c r="CW42" s="307">
        <f>SUM($D$41:CW41)</f>
        <v/>
      </c>
      <c r="CX42" s="307">
        <f>SUM($D$41:CX41)</f>
        <v/>
      </c>
      <c r="CY42" s="307">
        <f>SUM($D$41:CY41)</f>
        <v/>
      </c>
      <c r="CZ42" s="307">
        <f>SUM($D$41:CZ41)</f>
        <v/>
      </c>
      <c r="DA42" s="307">
        <f>SUM($D$41:DA41)</f>
        <v/>
      </c>
      <c r="DB42" s="307">
        <f>SUM($D$41:DB41)</f>
        <v/>
      </c>
      <c r="DC42" s="307">
        <f>SUM($D$41:DC41)</f>
        <v/>
      </c>
      <c r="DD42" s="307">
        <f>SUM($D$41:DD41)</f>
        <v/>
      </c>
      <c r="DE42" s="307">
        <f>SUM($D$41:DE41)</f>
        <v/>
      </c>
      <c r="DF42" s="307">
        <f>SUM($D$41:DF41)</f>
        <v/>
      </c>
      <c r="DG42" s="307">
        <f>SUM($D$41:DG41)</f>
        <v/>
      </c>
      <c r="DH42" s="307">
        <f>SUM($D$41:DH41)</f>
        <v/>
      </c>
      <c r="DI42" s="307">
        <f>SUM($D$41:DI41)</f>
        <v/>
      </c>
      <c r="DJ42" s="307">
        <f>SUM($D$41:DJ41)</f>
        <v/>
      </c>
      <c r="DK42" s="307">
        <f>SUM($D$41:DK41)</f>
        <v/>
      </c>
      <c r="DL42" s="307">
        <f>SUM($D$41:DL41)</f>
        <v/>
      </c>
      <c r="DM42" s="307">
        <f>SUM($D$41:DM41)</f>
        <v/>
      </c>
      <c r="DN42" s="307">
        <f>SUM($D$41:DN41)</f>
        <v/>
      </c>
      <c r="DO42" s="307">
        <f>SUM($D$41:DO41)</f>
        <v/>
      </c>
      <c r="DP42" s="307">
        <f>SUM($D$41:DP41)</f>
        <v/>
      </c>
      <c r="DQ42" s="307">
        <f>SUM($D$41:DQ41)</f>
        <v/>
      </c>
      <c r="DR42" s="307">
        <f>SUM($D$41:DR41)</f>
        <v/>
      </c>
      <c r="DS42" s="307">
        <f>SUM($D$41:DS41)</f>
        <v/>
      </c>
      <c r="DT42" s="307">
        <f>SUM($D$41:DT41)</f>
        <v/>
      </c>
    </row>
    <row r="44">
      <c r="B44" s="50" t="inlineStr">
        <is>
          <t>Unlevered Returns</t>
        </is>
      </c>
      <c r="C44" s="51" t="n"/>
    </row>
    <row r="45">
      <c r="B45" s="52" t="inlineStr">
        <is>
          <t>IRR</t>
        </is>
      </c>
      <c r="C45" s="308">
        <f>XIRR(D41:EF41,D6:EF6)</f>
        <v/>
      </c>
    </row>
    <row r="46">
      <c r="B46" s="52" t="inlineStr">
        <is>
          <t>Equity Multiple</t>
        </is>
      </c>
      <c r="C46" s="309">
        <f>+-SUMIF(D41:EF41,"&gt;0")/SUMIF(D41:EF41,"&lt;0")</f>
        <v/>
      </c>
    </row>
    <row r="47">
      <c r="B47" s="52" t="inlineStr">
        <is>
          <t>Net Profit</t>
        </is>
      </c>
      <c r="C47" s="310">
        <f>SUM(D41:EF41)</f>
        <v/>
      </c>
    </row>
    <row r="48">
      <c r="B48" s="56" t="inlineStr">
        <is>
          <t>Peak Equity</t>
        </is>
      </c>
      <c r="C48" s="311">
        <f>-MIN(D42:EF42)</f>
        <v/>
      </c>
    </row>
    <row r="50">
      <c r="B50" s="63" t="inlineStr">
        <is>
          <t>Levered Cash Flow</t>
        </is>
      </c>
      <c r="C50" s="64" t="n"/>
      <c r="D50" s="64" t="n"/>
      <c r="E50" s="64" t="n"/>
      <c r="F50" s="64" t="n"/>
      <c r="G50" s="64" t="n"/>
      <c r="H50" s="64" t="n"/>
      <c r="I50" s="64" t="n"/>
      <c r="J50" s="64" t="n"/>
      <c r="K50" s="64" t="n"/>
      <c r="L50" s="64" t="n"/>
      <c r="M50" s="64" t="n"/>
      <c r="N50" s="64" t="n"/>
      <c r="O50" s="64" t="n"/>
      <c r="P50" s="64" t="n"/>
      <c r="Q50" s="64" t="n"/>
      <c r="R50" s="64" t="n"/>
      <c r="S50" s="64" t="n"/>
      <c r="T50" s="64" t="n"/>
      <c r="U50" s="64" t="n"/>
      <c r="V50" s="64" t="n"/>
      <c r="W50" s="64" t="n"/>
      <c r="X50" s="64" t="n"/>
      <c r="Y50" s="64" t="n"/>
      <c r="Z50" s="64" t="n"/>
      <c r="AA50" s="64" t="n"/>
      <c r="AB50" s="64" t="n"/>
      <c r="AC50" s="64" t="n"/>
      <c r="AD50" s="64" t="n"/>
      <c r="AE50" s="64" t="n"/>
      <c r="AF50" s="64" t="n"/>
      <c r="AG50" s="64" t="n"/>
      <c r="AH50" s="64" t="n"/>
      <c r="AI50" s="64" t="n"/>
      <c r="AJ50" s="64" t="n"/>
      <c r="AK50" s="64" t="n"/>
      <c r="AL50" s="64" t="n"/>
      <c r="AM50" s="64" t="n"/>
      <c r="AN50" s="64" t="n"/>
      <c r="AO50" s="64" t="n"/>
      <c r="AP50" s="64" t="n"/>
      <c r="AQ50" s="64" t="n"/>
      <c r="AR50" s="64" t="n"/>
      <c r="AS50" s="64" t="n"/>
      <c r="AT50" s="64" t="n"/>
      <c r="AU50" s="64" t="n"/>
      <c r="AV50" s="64" t="n"/>
      <c r="AW50" s="64" t="n"/>
      <c r="AX50" s="64" t="n"/>
      <c r="AY50" s="64" t="n"/>
      <c r="AZ50" s="64" t="n"/>
      <c r="BA50" s="64" t="n"/>
      <c r="BB50" s="64" t="n"/>
      <c r="BC50" s="64" t="n"/>
      <c r="BD50" s="64" t="n"/>
      <c r="BE50" s="64" t="n"/>
      <c r="BF50" s="64" t="n"/>
      <c r="BG50" s="64" t="n"/>
      <c r="BH50" s="64" t="n"/>
      <c r="BI50" s="64" t="n"/>
      <c r="BJ50" s="64" t="n"/>
      <c r="BK50" s="64" t="n"/>
      <c r="BL50" s="64" t="n"/>
      <c r="BM50" s="64" t="n"/>
      <c r="BN50" s="64" t="n"/>
      <c r="BO50" s="64" t="n"/>
      <c r="BP50" s="64" t="n"/>
      <c r="BQ50" s="64" t="n"/>
      <c r="BR50" s="64" t="n"/>
      <c r="BS50" s="64" t="n"/>
      <c r="BT50" s="64" t="n"/>
      <c r="BU50" s="64" t="n"/>
      <c r="BV50" s="64" t="n"/>
      <c r="BW50" s="64" t="n"/>
      <c r="BX50" s="64" t="n"/>
      <c r="BY50" s="64" t="n"/>
      <c r="BZ50" s="64" t="n"/>
      <c r="CA50" s="64" t="n"/>
      <c r="CB50" s="64" t="n"/>
      <c r="CC50" s="64" t="n"/>
      <c r="CD50" s="64" t="n"/>
      <c r="CE50" s="64" t="n"/>
      <c r="CF50" s="64" t="n"/>
      <c r="CG50" s="64" t="n"/>
      <c r="CH50" s="64" t="n"/>
      <c r="CI50" s="64" t="n"/>
      <c r="CJ50" s="64" t="n"/>
      <c r="CK50" s="64" t="n"/>
      <c r="CL50" s="64" t="n"/>
      <c r="CM50" s="64" t="n"/>
      <c r="CN50" s="64" t="n"/>
      <c r="CO50" s="64" t="n"/>
      <c r="CP50" s="64" t="n"/>
      <c r="CQ50" s="64" t="n"/>
      <c r="CR50" s="64" t="n"/>
      <c r="CS50" s="64" t="n"/>
      <c r="CT50" s="64" t="n"/>
      <c r="CU50" s="64" t="n"/>
      <c r="CV50" s="64" t="n"/>
      <c r="CW50" s="64" t="n"/>
      <c r="CX50" s="64" t="n"/>
      <c r="CY50" s="64" t="n"/>
      <c r="CZ50" s="64" t="n"/>
      <c r="DA50" s="64" t="n"/>
      <c r="DB50" s="64" t="n"/>
      <c r="DC50" s="64" t="n"/>
      <c r="DD50" s="64" t="n"/>
      <c r="DE50" s="64" t="n"/>
      <c r="DF50" s="64" t="n"/>
      <c r="DG50" s="64" t="n"/>
      <c r="DH50" s="64" t="n"/>
      <c r="DI50" s="64" t="n"/>
      <c r="DJ50" s="64" t="n"/>
      <c r="DK50" s="64" t="n"/>
      <c r="DL50" s="64" t="n"/>
      <c r="DM50" s="64" t="n"/>
      <c r="DN50" s="64" t="n"/>
      <c r="DO50" s="64" t="n"/>
      <c r="DP50" s="64" t="n"/>
      <c r="DQ50" s="64" t="n"/>
      <c r="DR50" s="64" t="n"/>
      <c r="DS50" s="64" t="n"/>
      <c r="DT50" s="64" t="n"/>
    </row>
    <row r="51">
      <c r="B51" s="65" t="inlineStr">
        <is>
          <t>(+) Unlevered Operating Cash Flow</t>
        </is>
      </c>
      <c r="C51" s="312" t="n"/>
      <c r="D51" s="313">
        <f>D34+D37</f>
        <v/>
      </c>
      <c r="E51" s="206">
        <f>E34+E37</f>
        <v/>
      </c>
      <c r="F51" s="206">
        <f>F34+F37</f>
        <v/>
      </c>
      <c r="G51" s="206">
        <f>G34+G37</f>
        <v/>
      </c>
      <c r="H51" s="206">
        <f>H34+H37</f>
        <v/>
      </c>
      <c r="I51" s="206">
        <f>I34+I37</f>
        <v/>
      </c>
      <c r="J51" s="206">
        <f>J34+J37</f>
        <v/>
      </c>
      <c r="K51" s="206">
        <f>K34+K37</f>
        <v/>
      </c>
      <c r="L51" s="206">
        <f>L34+L37</f>
        <v/>
      </c>
      <c r="M51" s="206">
        <f>M34+M37</f>
        <v/>
      </c>
      <c r="N51" s="206">
        <f>N34+N37</f>
        <v/>
      </c>
      <c r="O51" s="206">
        <f>O34+O37</f>
        <v/>
      </c>
      <c r="P51" s="206">
        <f>P34+P37</f>
        <v/>
      </c>
      <c r="Q51" s="206">
        <f>Q34+Q37</f>
        <v/>
      </c>
      <c r="R51" s="206">
        <f>R34+R37</f>
        <v/>
      </c>
      <c r="S51" s="206">
        <f>S34+S37</f>
        <v/>
      </c>
      <c r="T51" s="206">
        <f>T34+T37</f>
        <v/>
      </c>
      <c r="U51" s="206">
        <f>U34+U37</f>
        <v/>
      </c>
      <c r="V51" s="206">
        <f>V34+V37</f>
        <v/>
      </c>
      <c r="W51" s="206">
        <f>W34+W37</f>
        <v/>
      </c>
      <c r="X51" s="206">
        <f>X34+X37</f>
        <v/>
      </c>
      <c r="Y51" s="206">
        <f>Y34+Y37</f>
        <v/>
      </c>
      <c r="Z51" s="206">
        <f>Z34+Z37</f>
        <v/>
      </c>
      <c r="AA51" s="206">
        <f>AA34+AA37</f>
        <v/>
      </c>
      <c r="AB51" s="206">
        <f>AB34+AB37</f>
        <v/>
      </c>
      <c r="AC51" s="206">
        <f>AC34+AC37</f>
        <v/>
      </c>
      <c r="AD51" s="206">
        <f>AD34+AD37</f>
        <v/>
      </c>
      <c r="AE51" s="206">
        <f>AE34+AE37</f>
        <v/>
      </c>
      <c r="AF51" s="206">
        <f>AF34+AF37</f>
        <v/>
      </c>
      <c r="AG51" s="206">
        <f>AG34+AG37</f>
        <v/>
      </c>
      <c r="AH51" s="206">
        <f>AH34+AH37</f>
        <v/>
      </c>
      <c r="AI51" s="206">
        <f>AI34+AI37</f>
        <v/>
      </c>
      <c r="AJ51" s="206">
        <f>AJ34+AJ37</f>
        <v/>
      </c>
      <c r="AK51" s="206">
        <f>AK34+AK37</f>
        <v/>
      </c>
      <c r="AL51" s="206">
        <f>AL34+AL37</f>
        <v/>
      </c>
      <c r="AM51" s="206">
        <f>AM34+AM37</f>
        <v/>
      </c>
      <c r="AN51" s="206">
        <f>AN34+AN37</f>
        <v/>
      </c>
      <c r="AO51" s="206">
        <f>AO34+AO37</f>
        <v/>
      </c>
      <c r="AP51" s="206">
        <f>AP34+AP37</f>
        <v/>
      </c>
      <c r="AQ51" s="206">
        <f>AQ34+AQ37</f>
        <v/>
      </c>
      <c r="AR51" s="206">
        <f>AR34+AR37</f>
        <v/>
      </c>
      <c r="AS51" s="206">
        <f>AS34+AS37</f>
        <v/>
      </c>
      <c r="AT51" s="206">
        <f>AT34+AT37</f>
        <v/>
      </c>
      <c r="AU51" s="206">
        <f>AU34+AU37</f>
        <v/>
      </c>
      <c r="AV51" s="206">
        <f>AV34+AV37</f>
        <v/>
      </c>
      <c r="AW51" s="206">
        <f>AW34+AW37</f>
        <v/>
      </c>
      <c r="AX51" s="206">
        <f>AX34+AX37</f>
        <v/>
      </c>
      <c r="AY51" s="206">
        <f>AY34+AY37</f>
        <v/>
      </c>
      <c r="AZ51" s="206">
        <f>AZ34+AZ37</f>
        <v/>
      </c>
      <c r="BA51" s="206">
        <f>BA34+BA37</f>
        <v/>
      </c>
      <c r="BB51" s="206">
        <f>BB34+BB37</f>
        <v/>
      </c>
      <c r="BC51" s="206">
        <f>BC34+BC37</f>
        <v/>
      </c>
      <c r="BD51" s="206">
        <f>BD34+BD37</f>
        <v/>
      </c>
      <c r="BE51" s="206">
        <f>BE34+BE37</f>
        <v/>
      </c>
      <c r="BF51" s="206">
        <f>BF34+BF37</f>
        <v/>
      </c>
      <c r="BG51" s="206">
        <f>BG34+BG37</f>
        <v/>
      </c>
      <c r="BH51" s="206">
        <f>BH34+BH37</f>
        <v/>
      </c>
      <c r="BI51" s="206">
        <f>BI34+BI37</f>
        <v/>
      </c>
      <c r="BJ51" s="206">
        <f>BJ34+BJ37</f>
        <v/>
      </c>
      <c r="BK51" s="206">
        <f>BK34+BK37</f>
        <v/>
      </c>
      <c r="BL51" s="206">
        <f>BL34+BL37</f>
        <v/>
      </c>
      <c r="BM51" s="206">
        <f>BM34+BM37</f>
        <v/>
      </c>
      <c r="BN51" s="206">
        <f>BN34+BN37</f>
        <v/>
      </c>
      <c r="BO51" s="206">
        <f>BO34+BO37</f>
        <v/>
      </c>
      <c r="BP51" s="206">
        <f>BP34+BP37</f>
        <v/>
      </c>
      <c r="BQ51" s="206">
        <f>BQ34+BQ37</f>
        <v/>
      </c>
      <c r="BR51" s="206">
        <f>BR34+BR37</f>
        <v/>
      </c>
      <c r="BS51" s="206">
        <f>BS34+BS37</f>
        <v/>
      </c>
      <c r="BT51" s="206">
        <f>BT34+BT37</f>
        <v/>
      </c>
      <c r="BU51" s="206">
        <f>BU34+BU37</f>
        <v/>
      </c>
      <c r="BV51" s="206">
        <f>BV34+BV37</f>
        <v/>
      </c>
      <c r="BW51" s="206">
        <f>BW34+BW37</f>
        <v/>
      </c>
      <c r="BX51" s="206">
        <f>BX34+BX37</f>
        <v/>
      </c>
      <c r="BY51" s="206">
        <f>BY34+BY37</f>
        <v/>
      </c>
      <c r="BZ51" s="206">
        <f>BZ34+BZ37</f>
        <v/>
      </c>
      <c r="CA51" s="206">
        <f>CA34+CA37</f>
        <v/>
      </c>
      <c r="CB51" s="206">
        <f>CB34+CB37</f>
        <v/>
      </c>
      <c r="CC51" s="206">
        <f>CC34+CC37</f>
        <v/>
      </c>
      <c r="CD51" s="206">
        <f>CD34+CD37</f>
        <v/>
      </c>
      <c r="CE51" s="206">
        <f>CE34+CE37</f>
        <v/>
      </c>
      <c r="CF51" s="206">
        <f>CF34+CF37</f>
        <v/>
      </c>
      <c r="CG51" s="206">
        <f>CG34+CG37</f>
        <v/>
      </c>
      <c r="CH51" s="206">
        <f>CH34+CH37</f>
        <v/>
      </c>
      <c r="CI51" s="206">
        <f>CI34+CI37</f>
        <v/>
      </c>
      <c r="CJ51" s="206">
        <f>CJ34+CJ37</f>
        <v/>
      </c>
      <c r="CK51" s="206">
        <f>CK34+CK37</f>
        <v/>
      </c>
      <c r="CL51" s="206">
        <f>CL34+CL37</f>
        <v/>
      </c>
      <c r="CM51" s="206">
        <f>CM34+CM37</f>
        <v/>
      </c>
      <c r="CN51" s="206">
        <f>CN34+CN37</f>
        <v/>
      </c>
      <c r="CO51" s="206">
        <f>CO34+CO37</f>
        <v/>
      </c>
      <c r="CP51" s="206">
        <f>CP34+CP37</f>
        <v/>
      </c>
      <c r="CQ51" s="206">
        <f>CQ34+CQ37</f>
        <v/>
      </c>
      <c r="CR51" s="206">
        <f>CR34+CR37</f>
        <v/>
      </c>
      <c r="CS51" s="206">
        <f>CS34+CS37</f>
        <v/>
      </c>
      <c r="CT51" s="206">
        <f>CT34+CT37</f>
        <v/>
      </c>
      <c r="CU51" s="206">
        <f>CU34+CU37</f>
        <v/>
      </c>
      <c r="CV51" s="206">
        <f>CV34+CV37</f>
        <v/>
      </c>
      <c r="CW51" s="206">
        <f>CW34+CW37</f>
        <v/>
      </c>
      <c r="CX51" s="206">
        <f>CX34+CX37</f>
        <v/>
      </c>
      <c r="CY51" s="206">
        <f>CY34+CY37</f>
        <v/>
      </c>
      <c r="CZ51" s="206">
        <f>CZ34+CZ37</f>
        <v/>
      </c>
      <c r="DA51" s="206">
        <f>DA34+DA37</f>
        <v/>
      </c>
      <c r="DB51" s="206">
        <f>DB34+DB37</f>
        <v/>
      </c>
      <c r="DC51" s="206">
        <f>DC34+DC37</f>
        <v/>
      </c>
      <c r="DD51" s="206">
        <f>DD34+DD37</f>
        <v/>
      </c>
      <c r="DE51" s="206">
        <f>DE34+DE37</f>
        <v/>
      </c>
      <c r="DF51" s="206">
        <f>DF34+DF37</f>
        <v/>
      </c>
      <c r="DG51" s="206">
        <f>DG34+DG37</f>
        <v/>
      </c>
      <c r="DH51" s="206">
        <f>DH34+DH37</f>
        <v/>
      </c>
      <c r="DI51" s="206">
        <f>DI34+DI37</f>
        <v/>
      </c>
      <c r="DJ51" s="206">
        <f>DJ34+DJ37</f>
        <v/>
      </c>
      <c r="DK51" s="206">
        <f>DK34+DK37</f>
        <v/>
      </c>
      <c r="DL51" s="206">
        <f>DL34+DL37</f>
        <v/>
      </c>
      <c r="DM51" s="206">
        <f>DM34+DM37</f>
        <v/>
      </c>
      <c r="DN51" s="206">
        <f>DN34+DN37</f>
        <v/>
      </c>
      <c r="DO51" s="206">
        <f>DO34+DO37</f>
        <v/>
      </c>
      <c r="DP51" s="206">
        <f>DP34+DP37</f>
        <v/>
      </c>
      <c r="DQ51" s="206">
        <f>DQ34+DQ37</f>
        <v/>
      </c>
      <c r="DR51" s="206">
        <f>DR34+DR37</f>
        <v/>
      </c>
      <c r="DS51" s="206">
        <f>DS34+DS37</f>
        <v/>
      </c>
      <c r="DT51" s="206">
        <f>DT34+DT37</f>
        <v/>
      </c>
    </row>
    <row r="52">
      <c r="B52" s="65" t="inlineStr">
        <is>
          <t>(-) Interest</t>
        </is>
      </c>
      <c r="C52" s="312" t="n"/>
      <c r="D52" s="31" t="n"/>
      <c r="E52" s="206">
        <f>-INDEX(Am_Sched_Mnthly,MATCH(E$8,Am_Sched_Mnthly_Mnths,0),4)*(E$8&lt;='Inputs &amp; Summary'!$D$102)</f>
        <v/>
      </c>
      <c r="F52" s="206">
        <f>-INDEX(Am_Sched_Mnthly,MATCH(F$8,Am_Sched_Mnthly_Mnths,0),4)*(F$8&lt;='Inputs &amp; Summary'!$D$102)</f>
        <v/>
      </c>
      <c r="G52" s="206">
        <f>-INDEX(Am_Sched_Mnthly,MATCH(G$8,Am_Sched_Mnthly_Mnths,0),4)*(G$8&lt;='Inputs &amp; Summary'!$D$102)</f>
        <v/>
      </c>
      <c r="H52" s="206">
        <f>-INDEX(Am_Sched_Mnthly,MATCH(H$8,Am_Sched_Mnthly_Mnths,0),4)*(H$8&lt;='Inputs &amp; Summary'!$D$102)</f>
        <v/>
      </c>
      <c r="I52" s="206">
        <f>-INDEX(Am_Sched_Mnthly,MATCH(I$8,Am_Sched_Mnthly_Mnths,0),4)*(I$8&lt;='Inputs &amp; Summary'!$D$102)</f>
        <v/>
      </c>
      <c r="J52" s="206">
        <f>-INDEX(Am_Sched_Mnthly,MATCH(J$8,Am_Sched_Mnthly_Mnths,0),4)*(J$8&lt;='Inputs &amp; Summary'!$D$102)</f>
        <v/>
      </c>
      <c r="K52" s="206">
        <f>-INDEX(Am_Sched_Mnthly,MATCH(K$8,Am_Sched_Mnthly_Mnths,0),4)*(K$8&lt;='Inputs &amp; Summary'!$D$102)</f>
        <v/>
      </c>
      <c r="L52" s="206">
        <f>-INDEX(Am_Sched_Mnthly,MATCH(L$8,Am_Sched_Mnthly_Mnths,0),4)*(L$8&lt;='Inputs &amp; Summary'!$D$102)</f>
        <v/>
      </c>
      <c r="M52" s="206">
        <f>-INDEX(Am_Sched_Mnthly,MATCH(M$8,Am_Sched_Mnthly_Mnths,0),4)*(M$8&lt;='Inputs &amp; Summary'!$D$102)</f>
        <v/>
      </c>
      <c r="N52" s="206">
        <f>-INDEX(Am_Sched_Mnthly,MATCH(N$8,Am_Sched_Mnthly_Mnths,0),4)*(N$8&lt;='Inputs &amp; Summary'!$D$102)</f>
        <v/>
      </c>
      <c r="O52" s="206">
        <f>-INDEX(Am_Sched_Mnthly,MATCH(O$8,Am_Sched_Mnthly_Mnths,0),4)*(O$8&lt;='Inputs &amp; Summary'!$D$102)</f>
        <v/>
      </c>
      <c r="P52" s="206">
        <f>-INDEX(Am_Sched_Mnthly,MATCH(P$8,Am_Sched_Mnthly_Mnths,0),4)*(P$8&lt;='Inputs &amp; Summary'!$D$102)</f>
        <v/>
      </c>
      <c r="Q52" s="206">
        <f>-INDEX(Am_Sched_Mnthly,MATCH(Q$8,Am_Sched_Mnthly_Mnths,0),4)*(Q$8&lt;='Inputs &amp; Summary'!$D$102)</f>
        <v/>
      </c>
      <c r="R52" s="206">
        <f>-INDEX(Am_Sched_Mnthly,MATCH(R$8,Am_Sched_Mnthly_Mnths,0),4)*(R$8&lt;='Inputs &amp; Summary'!$D$102)</f>
        <v/>
      </c>
      <c r="S52" s="206">
        <f>-INDEX(Am_Sched_Mnthly,MATCH(S$8,Am_Sched_Mnthly_Mnths,0),4)*(S$8&lt;='Inputs &amp; Summary'!$D$102)</f>
        <v/>
      </c>
      <c r="T52" s="206">
        <f>-INDEX(Am_Sched_Mnthly,MATCH(T$8,Am_Sched_Mnthly_Mnths,0),4)*(T$8&lt;='Inputs &amp; Summary'!$D$102)</f>
        <v/>
      </c>
      <c r="U52" s="206">
        <f>-INDEX(Am_Sched_Mnthly,MATCH(U$8,Am_Sched_Mnthly_Mnths,0),4)*(U$8&lt;='Inputs &amp; Summary'!$D$102)</f>
        <v/>
      </c>
      <c r="V52" s="206">
        <f>-INDEX(Am_Sched_Mnthly,MATCH(V$8,Am_Sched_Mnthly_Mnths,0),4)*(V$8&lt;='Inputs &amp; Summary'!$D$102)</f>
        <v/>
      </c>
      <c r="W52" s="206">
        <f>-INDEX(Am_Sched_Mnthly,MATCH(W$8,Am_Sched_Mnthly_Mnths,0),4)*(W$8&lt;='Inputs &amp; Summary'!$D$102)</f>
        <v/>
      </c>
      <c r="X52" s="206">
        <f>-INDEX(Am_Sched_Mnthly,MATCH(X$8,Am_Sched_Mnthly_Mnths,0),4)*(X$8&lt;='Inputs &amp; Summary'!$D$102)</f>
        <v/>
      </c>
      <c r="Y52" s="206">
        <f>-INDEX(Am_Sched_Mnthly,MATCH(Y$8,Am_Sched_Mnthly_Mnths,0),4)*(Y$8&lt;='Inputs &amp; Summary'!$D$102)</f>
        <v/>
      </c>
      <c r="Z52" s="206">
        <f>-INDEX(Am_Sched_Mnthly,MATCH(Z$8,Am_Sched_Mnthly_Mnths,0),4)*(Z$8&lt;='Inputs &amp; Summary'!$D$102)</f>
        <v/>
      </c>
      <c r="AA52" s="206">
        <f>-INDEX(Am_Sched_Mnthly,MATCH(AA$8,Am_Sched_Mnthly_Mnths,0),4)*(AA$8&lt;='Inputs &amp; Summary'!$D$102)</f>
        <v/>
      </c>
      <c r="AB52" s="206">
        <f>-INDEX(Am_Sched_Mnthly,MATCH(AB$8,Am_Sched_Mnthly_Mnths,0),4)*(AB$8&lt;='Inputs &amp; Summary'!$D$102)</f>
        <v/>
      </c>
      <c r="AC52" s="206">
        <f>-INDEX(Am_Sched_Mnthly,MATCH(AC$8,Am_Sched_Mnthly_Mnths,0),4)*(AC$8&lt;='Inputs &amp; Summary'!$D$102)</f>
        <v/>
      </c>
      <c r="AD52" s="206">
        <f>-INDEX(Am_Sched_Mnthly,MATCH(AD$8,Am_Sched_Mnthly_Mnths,0),4)*(AD$8&lt;='Inputs &amp; Summary'!$D$102)</f>
        <v/>
      </c>
      <c r="AE52" s="206">
        <f>-INDEX(Am_Sched_Mnthly,MATCH(AE$8,Am_Sched_Mnthly_Mnths,0),4)*(AE$8&lt;='Inputs &amp; Summary'!$D$102)</f>
        <v/>
      </c>
      <c r="AF52" s="206">
        <f>-INDEX(Am_Sched_Mnthly,MATCH(AF$8,Am_Sched_Mnthly_Mnths,0),4)*(AF$8&lt;='Inputs &amp; Summary'!$D$102)</f>
        <v/>
      </c>
      <c r="AG52" s="206">
        <f>-INDEX(Am_Sched_Mnthly,MATCH(AG$8,Am_Sched_Mnthly_Mnths,0),4)*(AG$8&lt;='Inputs &amp; Summary'!$D$102)</f>
        <v/>
      </c>
      <c r="AH52" s="206">
        <f>-INDEX(Am_Sched_Mnthly,MATCH(AH$8,Am_Sched_Mnthly_Mnths,0),4)*(AH$8&lt;='Inputs &amp; Summary'!$D$102)</f>
        <v/>
      </c>
      <c r="AI52" s="206">
        <f>-INDEX(Am_Sched_Mnthly,MATCH(AI$8,Am_Sched_Mnthly_Mnths,0),4)*(AI$8&lt;='Inputs &amp; Summary'!$D$102)</f>
        <v/>
      </c>
      <c r="AJ52" s="206">
        <f>-INDEX(Am_Sched_Mnthly,MATCH(AJ$8,Am_Sched_Mnthly_Mnths,0),4)*(AJ$8&lt;='Inputs &amp; Summary'!$D$102)</f>
        <v/>
      </c>
      <c r="AK52" s="206">
        <f>-INDEX(Am_Sched_Mnthly,MATCH(AK$8,Am_Sched_Mnthly_Mnths,0),4)*(AK$8&lt;='Inputs &amp; Summary'!$D$102)</f>
        <v/>
      </c>
      <c r="AL52" s="206">
        <f>-INDEX(Am_Sched_Mnthly,MATCH(AL$8,Am_Sched_Mnthly_Mnths,0),4)*(AL$8&lt;='Inputs &amp; Summary'!$D$102)</f>
        <v/>
      </c>
      <c r="AM52" s="206">
        <f>-INDEX(Am_Sched_Mnthly,MATCH(AM$8,Am_Sched_Mnthly_Mnths,0),4)*(AM$8&lt;='Inputs &amp; Summary'!$D$102)</f>
        <v/>
      </c>
      <c r="AN52" s="206">
        <f>-INDEX(Am_Sched_Mnthly,MATCH(AN$8,Am_Sched_Mnthly_Mnths,0),4)*(AN$8&lt;='Inputs &amp; Summary'!$D$102)</f>
        <v/>
      </c>
      <c r="AO52" s="206">
        <f>-INDEX(Am_Sched_Mnthly,MATCH(AO$8,Am_Sched_Mnthly_Mnths,0),4)*(AO$8&lt;='Inputs &amp; Summary'!$D$102)</f>
        <v/>
      </c>
      <c r="AP52" s="206">
        <f>-INDEX(Am_Sched_Mnthly,MATCH(AP$8,Am_Sched_Mnthly_Mnths,0),4)*(AP$8&lt;='Inputs &amp; Summary'!$D$102)</f>
        <v/>
      </c>
      <c r="AQ52" s="206">
        <f>-INDEX(Am_Sched_Mnthly,MATCH(AQ$8,Am_Sched_Mnthly_Mnths,0),4)*(AQ$8&lt;='Inputs &amp; Summary'!$D$102)</f>
        <v/>
      </c>
      <c r="AR52" s="206">
        <f>-INDEX(Am_Sched_Mnthly,MATCH(AR$8,Am_Sched_Mnthly_Mnths,0),4)*(AR$8&lt;='Inputs &amp; Summary'!$D$102)</f>
        <v/>
      </c>
      <c r="AS52" s="206">
        <f>-INDEX(Am_Sched_Mnthly,MATCH(AS$8,Am_Sched_Mnthly_Mnths,0),4)*(AS$8&lt;='Inputs &amp; Summary'!$D$102)</f>
        <v/>
      </c>
      <c r="AT52" s="206">
        <f>-INDEX(Am_Sched_Mnthly,MATCH(AT$8,Am_Sched_Mnthly_Mnths,0),4)*(AT$8&lt;='Inputs &amp; Summary'!$D$102)</f>
        <v/>
      </c>
      <c r="AU52" s="206">
        <f>-INDEX(Am_Sched_Mnthly,MATCH(AU$8,Am_Sched_Mnthly_Mnths,0),4)*(AU$8&lt;='Inputs &amp; Summary'!$D$102)</f>
        <v/>
      </c>
      <c r="AV52" s="206">
        <f>-INDEX(Am_Sched_Mnthly,MATCH(AV$8,Am_Sched_Mnthly_Mnths,0),4)*(AV$8&lt;='Inputs &amp; Summary'!$D$102)</f>
        <v/>
      </c>
      <c r="AW52" s="206">
        <f>-INDEX(Am_Sched_Mnthly,MATCH(AW$8,Am_Sched_Mnthly_Mnths,0),4)*(AW$8&lt;='Inputs &amp; Summary'!$D$102)</f>
        <v/>
      </c>
      <c r="AX52" s="206">
        <f>-INDEX(Am_Sched_Mnthly,MATCH(AX$8,Am_Sched_Mnthly_Mnths,0),4)*(AX$8&lt;='Inputs &amp; Summary'!$D$102)</f>
        <v/>
      </c>
      <c r="AY52" s="206">
        <f>-INDEX(Am_Sched_Mnthly,MATCH(AY$8,Am_Sched_Mnthly_Mnths,0),4)*(AY$8&lt;='Inputs &amp; Summary'!$D$102)</f>
        <v/>
      </c>
      <c r="AZ52" s="206">
        <f>-INDEX(Am_Sched_Mnthly,MATCH(AZ$8,Am_Sched_Mnthly_Mnths,0),4)*(AZ$8&lt;='Inputs &amp; Summary'!$D$102)</f>
        <v/>
      </c>
      <c r="BA52" s="206">
        <f>-INDEX(Am_Sched_Mnthly,MATCH(BA$8,Am_Sched_Mnthly_Mnths,0),4)*(BA$8&lt;='Inputs &amp; Summary'!$D$102)</f>
        <v/>
      </c>
      <c r="BB52" s="206">
        <f>-INDEX(Am_Sched_Mnthly,MATCH(BB$8,Am_Sched_Mnthly_Mnths,0),4)*(BB$8&lt;='Inputs &amp; Summary'!$D$102)</f>
        <v/>
      </c>
      <c r="BC52" s="206">
        <f>-INDEX(Am_Sched_Mnthly,MATCH(BC$8,Am_Sched_Mnthly_Mnths,0),4)*(BC$8&lt;='Inputs &amp; Summary'!$D$102)</f>
        <v/>
      </c>
      <c r="BD52" s="206">
        <f>-INDEX(Am_Sched_Mnthly,MATCH(BD$8,Am_Sched_Mnthly_Mnths,0),4)*(BD$8&lt;='Inputs &amp; Summary'!$D$102)</f>
        <v/>
      </c>
      <c r="BE52" s="206">
        <f>-INDEX(Am_Sched_Mnthly,MATCH(BE$8,Am_Sched_Mnthly_Mnths,0),4)*(BE$8&lt;='Inputs &amp; Summary'!$D$102)</f>
        <v/>
      </c>
      <c r="BF52" s="206">
        <f>-INDEX(Am_Sched_Mnthly,MATCH(BF$8,Am_Sched_Mnthly_Mnths,0),4)*(BF$8&lt;='Inputs &amp; Summary'!$D$102)</f>
        <v/>
      </c>
      <c r="BG52" s="206">
        <f>-INDEX(Am_Sched_Mnthly,MATCH(BG$8,Am_Sched_Mnthly_Mnths,0),4)*(BG$8&lt;='Inputs &amp; Summary'!$D$102)</f>
        <v/>
      </c>
      <c r="BH52" s="206">
        <f>-INDEX(Am_Sched_Mnthly,MATCH(BH$8,Am_Sched_Mnthly_Mnths,0),4)*(BH$8&lt;='Inputs &amp; Summary'!$D$102)</f>
        <v/>
      </c>
      <c r="BI52" s="206">
        <f>-INDEX(Am_Sched_Mnthly,MATCH(BI$8,Am_Sched_Mnthly_Mnths,0),4)*(BI$8&lt;='Inputs &amp; Summary'!$D$102)</f>
        <v/>
      </c>
      <c r="BJ52" s="206">
        <f>-INDEX(Am_Sched_Mnthly,MATCH(BJ$8,Am_Sched_Mnthly_Mnths,0),4)*(BJ$8&lt;='Inputs &amp; Summary'!$D$102)</f>
        <v/>
      </c>
      <c r="BK52" s="206">
        <f>-INDEX(Am_Sched_Mnthly,MATCH(BK$8,Am_Sched_Mnthly_Mnths,0),4)*(BK$8&lt;='Inputs &amp; Summary'!$D$102)</f>
        <v/>
      </c>
      <c r="BL52" s="206">
        <f>-INDEX(Am_Sched_Mnthly,MATCH(BL$8,Am_Sched_Mnthly_Mnths,0),4)*(BL$8&lt;='Inputs &amp; Summary'!$D$102)</f>
        <v/>
      </c>
      <c r="BM52" s="206">
        <f>-INDEX(Am_Sched_Mnthly,MATCH(BM$8,Am_Sched_Mnthly_Mnths,0),4)*(BM$8&lt;='Inputs &amp; Summary'!$D$102)</f>
        <v/>
      </c>
      <c r="BN52" s="206">
        <f>-INDEX(Am_Sched_Mnthly,MATCH(BN$8,Am_Sched_Mnthly_Mnths,0),4)*(BN$8&lt;='Inputs &amp; Summary'!$D$102)</f>
        <v/>
      </c>
      <c r="BO52" s="206">
        <f>-INDEX(Am_Sched_Mnthly,MATCH(BO$8,Am_Sched_Mnthly_Mnths,0),4)*(BO$8&lt;='Inputs &amp; Summary'!$D$102)</f>
        <v/>
      </c>
      <c r="BP52" s="206">
        <f>-INDEX(Am_Sched_Mnthly,MATCH(BP$8,Am_Sched_Mnthly_Mnths,0),4)*(BP$8&lt;='Inputs &amp; Summary'!$D$102)</f>
        <v/>
      </c>
      <c r="BQ52" s="206">
        <f>-INDEX(Am_Sched_Mnthly,MATCH(BQ$8,Am_Sched_Mnthly_Mnths,0),4)*(BQ$8&lt;='Inputs &amp; Summary'!$D$102)</f>
        <v/>
      </c>
      <c r="BR52" s="206">
        <f>-INDEX(Am_Sched_Mnthly,MATCH(BR$8,Am_Sched_Mnthly_Mnths,0),4)*(BR$8&lt;='Inputs &amp; Summary'!$D$102)</f>
        <v/>
      </c>
      <c r="BS52" s="206">
        <f>-INDEX(Am_Sched_Mnthly,MATCH(BS$8,Am_Sched_Mnthly_Mnths,0),4)*(BS$8&lt;='Inputs &amp; Summary'!$D$102)</f>
        <v/>
      </c>
      <c r="BT52" s="206">
        <f>-INDEX(Am_Sched_Mnthly,MATCH(BT$8,Am_Sched_Mnthly_Mnths,0),4)*(BT$8&lt;='Inputs &amp; Summary'!$D$102)</f>
        <v/>
      </c>
      <c r="BU52" s="206">
        <f>-INDEX(Am_Sched_Mnthly,MATCH(BU$8,Am_Sched_Mnthly_Mnths,0),4)*(BU$8&lt;='Inputs &amp; Summary'!$D$102)</f>
        <v/>
      </c>
      <c r="BV52" s="206">
        <f>-INDEX(Am_Sched_Mnthly,MATCH(BV$8,Am_Sched_Mnthly_Mnths,0),4)*(BV$8&lt;='Inputs &amp; Summary'!$D$102)</f>
        <v/>
      </c>
      <c r="BW52" s="206">
        <f>-INDEX(Am_Sched_Mnthly,MATCH(BW$8,Am_Sched_Mnthly_Mnths,0),4)*(BW$8&lt;='Inputs &amp; Summary'!$D$102)</f>
        <v/>
      </c>
      <c r="BX52" s="206">
        <f>-INDEX(Am_Sched_Mnthly,MATCH(BX$8,Am_Sched_Mnthly_Mnths,0),4)*(BX$8&lt;='Inputs &amp; Summary'!$D$102)</f>
        <v/>
      </c>
      <c r="BY52" s="206">
        <f>-INDEX(Am_Sched_Mnthly,MATCH(BY$8,Am_Sched_Mnthly_Mnths,0),4)*(BY$8&lt;='Inputs &amp; Summary'!$D$102)</f>
        <v/>
      </c>
      <c r="BZ52" s="206">
        <f>-INDEX(Am_Sched_Mnthly,MATCH(BZ$8,Am_Sched_Mnthly_Mnths,0),4)*(BZ$8&lt;='Inputs &amp; Summary'!$D$102)</f>
        <v/>
      </c>
      <c r="CA52" s="206">
        <f>-INDEX(Am_Sched_Mnthly,MATCH(CA$8,Am_Sched_Mnthly_Mnths,0),4)*(CA$8&lt;='Inputs &amp; Summary'!$D$102)</f>
        <v/>
      </c>
      <c r="CB52" s="206">
        <f>-INDEX(Am_Sched_Mnthly,MATCH(CB$8,Am_Sched_Mnthly_Mnths,0),4)*(CB$8&lt;='Inputs &amp; Summary'!$D$102)</f>
        <v/>
      </c>
      <c r="CC52" s="206">
        <f>-INDEX(Am_Sched_Mnthly,MATCH(CC$8,Am_Sched_Mnthly_Mnths,0),4)*(CC$8&lt;='Inputs &amp; Summary'!$D$102)</f>
        <v/>
      </c>
      <c r="CD52" s="206">
        <f>-INDEX(Am_Sched_Mnthly,MATCH(CD$8,Am_Sched_Mnthly_Mnths,0),4)*(CD$8&lt;='Inputs &amp; Summary'!$D$102)</f>
        <v/>
      </c>
      <c r="CE52" s="206">
        <f>-INDEX(Am_Sched_Mnthly,MATCH(CE$8,Am_Sched_Mnthly_Mnths,0),4)*(CE$8&lt;='Inputs &amp; Summary'!$D$102)</f>
        <v/>
      </c>
      <c r="CF52" s="206">
        <f>-INDEX(Am_Sched_Mnthly,MATCH(CF$8,Am_Sched_Mnthly_Mnths,0),4)*(CF$8&lt;='Inputs &amp; Summary'!$D$102)</f>
        <v/>
      </c>
      <c r="CG52" s="206">
        <f>-INDEX(Am_Sched_Mnthly,MATCH(CG$8,Am_Sched_Mnthly_Mnths,0),4)*(CG$8&lt;='Inputs &amp; Summary'!$D$102)</f>
        <v/>
      </c>
      <c r="CH52" s="206">
        <f>-INDEX(Am_Sched_Mnthly,MATCH(CH$8,Am_Sched_Mnthly_Mnths,0),4)*(CH$8&lt;='Inputs &amp; Summary'!$D$102)</f>
        <v/>
      </c>
      <c r="CI52" s="206">
        <f>-INDEX(Am_Sched_Mnthly,MATCH(CI$8,Am_Sched_Mnthly_Mnths,0),4)*(CI$8&lt;='Inputs &amp; Summary'!$D$102)</f>
        <v/>
      </c>
      <c r="CJ52" s="206">
        <f>-INDEX(Am_Sched_Mnthly,MATCH(CJ$8,Am_Sched_Mnthly_Mnths,0),4)*(CJ$8&lt;='Inputs &amp; Summary'!$D$102)</f>
        <v/>
      </c>
      <c r="CK52" s="206">
        <f>-INDEX(Am_Sched_Mnthly,MATCH(CK$8,Am_Sched_Mnthly_Mnths,0),4)*(CK$8&lt;='Inputs &amp; Summary'!$D$102)</f>
        <v/>
      </c>
      <c r="CL52" s="206">
        <f>-INDEX(Am_Sched_Mnthly,MATCH(CL$8,Am_Sched_Mnthly_Mnths,0),4)*(CL$8&lt;='Inputs &amp; Summary'!$D$102)</f>
        <v/>
      </c>
      <c r="CM52" s="206">
        <f>-INDEX(Am_Sched_Mnthly,MATCH(CM$8,Am_Sched_Mnthly_Mnths,0),4)*(CM$8&lt;='Inputs &amp; Summary'!$D$102)</f>
        <v/>
      </c>
      <c r="CN52" s="206">
        <f>-INDEX(Am_Sched_Mnthly,MATCH(CN$8,Am_Sched_Mnthly_Mnths,0),4)*(CN$8&lt;='Inputs &amp; Summary'!$D$102)</f>
        <v/>
      </c>
      <c r="CO52" s="206">
        <f>-INDEX(Am_Sched_Mnthly,MATCH(CO$8,Am_Sched_Mnthly_Mnths,0),4)*(CO$8&lt;='Inputs &amp; Summary'!$D$102)</f>
        <v/>
      </c>
      <c r="CP52" s="206">
        <f>-INDEX(Am_Sched_Mnthly,MATCH(CP$8,Am_Sched_Mnthly_Mnths,0),4)*(CP$8&lt;='Inputs &amp; Summary'!$D$102)</f>
        <v/>
      </c>
      <c r="CQ52" s="206">
        <f>-INDEX(Am_Sched_Mnthly,MATCH(CQ$8,Am_Sched_Mnthly_Mnths,0),4)*(CQ$8&lt;='Inputs &amp; Summary'!$D$102)</f>
        <v/>
      </c>
      <c r="CR52" s="206">
        <f>-INDEX(Am_Sched_Mnthly,MATCH(CR$8,Am_Sched_Mnthly_Mnths,0),4)*(CR$8&lt;='Inputs &amp; Summary'!$D$102)</f>
        <v/>
      </c>
      <c r="CS52" s="206">
        <f>-INDEX(Am_Sched_Mnthly,MATCH(CS$8,Am_Sched_Mnthly_Mnths,0),4)*(CS$8&lt;='Inputs &amp; Summary'!$D$102)</f>
        <v/>
      </c>
      <c r="CT52" s="206">
        <f>-INDEX(Am_Sched_Mnthly,MATCH(CT$8,Am_Sched_Mnthly_Mnths,0),4)*(CT$8&lt;='Inputs &amp; Summary'!$D$102)</f>
        <v/>
      </c>
      <c r="CU52" s="206">
        <f>-INDEX(Am_Sched_Mnthly,MATCH(CU$8,Am_Sched_Mnthly_Mnths,0),4)*(CU$8&lt;='Inputs &amp; Summary'!$D$102)</f>
        <v/>
      </c>
      <c r="CV52" s="206">
        <f>-INDEX(Am_Sched_Mnthly,MATCH(CV$8,Am_Sched_Mnthly_Mnths,0),4)*(CV$8&lt;='Inputs &amp; Summary'!$D$102)</f>
        <v/>
      </c>
      <c r="CW52" s="206">
        <f>-INDEX(Am_Sched_Mnthly,MATCH(CW$8,Am_Sched_Mnthly_Mnths,0),4)*(CW$8&lt;='Inputs &amp; Summary'!$D$102)</f>
        <v/>
      </c>
      <c r="CX52" s="206">
        <f>-INDEX(Am_Sched_Mnthly,MATCH(CX$8,Am_Sched_Mnthly_Mnths,0),4)*(CX$8&lt;='Inputs &amp; Summary'!$D$102)</f>
        <v/>
      </c>
      <c r="CY52" s="206">
        <f>-INDEX(Am_Sched_Mnthly,MATCH(CY$8,Am_Sched_Mnthly_Mnths,0),4)*(CY$8&lt;='Inputs &amp; Summary'!$D$102)</f>
        <v/>
      </c>
      <c r="CZ52" s="206">
        <f>-INDEX(Am_Sched_Mnthly,MATCH(CZ$8,Am_Sched_Mnthly_Mnths,0),4)*(CZ$8&lt;='Inputs &amp; Summary'!$D$102)</f>
        <v/>
      </c>
      <c r="DA52" s="206">
        <f>-INDEX(Am_Sched_Mnthly,MATCH(DA$8,Am_Sched_Mnthly_Mnths,0),4)*(DA$8&lt;='Inputs &amp; Summary'!$D$102)</f>
        <v/>
      </c>
      <c r="DB52" s="206">
        <f>-INDEX(Am_Sched_Mnthly,MATCH(DB$8,Am_Sched_Mnthly_Mnths,0),4)*(DB$8&lt;='Inputs &amp; Summary'!$D$102)</f>
        <v/>
      </c>
      <c r="DC52" s="206">
        <f>-INDEX(Am_Sched_Mnthly,MATCH(DC$8,Am_Sched_Mnthly_Mnths,0),4)*(DC$8&lt;='Inputs &amp; Summary'!$D$102)</f>
        <v/>
      </c>
      <c r="DD52" s="206">
        <f>-INDEX(Am_Sched_Mnthly,MATCH(DD$8,Am_Sched_Mnthly_Mnths,0),4)*(DD$8&lt;='Inputs &amp; Summary'!$D$102)</f>
        <v/>
      </c>
      <c r="DE52" s="206">
        <f>-INDEX(Am_Sched_Mnthly,MATCH(DE$8,Am_Sched_Mnthly_Mnths,0),4)*(DE$8&lt;='Inputs &amp; Summary'!$D$102)</f>
        <v/>
      </c>
      <c r="DF52" s="206">
        <f>-INDEX(Am_Sched_Mnthly,MATCH(DF$8,Am_Sched_Mnthly_Mnths,0),4)*(DF$8&lt;='Inputs &amp; Summary'!$D$102)</f>
        <v/>
      </c>
      <c r="DG52" s="206">
        <f>-INDEX(Am_Sched_Mnthly,MATCH(DG$8,Am_Sched_Mnthly_Mnths,0),4)*(DG$8&lt;='Inputs &amp; Summary'!$D$102)</f>
        <v/>
      </c>
      <c r="DH52" s="206">
        <f>-INDEX(Am_Sched_Mnthly,MATCH(DH$8,Am_Sched_Mnthly_Mnths,0),4)*(DH$8&lt;='Inputs &amp; Summary'!$D$102)</f>
        <v/>
      </c>
      <c r="DI52" s="206">
        <f>-INDEX(Am_Sched_Mnthly,MATCH(DI$8,Am_Sched_Mnthly_Mnths,0),4)*(DI$8&lt;='Inputs &amp; Summary'!$D$102)</f>
        <v/>
      </c>
      <c r="DJ52" s="206">
        <f>-INDEX(Am_Sched_Mnthly,MATCH(DJ$8,Am_Sched_Mnthly_Mnths,0),4)*(DJ$8&lt;='Inputs &amp; Summary'!$D$102)</f>
        <v/>
      </c>
      <c r="DK52" s="206">
        <f>-INDEX(Am_Sched_Mnthly,MATCH(DK$8,Am_Sched_Mnthly_Mnths,0),4)*(DK$8&lt;='Inputs &amp; Summary'!$D$102)</f>
        <v/>
      </c>
      <c r="DL52" s="206">
        <f>-INDEX(Am_Sched_Mnthly,MATCH(DL$8,Am_Sched_Mnthly_Mnths,0),4)*(DL$8&lt;='Inputs &amp; Summary'!$D$102)</f>
        <v/>
      </c>
      <c r="DM52" s="206">
        <f>-INDEX(Am_Sched_Mnthly,MATCH(DM$8,Am_Sched_Mnthly_Mnths,0),4)*(DM$8&lt;='Inputs &amp; Summary'!$D$102)</f>
        <v/>
      </c>
      <c r="DN52" s="206">
        <f>-INDEX(Am_Sched_Mnthly,MATCH(DN$8,Am_Sched_Mnthly_Mnths,0),4)*(DN$8&lt;='Inputs &amp; Summary'!$D$102)</f>
        <v/>
      </c>
      <c r="DO52" s="206">
        <f>-INDEX(Am_Sched_Mnthly,MATCH(DO$8,Am_Sched_Mnthly_Mnths,0),4)*(DO$8&lt;='Inputs &amp; Summary'!$D$102)</f>
        <v/>
      </c>
      <c r="DP52" s="206">
        <f>-INDEX(Am_Sched_Mnthly,MATCH(DP$8,Am_Sched_Mnthly_Mnths,0),4)*(DP$8&lt;='Inputs &amp; Summary'!$D$102)</f>
        <v/>
      </c>
      <c r="DQ52" s="206">
        <f>-INDEX(Am_Sched_Mnthly,MATCH(DQ$8,Am_Sched_Mnthly_Mnths,0),4)*(DQ$8&lt;='Inputs &amp; Summary'!$D$102)</f>
        <v/>
      </c>
      <c r="DR52" s="206">
        <f>-INDEX(Am_Sched_Mnthly,MATCH(DR$8,Am_Sched_Mnthly_Mnths,0),4)*(DR$8&lt;='Inputs &amp; Summary'!$D$102)</f>
        <v/>
      </c>
      <c r="DS52" s="206">
        <f>-INDEX(Am_Sched_Mnthly,MATCH(DS$8,Am_Sched_Mnthly_Mnths,0),4)*(DS$8&lt;='Inputs &amp; Summary'!$D$102)</f>
        <v/>
      </c>
      <c r="DT52" s="206">
        <f>-INDEX(Am_Sched_Mnthly,MATCH(DT$8,Am_Sched_Mnthly_Mnths,0),4)*(DT$8&lt;='Inputs &amp; Summary'!$D$102)</f>
        <v/>
      </c>
    </row>
    <row r="53">
      <c r="B53" s="67" t="inlineStr">
        <is>
          <t>(-) Principal</t>
        </is>
      </c>
      <c r="C53" s="314" t="n"/>
      <c r="D53" s="32" t="n"/>
      <c r="E53" s="298">
        <f>-INDEX(Am_Sched_Mnthly,MATCH(E$8,Am_Sched_Mnthly_Mnths,0),3)*(E$8&lt;='Inputs &amp; Summary'!$D$102)</f>
        <v/>
      </c>
      <c r="F53" s="298">
        <f>-INDEX(Am_Sched_Mnthly,MATCH(F$8,Am_Sched_Mnthly_Mnths,0),3)*(F$8&lt;='Inputs &amp; Summary'!$D$102)</f>
        <v/>
      </c>
      <c r="G53" s="298">
        <f>-INDEX(Am_Sched_Mnthly,MATCH(G$8,Am_Sched_Mnthly_Mnths,0),3)*(G$8&lt;='Inputs &amp; Summary'!$D$102)</f>
        <v/>
      </c>
      <c r="H53" s="298">
        <f>-INDEX(Am_Sched_Mnthly,MATCH(H$8,Am_Sched_Mnthly_Mnths,0),3)*(H$8&lt;='Inputs &amp; Summary'!$D$102)</f>
        <v/>
      </c>
      <c r="I53" s="298">
        <f>-INDEX(Am_Sched_Mnthly,MATCH(I$8,Am_Sched_Mnthly_Mnths,0),3)*(I$8&lt;='Inputs &amp; Summary'!$D$102)</f>
        <v/>
      </c>
      <c r="J53" s="298">
        <f>-INDEX(Am_Sched_Mnthly,MATCH(J$8,Am_Sched_Mnthly_Mnths,0),3)*(J$8&lt;='Inputs &amp; Summary'!$D$102)</f>
        <v/>
      </c>
      <c r="K53" s="298">
        <f>-INDEX(Am_Sched_Mnthly,MATCH(K$8,Am_Sched_Mnthly_Mnths,0),3)*(K$8&lt;='Inputs &amp; Summary'!$D$102)</f>
        <v/>
      </c>
      <c r="L53" s="298">
        <f>-INDEX(Am_Sched_Mnthly,MATCH(L$8,Am_Sched_Mnthly_Mnths,0),3)*(L$8&lt;='Inputs &amp; Summary'!$D$102)</f>
        <v/>
      </c>
      <c r="M53" s="298">
        <f>-INDEX(Am_Sched_Mnthly,MATCH(M$8,Am_Sched_Mnthly_Mnths,0),3)*(M$8&lt;='Inputs &amp; Summary'!$D$102)</f>
        <v/>
      </c>
      <c r="N53" s="298">
        <f>-INDEX(Am_Sched_Mnthly,MATCH(N$8,Am_Sched_Mnthly_Mnths,0),3)*(N$8&lt;='Inputs &amp; Summary'!$D$102)</f>
        <v/>
      </c>
      <c r="O53" s="298">
        <f>-INDEX(Am_Sched_Mnthly,MATCH(O$8,Am_Sched_Mnthly_Mnths,0),3)*(O$8&lt;='Inputs &amp; Summary'!$D$102)</f>
        <v/>
      </c>
      <c r="P53" s="298">
        <f>-INDEX(Am_Sched_Mnthly,MATCH(P$8,Am_Sched_Mnthly_Mnths,0),3)*(P$8&lt;='Inputs &amp; Summary'!$D$102)</f>
        <v/>
      </c>
      <c r="Q53" s="298">
        <f>-INDEX(Am_Sched_Mnthly,MATCH(Q$8,Am_Sched_Mnthly_Mnths,0),3)*(Q$8&lt;='Inputs &amp; Summary'!$D$102)</f>
        <v/>
      </c>
      <c r="R53" s="298">
        <f>-INDEX(Am_Sched_Mnthly,MATCH(R$8,Am_Sched_Mnthly_Mnths,0),3)*(R$8&lt;='Inputs &amp; Summary'!$D$102)</f>
        <v/>
      </c>
      <c r="S53" s="298">
        <f>-INDEX(Am_Sched_Mnthly,MATCH(S$8,Am_Sched_Mnthly_Mnths,0),3)*(S$8&lt;='Inputs &amp; Summary'!$D$102)</f>
        <v/>
      </c>
      <c r="T53" s="298">
        <f>-INDEX(Am_Sched_Mnthly,MATCH(T$8,Am_Sched_Mnthly_Mnths,0),3)*(T$8&lt;='Inputs &amp; Summary'!$D$102)</f>
        <v/>
      </c>
      <c r="U53" s="298">
        <f>-INDEX(Am_Sched_Mnthly,MATCH(U$8,Am_Sched_Mnthly_Mnths,0),3)*(U$8&lt;='Inputs &amp; Summary'!$D$102)</f>
        <v/>
      </c>
      <c r="V53" s="298">
        <f>-INDEX(Am_Sched_Mnthly,MATCH(V$8,Am_Sched_Mnthly_Mnths,0),3)*(V$8&lt;='Inputs &amp; Summary'!$D$102)</f>
        <v/>
      </c>
      <c r="W53" s="298">
        <f>-INDEX(Am_Sched_Mnthly,MATCH(W$8,Am_Sched_Mnthly_Mnths,0),3)*(W$8&lt;='Inputs &amp; Summary'!$D$102)</f>
        <v/>
      </c>
      <c r="X53" s="298">
        <f>-INDEX(Am_Sched_Mnthly,MATCH(X$8,Am_Sched_Mnthly_Mnths,0),3)*(X$8&lt;='Inputs &amp; Summary'!$D$102)</f>
        <v/>
      </c>
      <c r="Y53" s="298">
        <f>-INDEX(Am_Sched_Mnthly,MATCH(Y$8,Am_Sched_Mnthly_Mnths,0),3)*(Y$8&lt;='Inputs &amp; Summary'!$D$102)</f>
        <v/>
      </c>
      <c r="Z53" s="298">
        <f>-INDEX(Am_Sched_Mnthly,MATCH(Z$8,Am_Sched_Mnthly_Mnths,0),3)*(Z$8&lt;='Inputs &amp; Summary'!$D$102)</f>
        <v/>
      </c>
      <c r="AA53" s="298">
        <f>-INDEX(Am_Sched_Mnthly,MATCH(AA$8,Am_Sched_Mnthly_Mnths,0),3)*(AA$8&lt;='Inputs &amp; Summary'!$D$102)</f>
        <v/>
      </c>
      <c r="AB53" s="298">
        <f>-INDEX(Am_Sched_Mnthly,MATCH(AB$8,Am_Sched_Mnthly_Mnths,0),3)*(AB$8&lt;='Inputs &amp; Summary'!$D$102)</f>
        <v/>
      </c>
      <c r="AC53" s="298">
        <f>-INDEX(Am_Sched_Mnthly,MATCH(AC$8,Am_Sched_Mnthly_Mnths,0),3)*(AC$8&lt;='Inputs &amp; Summary'!$D$102)</f>
        <v/>
      </c>
      <c r="AD53" s="298">
        <f>-INDEX(Am_Sched_Mnthly,MATCH(AD$8,Am_Sched_Mnthly_Mnths,0),3)*(AD$8&lt;='Inputs &amp; Summary'!$D$102)</f>
        <v/>
      </c>
      <c r="AE53" s="298">
        <f>-INDEX(Am_Sched_Mnthly,MATCH(AE$8,Am_Sched_Mnthly_Mnths,0),3)*(AE$8&lt;='Inputs &amp; Summary'!$D$102)</f>
        <v/>
      </c>
      <c r="AF53" s="298">
        <f>-INDEX(Am_Sched_Mnthly,MATCH(AF$8,Am_Sched_Mnthly_Mnths,0),3)*(AF$8&lt;='Inputs &amp; Summary'!$D$102)</f>
        <v/>
      </c>
      <c r="AG53" s="298">
        <f>-INDEX(Am_Sched_Mnthly,MATCH(AG$8,Am_Sched_Mnthly_Mnths,0),3)*(AG$8&lt;='Inputs &amp; Summary'!$D$102)</f>
        <v/>
      </c>
      <c r="AH53" s="298">
        <f>-INDEX(Am_Sched_Mnthly,MATCH(AH$8,Am_Sched_Mnthly_Mnths,0),3)*(AH$8&lt;='Inputs &amp; Summary'!$D$102)</f>
        <v/>
      </c>
      <c r="AI53" s="298">
        <f>-INDEX(Am_Sched_Mnthly,MATCH(AI$8,Am_Sched_Mnthly_Mnths,0),3)*(AI$8&lt;='Inputs &amp; Summary'!$D$102)</f>
        <v/>
      </c>
      <c r="AJ53" s="298">
        <f>-INDEX(Am_Sched_Mnthly,MATCH(AJ$8,Am_Sched_Mnthly_Mnths,0),3)*(AJ$8&lt;='Inputs &amp; Summary'!$D$102)</f>
        <v/>
      </c>
      <c r="AK53" s="298">
        <f>-INDEX(Am_Sched_Mnthly,MATCH(AK$8,Am_Sched_Mnthly_Mnths,0),3)*(AK$8&lt;='Inputs &amp; Summary'!$D$102)</f>
        <v/>
      </c>
      <c r="AL53" s="298">
        <f>-INDEX(Am_Sched_Mnthly,MATCH(AL$8,Am_Sched_Mnthly_Mnths,0),3)*(AL$8&lt;='Inputs &amp; Summary'!$D$102)</f>
        <v/>
      </c>
      <c r="AM53" s="298">
        <f>-INDEX(Am_Sched_Mnthly,MATCH(AM$8,Am_Sched_Mnthly_Mnths,0),3)*(AM$8&lt;='Inputs &amp; Summary'!$D$102)</f>
        <v/>
      </c>
      <c r="AN53" s="298">
        <f>-INDEX(Am_Sched_Mnthly,MATCH(AN$8,Am_Sched_Mnthly_Mnths,0),3)*(AN$8&lt;='Inputs &amp; Summary'!$D$102)</f>
        <v/>
      </c>
      <c r="AO53" s="298">
        <f>-INDEX(Am_Sched_Mnthly,MATCH(AO$8,Am_Sched_Mnthly_Mnths,0),3)*(AO$8&lt;='Inputs &amp; Summary'!$D$102)</f>
        <v/>
      </c>
      <c r="AP53" s="298">
        <f>-INDEX(Am_Sched_Mnthly,MATCH(AP$8,Am_Sched_Mnthly_Mnths,0),3)*(AP$8&lt;='Inputs &amp; Summary'!$D$102)</f>
        <v/>
      </c>
      <c r="AQ53" s="298">
        <f>-INDEX(Am_Sched_Mnthly,MATCH(AQ$8,Am_Sched_Mnthly_Mnths,0),3)*(AQ$8&lt;='Inputs &amp; Summary'!$D$102)</f>
        <v/>
      </c>
      <c r="AR53" s="298">
        <f>-INDEX(Am_Sched_Mnthly,MATCH(AR$8,Am_Sched_Mnthly_Mnths,0),3)*(AR$8&lt;='Inputs &amp; Summary'!$D$102)</f>
        <v/>
      </c>
      <c r="AS53" s="298">
        <f>-INDEX(Am_Sched_Mnthly,MATCH(AS$8,Am_Sched_Mnthly_Mnths,0),3)*(AS$8&lt;='Inputs &amp; Summary'!$D$102)</f>
        <v/>
      </c>
      <c r="AT53" s="298">
        <f>-INDEX(Am_Sched_Mnthly,MATCH(AT$8,Am_Sched_Mnthly_Mnths,0),3)*(AT$8&lt;='Inputs &amp; Summary'!$D$102)</f>
        <v/>
      </c>
      <c r="AU53" s="298">
        <f>-INDEX(Am_Sched_Mnthly,MATCH(AU$8,Am_Sched_Mnthly_Mnths,0),3)*(AU$8&lt;='Inputs &amp; Summary'!$D$102)</f>
        <v/>
      </c>
      <c r="AV53" s="298">
        <f>-INDEX(Am_Sched_Mnthly,MATCH(AV$8,Am_Sched_Mnthly_Mnths,0),3)*(AV$8&lt;='Inputs &amp; Summary'!$D$102)</f>
        <v/>
      </c>
      <c r="AW53" s="298">
        <f>-INDEX(Am_Sched_Mnthly,MATCH(AW$8,Am_Sched_Mnthly_Mnths,0),3)*(AW$8&lt;='Inputs &amp; Summary'!$D$102)</f>
        <v/>
      </c>
      <c r="AX53" s="298">
        <f>-INDEX(Am_Sched_Mnthly,MATCH(AX$8,Am_Sched_Mnthly_Mnths,0),3)*(AX$8&lt;='Inputs &amp; Summary'!$D$102)</f>
        <v/>
      </c>
      <c r="AY53" s="298">
        <f>-INDEX(Am_Sched_Mnthly,MATCH(AY$8,Am_Sched_Mnthly_Mnths,0),3)*(AY$8&lt;='Inputs &amp; Summary'!$D$102)</f>
        <v/>
      </c>
      <c r="AZ53" s="298">
        <f>-INDEX(Am_Sched_Mnthly,MATCH(AZ$8,Am_Sched_Mnthly_Mnths,0),3)*(AZ$8&lt;='Inputs &amp; Summary'!$D$102)</f>
        <v/>
      </c>
      <c r="BA53" s="298">
        <f>-INDEX(Am_Sched_Mnthly,MATCH(BA$8,Am_Sched_Mnthly_Mnths,0),3)*(BA$8&lt;='Inputs &amp; Summary'!$D$102)</f>
        <v/>
      </c>
      <c r="BB53" s="298">
        <f>-INDEX(Am_Sched_Mnthly,MATCH(BB$8,Am_Sched_Mnthly_Mnths,0),3)*(BB$8&lt;='Inputs &amp; Summary'!$D$102)</f>
        <v/>
      </c>
      <c r="BC53" s="298">
        <f>-INDEX(Am_Sched_Mnthly,MATCH(BC$8,Am_Sched_Mnthly_Mnths,0),3)*(BC$8&lt;='Inputs &amp; Summary'!$D$102)</f>
        <v/>
      </c>
      <c r="BD53" s="298">
        <f>-INDEX(Am_Sched_Mnthly,MATCH(BD$8,Am_Sched_Mnthly_Mnths,0),3)*(BD$8&lt;='Inputs &amp; Summary'!$D$102)</f>
        <v/>
      </c>
      <c r="BE53" s="298">
        <f>-INDEX(Am_Sched_Mnthly,MATCH(BE$8,Am_Sched_Mnthly_Mnths,0),3)*(BE$8&lt;='Inputs &amp; Summary'!$D$102)</f>
        <v/>
      </c>
      <c r="BF53" s="298">
        <f>-INDEX(Am_Sched_Mnthly,MATCH(BF$8,Am_Sched_Mnthly_Mnths,0),3)*(BF$8&lt;='Inputs &amp; Summary'!$D$102)</f>
        <v/>
      </c>
      <c r="BG53" s="298">
        <f>-INDEX(Am_Sched_Mnthly,MATCH(BG$8,Am_Sched_Mnthly_Mnths,0),3)*(BG$8&lt;='Inputs &amp; Summary'!$D$102)</f>
        <v/>
      </c>
      <c r="BH53" s="298">
        <f>-INDEX(Am_Sched_Mnthly,MATCH(BH$8,Am_Sched_Mnthly_Mnths,0),3)*(BH$8&lt;='Inputs &amp; Summary'!$D$102)</f>
        <v/>
      </c>
      <c r="BI53" s="298">
        <f>-INDEX(Am_Sched_Mnthly,MATCH(BI$8,Am_Sched_Mnthly_Mnths,0),3)*(BI$8&lt;='Inputs &amp; Summary'!$D$102)</f>
        <v/>
      </c>
      <c r="BJ53" s="298">
        <f>-INDEX(Am_Sched_Mnthly,MATCH(BJ$8,Am_Sched_Mnthly_Mnths,0),3)*(BJ$8&lt;='Inputs &amp; Summary'!$D$102)</f>
        <v/>
      </c>
      <c r="BK53" s="298">
        <f>-INDEX(Am_Sched_Mnthly,MATCH(BK$8,Am_Sched_Mnthly_Mnths,0),3)*(BK$8&lt;='Inputs &amp; Summary'!$D$102)</f>
        <v/>
      </c>
      <c r="BL53" s="298">
        <f>-INDEX(Am_Sched_Mnthly,MATCH(BL$8,Am_Sched_Mnthly_Mnths,0),3)*(BL$8&lt;='Inputs &amp; Summary'!$D$102)</f>
        <v/>
      </c>
      <c r="BM53" s="298">
        <f>-INDEX(Am_Sched_Mnthly,MATCH(BM$8,Am_Sched_Mnthly_Mnths,0),3)*(BM$8&lt;='Inputs &amp; Summary'!$D$102)</f>
        <v/>
      </c>
      <c r="BN53" s="298">
        <f>-INDEX(Am_Sched_Mnthly,MATCH(BN$8,Am_Sched_Mnthly_Mnths,0),3)*(BN$8&lt;='Inputs &amp; Summary'!$D$102)</f>
        <v/>
      </c>
      <c r="BO53" s="298">
        <f>-INDEX(Am_Sched_Mnthly,MATCH(BO$8,Am_Sched_Mnthly_Mnths,0),3)*(BO$8&lt;='Inputs &amp; Summary'!$D$102)</f>
        <v/>
      </c>
      <c r="BP53" s="298">
        <f>-INDEX(Am_Sched_Mnthly,MATCH(BP$8,Am_Sched_Mnthly_Mnths,0),3)*(BP$8&lt;='Inputs &amp; Summary'!$D$102)</f>
        <v/>
      </c>
      <c r="BQ53" s="298">
        <f>-INDEX(Am_Sched_Mnthly,MATCH(BQ$8,Am_Sched_Mnthly_Mnths,0),3)*(BQ$8&lt;='Inputs &amp; Summary'!$D$102)</f>
        <v/>
      </c>
      <c r="BR53" s="298">
        <f>-INDEX(Am_Sched_Mnthly,MATCH(BR$8,Am_Sched_Mnthly_Mnths,0),3)*(BR$8&lt;='Inputs &amp; Summary'!$D$102)</f>
        <v/>
      </c>
      <c r="BS53" s="298">
        <f>-INDEX(Am_Sched_Mnthly,MATCH(BS$8,Am_Sched_Mnthly_Mnths,0),3)*(BS$8&lt;='Inputs &amp; Summary'!$D$102)</f>
        <v/>
      </c>
      <c r="BT53" s="298">
        <f>-INDEX(Am_Sched_Mnthly,MATCH(BT$8,Am_Sched_Mnthly_Mnths,0),3)*(BT$8&lt;='Inputs &amp; Summary'!$D$102)</f>
        <v/>
      </c>
      <c r="BU53" s="298">
        <f>-INDEX(Am_Sched_Mnthly,MATCH(BU$8,Am_Sched_Mnthly_Mnths,0),3)*(BU$8&lt;='Inputs &amp; Summary'!$D$102)</f>
        <v/>
      </c>
      <c r="BV53" s="298">
        <f>-INDEX(Am_Sched_Mnthly,MATCH(BV$8,Am_Sched_Mnthly_Mnths,0),3)*(BV$8&lt;='Inputs &amp; Summary'!$D$102)</f>
        <v/>
      </c>
      <c r="BW53" s="298">
        <f>-INDEX(Am_Sched_Mnthly,MATCH(BW$8,Am_Sched_Mnthly_Mnths,0),3)*(BW$8&lt;='Inputs &amp; Summary'!$D$102)</f>
        <v/>
      </c>
      <c r="BX53" s="298">
        <f>-INDEX(Am_Sched_Mnthly,MATCH(BX$8,Am_Sched_Mnthly_Mnths,0),3)*(BX$8&lt;='Inputs &amp; Summary'!$D$102)</f>
        <v/>
      </c>
      <c r="BY53" s="298">
        <f>-INDEX(Am_Sched_Mnthly,MATCH(BY$8,Am_Sched_Mnthly_Mnths,0),3)*(BY$8&lt;='Inputs &amp; Summary'!$D$102)</f>
        <v/>
      </c>
      <c r="BZ53" s="298">
        <f>-INDEX(Am_Sched_Mnthly,MATCH(BZ$8,Am_Sched_Mnthly_Mnths,0),3)*(BZ$8&lt;='Inputs &amp; Summary'!$D$102)</f>
        <v/>
      </c>
      <c r="CA53" s="298">
        <f>-INDEX(Am_Sched_Mnthly,MATCH(CA$8,Am_Sched_Mnthly_Mnths,0),3)*(CA$8&lt;='Inputs &amp; Summary'!$D$102)</f>
        <v/>
      </c>
      <c r="CB53" s="298">
        <f>-INDEX(Am_Sched_Mnthly,MATCH(CB$8,Am_Sched_Mnthly_Mnths,0),3)*(CB$8&lt;='Inputs &amp; Summary'!$D$102)</f>
        <v/>
      </c>
      <c r="CC53" s="298">
        <f>-INDEX(Am_Sched_Mnthly,MATCH(CC$8,Am_Sched_Mnthly_Mnths,0),3)*(CC$8&lt;='Inputs &amp; Summary'!$D$102)</f>
        <v/>
      </c>
      <c r="CD53" s="298">
        <f>-INDEX(Am_Sched_Mnthly,MATCH(CD$8,Am_Sched_Mnthly_Mnths,0),3)*(CD$8&lt;='Inputs &amp; Summary'!$D$102)</f>
        <v/>
      </c>
      <c r="CE53" s="298">
        <f>-INDEX(Am_Sched_Mnthly,MATCH(CE$8,Am_Sched_Mnthly_Mnths,0),3)*(CE$8&lt;='Inputs &amp; Summary'!$D$102)</f>
        <v/>
      </c>
      <c r="CF53" s="298">
        <f>-INDEX(Am_Sched_Mnthly,MATCH(CF$8,Am_Sched_Mnthly_Mnths,0),3)*(CF$8&lt;='Inputs &amp; Summary'!$D$102)</f>
        <v/>
      </c>
      <c r="CG53" s="298">
        <f>-INDEX(Am_Sched_Mnthly,MATCH(CG$8,Am_Sched_Mnthly_Mnths,0),3)*(CG$8&lt;='Inputs &amp; Summary'!$D$102)</f>
        <v/>
      </c>
      <c r="CH53" s="298">
        <f>-INDEX(Am_Sched_Mnthly,MATCH(CH$8,Am_Sched_Mnthly_Mnths,0),3)*(CH$8&lt;='Inputs &amp; Summary'!$D$102)</f>
        <v/>
      </c>
      <c r="CI53" s="298">
        <f>-INDEX(Am_Sched_Mnthly,MATCH(CI$8,Am_Sched_Mnthly_Mnths,0),3)*(CI$8&lt;='Inputs &amp; Summary'!$D$102)</f>
        <v/>
      </c>
      <c r="CJ53" s="298">
        <f>-INDEX(Am_Sched_Mnthly,MATCH(CJ$8,Am_Sched_Mnthly_Mnths,0),3)*(CJ$8&lt;='Inputs &amp; Summary'!$D$102)</f>
        <v/>
      </c>
      <c r="CK53" s="298">
        <f>-INDEX(Am_Sched_Mnthly,MATCH(CK$8,Am_Sched_Mnthly_Mnths,0),3)*(CK$8&lt;='Inputs &amp; Summary'!$D$102)</f>
        <v/>
      </c>
      <c r="CL53" s="298">
        <f>-INDEX(Am_Sched_Mnthly,MATCH(CL$8,Am_Sched_Mnthly_Mnths,0),3)*(CL$8&lt;='Inputs &amp; Summary'!$D$102)</f>
        <v/>
      </c>
      <c r="CM53" s="298">
        <f>-INDEX(Am_Sched_Mnthly,MATCH(CM$8,Am_Sched_Mnthly_Mnths,0),3)*(CM$8&lt;='Inputs &amp; Summary'!$D$102)</f>
        <v/>
      </c>
      <c r="CN53" s="298">
        <f>-INDEX(Am_Sched_Mnthly,MATCH(CN$8,Am_Sched_Mnthly_Mnths,0),3)*(CN$8&lt;='Inputs &amp; Summary'!$D$102)</f>
        <v/>
      </c>
      <c r="CO53" s="298">
        <f>-INDEX(Am_Sched_Mnthly,MATCH(CO$8,Am_Sched_Mnthly_Mnths,0),3)*(CO$8&lt;='Inputs &amp; Summary'!$D$102)</f>
        <v/>
      </c>
      <c r="CP53" s="298">
        <f>-INDEX(Am_Sched_Mnthly,MATCH(CP$8,Am_Sched_Mnthly_Mnths,0),3)*(CP$8&lt;='Inputs &amp; Summary'!$D$102)</f>
        <v/>
      </c>
      <c r="CQ53" s="298">
        <f>-INDEX(Am_Sched_Mnthly,MATCH(CQ$8,Am_Sched_Mnthly_Mnths,0),3)*(CQ$8&lt;='Inputs &amp; Summary'!$D$102)</f>
        <v/>
      </c>
      <c r="CR53" s="298">
        <f>-INDEX(Am_Sched_Mnthly,MATCH(CR$8,Am_Sched_Mnthly_Mnths,0),3)*(CR$8&lt;='Inputs &amp; Summary'!$D$102)</f>
        <v/>
      </c>
      <c r="CS53" s="298">
        <f>-INDEX(Am_Sched_Mnthly,MATCH(CS$8,Am_Sched_Mnthly_Mnths,0),3)*(CS$8&lt;='Inputs &amp; Summary'!$D$102)</f>
        <v/>
      </c>
      <c r="CT53" s="298">
        <f>-INDEX(Am_Sched_Mnthly,MATCH(CT$8,Am_Sched_Mnthly_Mnths,0),3)*(CT$8&lt;='Inputs &amp; Summary'!$D$102)</f>
        <v/>
      </c>
      <c r="CU53" s="298">
        <f>-INDEX(Am_Sched_Mnthly,MATCH(CU$8,Am_Sched_Mnthly_Mnths,0),3)*(CU$8&lt;='Inputs &amp; Summary'!$D$102)</f>
        <v/>
      </c>
      <c r="CV53" s="298">
        <f>-INDEX(Am_Sched_Mnthly,MATCH(CV$8,Am_Sched_Mnthly_Mnths,0),3)*(CV$8&lt;='Inputs &amp; Summary'!$D$102)</f>
        <v/>
      </c>
      <c r="CW53" s="298">
        <f>-INDEX(Am_Sched_Mnthly,MATCH(CW$8,Am_Sched_Mnthly_Mnths,0),3)*(CW$8&lt;='Inputs &amp; Summary'!$D$102)</f>
        <v/>
      </c>
      <c r="CX53" s="298">
        <f>-INDEX(Am_Sched_Mnthly,MATCH(CX$8,Am_Sched_Mnthly_Mnths,0),3)*(CX$8&lt;='Inputs &amp; Summary'!$D$102)</f>
        <v/>
      </c>
      <c r="CY53" s="298">
        <f>-INDEX(Am_Sched_Mnthly,MATCH(CY$8,Am_Sched_Mnthly_Mnths,0),3)*(CY$8&lt;='Inputs &amp; Summary'!$D$102)</f>
        <v/>
      </c>
      <c r="CZ53" s="298">
        <f>-INDEX(Am_Sched_Mnthly,MATCH(CZ$8,Am_Sched_Mnthly_Mnths,0),3)*(CZ$8&lt;='Inputs &amp; Summary'!$D$102)</f>
        <v/>
      </c>
      <c r="DA53" s="298">
        <f>-INDEX(Am_Sched_Mnthly,MATCH(DA$8,Am_Sched_Mnthly_Mnths,0),3)*(DA$8&lt;='Inputs &amp; Summary'!$D$102)</f>
        <v/>
      </c>
      <c r="DB53" s="298">
        <f>-INDEX(Am_Sched_Mnthly,MATCH(DB$8,Am_Sched_Mnthly_Mnths,0),3)*(DB$8&lt;='Inputs &amp; Summary'!$D$102)</f>
        <v/>
      </c>
      <c r="DC53" s="298">
        <f>-INDEX(Am_Sched_Mnthly,MATCH(DC$8,Am_Sched_Mnthly_Mnths,0),3)*(DC$8&lt;='Inputs &amp; Summary'!$D$102)</f>
        <v/>
      </c>
      <c r="DD53" s="298">
        <f>-INDEX(Am_Sched_Mnthly,MATCH(DD$8,Am_Sched_Mnthly_Mnths,0),3)*(DD$8&lt;='Inputs &amp; Summary'!$D$102)</f>
        <v/>
      </c>
      <c r="DE53" s="298">
        <f>-INDEX(Am_Sched_Mnthly,MATCH(DE$8,Am_Sched_Mnthly_Mnths,0),3)*(DE$8&lt;='Inputs &amp; Summary'!$D$102)</f>
        <v/>
      </c>
      <c r="DF53" s="298">
        <f>-INDEX(Am_Sched_Mnthly,MATCH(DF$8,Am_Sched_Mnthly_Mnths,0),3)*(DF$8&lt;='Inputs &amp; Summary'!$D$102)</f>
        <v/>
      </c>
      <c r="DG53" s="298">
        <f>-INDEX(Am_Sched_Mnthly,MATCH(DG$8,Am_Sched_Mnthly_Mnths,0),3)*(DG$8&lt;='Inputs &amp; Summary'!$D$102)</f>
        <v/>
      </c>
      <c r="DH53" s="298">
        <f>-INDEX(Am_Sched_Mnthly,MATCH(DH$8,Am_Sched_Mnthly_Mnths,0),3)*(DH$8&lt;='Inputs &amp; Summary'!$D$102)</f>
        <v/>
      </c>
      <c r="DI53" s="298">
        <f>-INDEX(Am_Sched_Mnthly,MATCH(DI$8,Am_Sched_Mnthly_Mnths,0),3)*(DI$8&lt;='Inputs &amp; Summary'!$D$102)</f>
        <v/>
      </c>
      <c r="DJ53" s="298">
        <f>-INDEX(Am_Sched_Mnthly,MATCH(DJ$8,Am_Sched_Mnthly_Mnths,0),3)*(DJ$8&lt;='Inputs &amp; Summary'!$D$102)</f>
        <v/>
      </c>
      <c r="DK53" s="298">
        <f>-INDEX(Am_Sched_Mnthly,MATCH(DK$8,Am_Sched_Mnthly_Mnths,0),3)*(DK$8&lt;='Inputs &amp; Summary'!$D$102)</f>
        <v/>
      </c>
      <c r="DL53" s="298">
        <f>-INDEX(Am_Sched_Mnthly,MATCH(DL$8,Am_Sched_Mnthly_Mnths,0),3)*(DL$8&lt;='Inputs &amp; Summary'!$D$102)</f>
        <v/>
      </c>
      <c r="DM53" s="298">
        <f>-INDEX(Am_Sched_Mnthly,MATCH(DM$8,Am_Sched_Mnthly_Mnths,0),3)*(DM$8&lt;='Inputs &amp; Summary'!$D$102)</f>
        <v/>
      </c>
      <c r="DN53" s="298">
        <f>-INDEX(Am_Sched_Mnthly,MATCH(DN$8,Am_Sched_Mnthly_Mnths,0),3)*(DN$8&lt;='Inputs &amp; Summary'!$D$102)</f>
        <v/>
      </c>
      <c r="DO53" s="298">
        <f>-INDEX(Am_Sched_Mnthly,MATCH(DO$8,Am_Sched_Mnthly_Mnths,0),3)*(DO$8&lt;='Inputs &amp; Summary'!$D$102)</f>
        <v/>
      </c>
      <c r="DP53" s="298">
        <f>-INDEX(Am_Sched_Mnthly,MATCH(DP$8,Am_Sched_Mnthly_Mnths,0),3)*(DP$8&lt;='Inputs &amp; Summary'!$D$102)</f>
        <v/>
      </c>
      <c r="DQ53" s="298">
        <f>-INDEX(Am_Sched_Mnthly,MATCH(DQ$8,Am_Sched_Mnthly_Mnths,0),3)*(DQ$8&lt;='Inputs &amp; Summary'!$D$102)</f>
        <v/>
      </c>
      <c r="DR53" s="298">
        <f>-INDEX(Am_Sched_Mnthly,MATCH(DR$8,Am_Sched_Mnthly_Mnths,0),3)*(DR$8&lt;='Inputs &amp; Summary'!$D$102)</f>
        <v/>
      </c>
      <c r="DS53" s="298">
        <f>-INDEX(Am_Sched_Mnthly,MATCH(DS$8,Am_Sched_Mnthly_Mnths,0),3)*(DS$8&lt;='Inputs &amp; Summary'!$D$102)</f>
        <v/>
      </c>
      <c r="DT53" s="298">
        <f>-INDEX(Am_Sched_Mnthly,MATCH(DT$8,Am_Sched_Mnthly_Mnths,0),3)*(DT$8&lt;='Inputs &amp; Summary'!$D$102)</f>
        <v/>
      </c>
    </row>
    <row r="54">
      <c r="B54" s="6" t="inlineStr">
        <is>
          <t>Levered Operating Cash Flow</t>
        </is>
      </c>
      <c r="C54" s="31" t="n"/>
      <c r="D54" s="313">
        <f>SUM(D51:D53)</f>
        <v/>
      </c>
      <c r="E54" s="206">
        <f>SUM(E51:E53)</f>
        <v/>
      </c>
      <c r="F54" s="206">
        <f>SUM(F51:F53)</f>
        <v/>
      </c>
      <c r="G54" s="206">
        <f>SUM(G51:G53)</f>
        <v/>
      </c>
      <c r="H54" s="206">
        <f>SUM(H51:H53)</f>
        <v/>
      </c>
      <c r="I54" s="206">
        <f>SUM(I51:I53)</f>
        <v/>
      </c>
      <c r="J54" s="206">
        <f>SUM(J51:J53)</f>
        <v/>
      </c>
      <c r="K54" s="206">
        <f>SUM(K51:K53)</f>
        <v/>
      </c>
      <c r="L54" s="206">
        <f>SUM(L51:L53)</f>
        <v/>
      </c>
      <c r="M54" s="206">
        <f>SUM(M51:M53)</f>
        <v/>
      </c>
      <c r="N54" s="206">
        <f>SUM(N51:N53)</f>
        <v/>
      </c>
      <c r="O54" s="206">
        <f>SUM(O51:O53)</f>
        <v/>
      </c>
      <c r="P54" s="206">
        <f>SUM(P51:P53)</f>
        <v/>
      </c>
      <c r="Q54" s="206">
        <f>SUM(Q51:Q53)</f>
        <v/>
      </c>
      <c r="R54" s="206">
        <f>SUM(R51:R53)</f>
        <v/>
      </c>
      <c r="S54" s="206">
        <f>SUM(S51:S53)</f>
        <v/>
      </c>
      <c r="T54" s="206">
        <f>SUM(T51:T53)</f>
        <v/>
      </c>
      <c r="U54" s="206">
        <f>SUM(U51:U53)</f>
        <v/>
      </c>
      <c r="V54" s="206">
        <f>SUM(V51:V53)</f>
        <v/>
      </c>
      <c r="W54" s="206">
        <f>SUM(W51:W53)</f>
        <v/>
      </c>
      <c r="X54" s="206">
        <f>SUM(X51:X53)</f>
        <v/>
      </c>
      <c r="Y54" s="206">
        <f>SUM(Y51:Y53)</f>
        <v/>
      </c>
      <c r="Z54" s="206">
        <f>SUM(Z51:Z53)</f>
        <v/>
      </c>
      <c r="AA54" s="206">
        <f>SUM(AA51:AA53)</f>
        <v/>
      </c>
      <c r="AB54" s="206">
        <f>SUM(AB51:AB53)</f>
        <v/>
      </c>
      <c r="AC54" s="206">
        <f>SUM(AC51:AC53)</f>
        <v/>
      </c>
      <c r="AD54" s="206">
        <f>SUM(AD51:AD53)</f>
        <v/>
      </c>
      <c r="AE54" s="206">
        <f>SUM(AE51:AE53)</f>
        <v/>
      </c>
      <c r="AF54" s="206">
        <f>SUM(AF51:AF53)</f>
        <v/>
      </c>
      <c r="AG54" s="206">
        <f>SUM(AG51:AG53)</f>
        <v/>
      </c>
      <c r="AH54" s="206">
        <f>SUM(AH51:AH53)</f>
        <v/>
      </c>
      <c r="AI54" s="206">
        <f>SUM(AI51:AI53)</f>
        <v/>
      </c>
      <c r="AJ54" s="206">
        <f>SUM(AJ51:AJ53)</f>
        <v/>
      </c>
      <c r="AK54" s="206">
        <f>SUM(AK51:AK53)</f>
        <v/>
      </c>
      <c r="AL54" s="206">
        <f>SUM(AL51:AL53)</f>
        <v/>
      </c>
      <c r="AM54" s="206">
        <f>SUM(AM51:AM53)</f>
        <v/>
      </c>
      <c r="AN54" s="206">
        <f>SUM(AN51:AN53)</f>
        <v/>
      </c>
      <c r="AO54" s="206">
        <f>SUM(AO51:AO53)</f>
        <v/>
      </c>
      <c r="AP54" s="206">
        <f>SUM(AP51:AP53)</f>
        <v/>
      </c>
      <c r="AQ54" s="206">
        <f>SUM(AQ51:AQ53)</f>
        <v/>
      </c>
      <c r="AR54" s="206">
        <f>SUM(AR51:AR53)</f>
        <v/>
      </c>
      <c r="AS54" s="206">
        <f>SUM(AS51:AS53)</f>
        <v/>
      </c>
      <c r="AT54" s="206">
        <f>SUM(AT51:AT53)</f>
        <v/>
      </c>
      <c r="AU54" s="206">
        <f>SUM(AU51:AU53)</f>
        <v/>
      </c>
      <c r="AV54" s="206">
        <f>SUM(AV51:AV53)</f>
        <v/>
      </c>
      <c r="AW54" s="206">
        <f>SUM(AW51:AW53)</f>
        <v/>
      </c>
      <c r="AX54" s="206">
        <f>SUM(AX51:AX53)</f>
        <v/>
      </c>
      <c r="AY54" s="206">
        <f>SUM(AY51:AY53)</f>
        <v/>
      </c>
      <c r="AZ54" s="206">
        <f>SUM(AZ51:AZ53)</f>
        <v/>
      </c>
      <c r="BA54" s="206">
        <f>SUM(BA51:BA53)</f>
        <v/>
      </c>
      <c r="BB54" s="206">
        <f>SUM(BB51:BB53)</f>
        <v/>
      </c>
      <c r="BC54" s="206">
        <f>SUM(BC51:BC53)</f>
        <v/>
      </c>
      <c r="BD54" s="206">
        <f>SUM(BD51:BD53)</f>
        <v/>
      </c>
      <c r="BE54" s="206">
        <f>SUM(BE51:BE53)</f>
        <v/>
      </c>
      <c r="BF54" s="206">
        <f>SUM(BF51:BF53)</f>
        <v/>
      </c>
      <c r="BG54" s="206">
        <f>SUM(BG51:BG53)</f>
        <v/>
      </c>
      <c r="BH54" s="206">
        <f>SUM(BH51:BH53)</f>
        <v/>
      </c>
      <c r="BI54" s="206">
        <f>SUM(BI51:BI53)</f>
        <v/>
      </c>
      <c r="BJ54" s="206">
        <f>SUM(BJ51:BJ53)</f>
        <v/>
      </c>
      <c r="BK54" s="206">
        <f>SUM(BK51:BK53)</f>
        <v/>
      </c>
      <c r="BL54" s="206">
        <f>SUM(BL51:BL53)</f>
        <v/>
      </c>
      <c r="BM54" s="206">
        <f>SUM(BM51:BM53)</f>
        <v/>
      </c>
      <c r="BN54" s="206">
        <f>SUM(BN51:BN53)</f>
        <v/>
      </c>
      <c r="BO54" s="206">
        <f>SUM(BO51:BO53)</f>
        <v/>
      </c>
      <c r="BP54" s="206">
        <f>SUM(BP51:BP53)</f>
        <v/>
      </c>
      <c r="BQ54" s="206">
        <f>SUM(BQ51:BQ53)</f>
        <v/>
      </c>
      <c r="BR54" s="206">
        <f>SUM(BR51:BR53)</f>
        <v/>
      </c>
      <c r="BS54" s="206">
        <f>SUM(BS51:BS53)</f>
        <v/>
      </c>
      <c r="BT54" s="206">
        <f>SUM(BT51:BT53)</f>
        <v/>
      </c>
      <c r="BU54" s="206">
        <f>SUM(BU51:BU53)</f>
        <v/>
      </c>
      <c r="BV54" s="206">
        <f>SUM(BV51:BV53)</f>
        <v/>
      </c>
      <c r="BW54" s="206">
        <f>SUM(BW51:BW53)</f>
        <v/>
      </c>
      <c r="BX54" s="206">
        <f>SUM(BX51:BX53)</f>
        <v/>
      </c>
      <c r="BY54" s="206">
        <f>SUM(BY51:BY53)</f>
        <v/>
      </c>
      <c r="BZ54" s="206">
        <f>SUM(BZ51:BZ53)</f>
        <v/>
      </c>
      <c r="CA54" s="206">
        <f>SUM(CA51:CA53)</f>
        <v/>
      </c>
      <c r="CB54" s="206">
        <f>SUM(CB51:CB53)</f>
        <v/>
      </c>
      <c r="CC54" s="206">
        <f>SUM(CC51:CC53)</f>
        <v/>
      </c>
      <c r="CD54" s="206">
        <f>SUM(CD51:CD53)</f>
        <v/>
      </c>
      <c r="CE54" s="206">
        <f>SUM(CE51:CE53)</f>
        <v/>
      </c>
      <c r="CF54" s="206">
        <f>SUM(CF51:CF53)</f>
        <v/>
      </c>
      <c r="CG54" s="206">
        <f>SUM(CG51:CG53)</f>
        <v/>
      </c>
      <c r="CH54" s="206">
        <f>SUM(CH51:CH53)</f>
        <v/>
      </c>
      <c r="CI54" s="206">
        <f>SUM(CI51:CI53)</f>
        <v/>
      </c>
      <c r="CJ54" s="206">
        <f>SUM(CJ51:CJ53)</f>
        <v/>
      </c>
      <c r="CK54" s="206">
        <f>SUM(CK51:CK53)</f>
        <v/>
      </c>
      <c r="CL54" s="206">
        <f>SUM(CL51:CL53)</f>
        <v/>
      </c>
      <c r="CM54" s="206">
        <f>SUM(CM51:CM53)</f>
        <v/>
      </c>
      <c r="CN54" s="206">
        <f>SUM(CN51:CN53)</f>
        <v/>
      </c>
      <c r="CO54" s="206">
        <f>SUM(CO51:CO53)</f>
        <v/>
      </c>
      <c r="CP54" s="206">
        <f>SUM(CP51:CP53)</f>
        <v/>
      </c>
      <c r="CQ54" s="206">
        <f>SUM(CQ51:CQ53)</f>
        <v/>
      </c>
      <c r="CR54" s="206">
        <f>SUM(CR51:CR53)</f>
        <v/>
      </c>
      <c r="CS54" s="206">
        <f>SUM(CS51:CS53)</f>
        <v/>
      </c>
      <c r="CT54" s="206">
        <f>SUM(CT51:CT53)</f>
        <v/>
      </c>
      <c r="CU54" s="206">
        <f>SUM(CU51:CU53)</f>
        <v/>
      </c>
      <c r="CV54" s="206">
        <f>SUM(CV51:CV53)</f>
        <v/>
      </c>
      <c r="CW54" s="206">
        <f>SUM(CW51:CW53)</f>
        <v/>
      </c>
      <c r="CX54" s="206">
        <f>SUM(CX51:CX53)</f>
        <v/>
      </c>
      <c r="CY54" s="206">
        <f>SUM(CY51:CY53)</f>
        <v/>
      </c>
      <c r="CZ54" s="206">
        <f>SUM(CZ51:CZ53)</f>
        <v/>
      </c>
      <c r="DA54" s="206">
        <f>SUM(DA51:DA53)</f>
        <v/>
      </c>
      <c r="DB54" s="206">
        <f>SUM(DB51:DB53)</f>
        <v/>
      </c>
      <c r="DC54" s="206">
        <f>SUM(DC51:DC53)</f>
        <v/>
      </c>
      <c r="DD54" s="206">
        <f>SUM(DD51:DD53)</f>
        <v/>
      </c>
      <c r="DE54" s="206">
        <f>SUM(DE51:DE53)</f>
        <v/>
      </c>
      <c r="DF54" s="206">
        <f>SUM(DF51:DF53)</f>
        <v/>
      </c>
      <c r="DG54" s="206">
        <f>SUM(DG51:DG53)</f>
        <v/>
      </c>
      <c r="DH54" s="206">
        <f>SUM(DH51:DH53)</f>
        <v/>
      </c>
      <c r="DI54" s="206">
        <f>SUM(DI51:DI53)</f>
        <v/>
      </c>
      <c r="DJ54" s="206">
        <f>SUM(DJ51:DJ53)</f>
        <v/>
      </c>
      <c r="DK54" s="206">
        <f>SUM(DK51:DK53)</f>
        <v/>
      </c>
      <c r="DL54" s="206">
        <f>SUM(DL51:DL53)</f>
        <v/>
      </c>
      <c r="DM54" s="206">
        <f>SUM(DM51:DM53)</f>
        <v/>
      </c>
      <c r="DN54" s="206">
        <f>SUM(DN51:DN53)</f>
        <v/>
      </c>
      <c r="DO54" s="206">
        <f>SUM(DO51:DO53)</f>
        <v/>
      </c>
      <c r="DP54" s="206">
        <f>SUM(DP51:DP53)</f>
        <v/>
      </c>
      <c r="DQ54" s="206">
        <f>SUM(DQ51:DQ53)</f>
        <v/>
      </c>
      <c r="DR54" s="206">
        <f>SUM(DR51:DR53)</f>
        <v/>
      </c>
      <c r="DS54" s="206">
        <f>SUM(DS51:DS53)</f>
        <v/>
      </c>
      <c r="DT54" s="206">
        <f>SUM(DT51:DT53)</f>
        <v/>
      </c>
    </row>
    <row r="56">
      <c r="B56" s="1">
        <f>"(-) "&amp;'Inputs &amp; Summary'!N14</f>
        <v/>
      </c>
      <c r="C56" s="31" t="n"/>
      <c r="D56" s="299">
        <f>'Inputs &amp; Summary'!$P$12</f>
        <v/>
      </c>
      <c r="E56" s="304" t="n">
        <v>0</v>
      </c>
      <c r="F56" s="304" t="n">
        <v>0</v>
      </c>
      <c r="G56" s="304" t="n">
        <v>0</v>
      </c>
      <c r="H56" s="304" t="n">
        <v>0</v>
      </c>
      <c r="I56" s="304" t="n">
        <v>0</v>
      </c>
      <c r="J56" s="304" t="n">
        <v>0</v>
      </c>
      <c r="K56" s="304" t="n">
        <v>0</v>
      </c>
      <c r="L56" s="304" t="n">
        <v>0</v>
      </c>
      <c r="M56" s="304" t="n">
        <v>0</v>
      </c>
      <c r="N56" s="304" t="n">
        <v>0</v>
      </c>
      <c r="O56" s="304" t="n">
        <v>0</v>
      </c>
      <c r="P56" s="304" t="n">
        <v>0</v>
      </c>
      <c r="Q56" s="304" t="n">
        <v>0</v>
      </c>
      <c r="R56" s="304" t="n">
        <v>0</v>
      </c>
      <c r="S56" s="304" t="n">
        <v>0</v>
      </c>
      <c r="T56" s="304" t="n">
        <v>0</v>
      </c>
      <c r="U56" s="304" t="n">
        <v>0</v>
      </c>
      <c r="V56" s="304" t="n">
        <v>0</v>
      </c>
      <c r="W56" s="304" t="n">
        <v>0</v>
      </c>
      <c r="X56" s="304" t="n">
        <v>0</v>
      </c>
      <c r="Y56" s="304" t="n">
        <v>0</v>
      </c>
      <c r="Z56" s="304" t="n">
        <v>0</v>
      </c>
      <c r="AA56" s="304" t="n">
        <v>0</v>
      </c>
      <c r="AB56" s="304" t="n">
        <v>0</v>
      </c>
      <c r="AC56" s="304" t="n">
        <v>0</v>
      </c>
      <c r="AD56" s="304" t="n">
        <v>0</v>
      </c>
      <c r="AE56" s="304" t="n">
        <v>0</v>
      </c>
      <c r="AF56" s="304" t="n">
        <v>0</v>
      </c>
      <c r="AG56" s="304" t="n">
        <v>0</v>
      </c>
      <c r="AH56" s="304" t="n">
        <v>0</v>
      </c>
      <c r="AI56" s="304" t="n">
        <v>0</v>
      </c>
      <c r="AJ56" s="304" t="n">
        <v>0</v>
      </c>
      <c r="AK56" s="304" t="n">
        <v>0</v>
      </c>
      <c r="AL56" s="304" t="n">
        <v>0</v>
      </c>
      <c r="AM56" s="304" t="n">
        <v>0</v>
      </c>
      <c r="AN56" s="304" t="n">
        <v>0</v>
      </c>
      <c r="AO56" s="304" t="n">
        <v>0</v>
      </c>
      <c r="AP56" s="304" t="n">
        <v>0</v>
      </c>
      <c r="AQ56" s="304" t="n">
        <v>0</v>
      </c>
      <c r="AR56" s="304" t="n">
        <v>0</v>
      </c>
      <c r="AS56" s="304" t="n">
        <v>0</v>
      </c>
      <c r="AT56" s="304" t="n">
        <v>0</v>
      </c>
      <c r="AU56" s="304" t="n">
        <v>0</v>
      </c>
      <c r="AV56" s="304" t="n">
        <v>0</v>
      </c>
      <c r="AW56" s="304" t="n">
        <v>0</v>
      </c>
      <c r="AX56" s="304" t="n">
        <v>0</v>
      </c>
      <c r="AY56" s="304" t="n">
        <v>0</v>
      </c>
      <c r="AZ56" s="304" t="n">
        <v>0</v>
      </c>
      <c r="BA56" s="304" t="n">
        <v>0</v>
      </c>
      <c r="BB56" s="304" t="n">
        <v>0</v>
      </c>
      <c r="BC56" s="304" t="n">
        <v>0</v>
      </c>
      <c r="BD56" s="304" t="n">
        <v>0</v>
      </c>
      <c r="BE56" s="304" t="n">
        <v>0</v>
      </c>
      <c r="BF56" s="304" t="n">
        <v>0</v>
      </c>
      <c r="BG56" s="304" t="n">
        <v>0</v>
      </c>
      <c r="BH56" s="304" t="n">
        <v>0</v>
      </c>
      <c r="BI56" s="304" t="n">
        <v>0</v>
      </c>
      <c r="BJ56" s="304" t="n">
        <v>0</v>
      </c>
      <c r="BK56" s="304" t="n">
        <v>0</v>
      </c>
      <c r="BL56" s="304" t="n">
        <v>0</v>
      </c>
      <c r="BM56" s="304" t="n">
        <v>0</v>
      </c>
      <c r="BN56" s="304" t="n">
        <v>0</v>
      </c>
      <c r="BO56" s="304" t="n">
        <v>0</v>
      </c>
      <c r="BP56" s="304" t="n">
        <v>0</v>
      </c>
      <c r="BQ56" s="304" t="n">
        <v>0</v>
      </c>
      <c r="BR56" s="304" t="n">
        <v>0</v>
      </c>
      <c r="BS56" s="304" t="n">
        <v>0</v>
      </c>
      <c r="BT56" s="304" t="n">
        <v>0</v>
      </c>
      <c r="BU56" s="304" t="n">
        <v>0</v>
      </c>
      <c r="BV56" s="304" t="n">
        <v>0</v>
      </c>
      <c r="BW56" s="304" t="n">
        <v>0</v>
      </c>
      <c r="BX56" s="304" t="n">
        <v>0</v>
      </c>
      <c r="BY56" s="304" t="n">
        <v>0</v>
      </c>
      <c r="BZ56" s="304" t="n">
        <v>0</v>
      </c>
      <c r="CA56" s="304" t="n">
        <v>0</v>
      </c>
      <c r="CB56" s="304" t="n">
        <v>0</v>
      </c>
      <c r="CC56" s="304" t="n">
        <v>0</v>
      </c>
      <c r="CD56" s="304" t="n">
        <v>0</v>
      </c>
      <c r="CE56" s="304" t="n">
        <v>0</v>
      </c>
      <c r="CF56" s="304" t="n">
        <v>0</v>
      </c>
      <c r="CG56" s="304" t="n">
        <v>0</v>
      </c>
      <c r="CH56" s="304" t="n">
        <v>0</v>
      </c>
      <c r="CI56" s="304" t="n">
        <v>0</v>
      </c>
      <c r="CJ56" s="304" t="n">
        <v>0</v>
      </c>
      <c r="CK56" s="304" t="n">
        <v>0</v>
      </c>
      <c r="CL56" s="304" t="n">
        <v>0</v>
      </c>
      <c r="CM56" s="304" t="n">
        <v>0</v>
      </c>
      <c r="CN56" s="304" t="n">
        <v>0</v>
      </c>
      <c r="CO56" s="304" t="n">
        <v>0</v>
      </c>
      <c r="CP56" s="304" t="n">
        <v>0</v>
      </c>
      <c r="CQ56" s="304" t="n">
        <v>0</v>
      </c>
      <c r="CR56" s="304" t="n">
        <v>0</v>
      </c>
      <c r="CS56" s="304" t="n">
        <v>0</v>
      </c>
      <c r="CT56" s="304" t="n">
        <v>0</v>
      </c>
      <c r="CU56" s="304" t="n">
        <v>0</v>
      </c>
      <c r="CV56" s="304" t="n">
        <v>0</v>
      </c>
      <c r="CW56" s="304" t="n">
        <v>0</v>
      </c>
      <c r="CX56" s="304" t="n">
        <v>0</v>
      </c>
      <c r="CY56" s="304" t="n">
        <v>0</v>
      </c>
      <c r="CZ56" s="304" t="n">
        <v>0</v>
      </c>
      <c r="DA56" s="304" t="n">
        <v>0</v>
      </c>
      <c r="DB56" s="304" t="n">
        <v>0</v>
      </c>
      <c r="DC56" s="304" t="n">
        <v>0</v>
      </c>
      <c r="DD56" s="304" t="n">
        <v>0</v>
      </c>
      <c r="DE56" s="304" t="n">
        <v>0</v>
      </c>
      <c r="DF56" s="304" t="n">
        <v>0</v>
      </c>
      <c r="DG56" s="304" t="n">
        <v>0</v>
      </c>
      <c r="DH56" s="304" t="n">
        <v>0</v>
      </c>
      <c r="DI56" s="304" t="n">
        <v>0</v>
      </c>
      <c r="DJ56" s="304" t="n">
        <v>0</v>
      </c>
      <c r="DK56" s="304" t="n">
        <v>0</v>
      </c>
      <c r="DL56" s="304" t="n">
        <v>0</v>
      </c>
      <c r="DM56" s="304" t="n">
        <v>0</v>
      </c>
      <c r="DN56" s="304" t="n">
        <v>0</v>
      </c>
      <c r="DO56" s="304" t="n">
        <v>0</v>
      </c>
      <c r="DP56" s="304" t="n">
        <v>0</v>
      </c>
      <c r="DQ56" s="304" t="n">
        <v>0</v>
      </c>
      <c r="DR56" s="304" t="n">
        <v>0</v>
      </c>
      <c r="DS56" s="304" t="n">
        <v>0</v>
      </c>
      <c r="DT56" s="304" t="n">
        <v>0</v>
      </c>
    </row>
    <row r="57">
      <c r="B57" s="1">
        <f>"(-) "&amp;'Inputs &amp; Summary'!N15</f>
        <v/>
      </c>
      <c r="C57" s="31" t="n"/>
      <c r="D57" s="299">
        <f>-'Inputs &amp; Summary'!$P$15</f>
        <v/>
      </c>
      <c r="E57" s="304" t="n">
        <v>0</v>
      </c>
      <c r="F57" s="304" t="n">
        <v>0</v>
      </c>
      <c r="G57" s="304" t="n">
        <v>0</v>
      </c>
      <c r="H57" s="304" t="n">
        <v>0</v>
      </c>
      <c r="I57" s="304" t="n">
        <v>0</v>
      </c>
      <c r="J57" s="304" t="n">
        <v>0</v>
      </c>
      <c r="K57" s="304" t="n">
        <v>0</v>
      </c>
      <c r="L57" s="304" t="n">
        <v>0</v>
      </c>
      <c r="M57" s="304" t="n">
        <v>0</v>
      </c>
      <c r="N57" s="304" t="n">
        <v>0</v>
      </c>
      <c r="O57" s="304" t="n">
        <v>0</v>
      </c>
      <c r="P57" s="304" t="n">
        <v>0</v>
      </c>
      <c r="Q57" s="304" t="n">
        <v>0</v>
      </c>
      <c r="R57" s="304" t="n">
        <v>0</v>
      </c>
      <c r="S57" s="304" t="n">
        <v>0</v>
      </c>
      <c r="T57" s="304" t="n">
        <v>0</v>
      </c>
      <c r="U57" s="304" t="n">
        <v>0</v>
      </c>
      <c r="V57" s="304" t="n">
        <v>0</v>
      </c>
      <c r="W57" s="304" t="n">
        <v>0</v>
      </c>
      <c r="X57" s="304" t="n">
        <v>0</v>
      </c>
      <c r="Y57" s="304" t="n">
        <v>0</v>
      </c>
      <c r="Z57" s="304" t="n">
        <v>0</v>
      </c>
      <c r="AA57" s="304" t="n">
        <v>0</v>
      </c>
      <c r="AB57" s="304" t="n">
        <v>0</v>
      </c>
      <c r="AC57" s="304" t="n">
        <v>0</v>
      </c>
      <c r="AD57" s="304" t="n">
        <v>0</v>
      </c>
      <c r="AE57" s="304" t="n">
        <v>0</v>
      </c>
      <c r="AF57" s="304" t="n">
        <v>0</v>
      </c>
      <c r="AG57" s="304" t="n">
        <v>0</v>
      </c>
      <c r="AH57" s="304" t="n">
        <v>0</v>
      </c>
      <c r="AI57" s="304" t="n">
        <v>0</v>
      </c>
      <c r="AJ57" s="304" t="n">
        <v>0</v>
      </c>
      <c r="AK57" s="304" t="n">
        <v>0</v>
      </c>
      <c r="AL57" s="304" t="n">
        <v>0</v>
      </c>
      <c r="AM57" s="304" t="n">
        <v>0</v>
      </c>
      <c r="AN57" s="304" t="n">
        <v>0</v>
      </c>
      <c r="AO57" s="304" t="n">
        <v>0</v>
      </c>
      <c r="AP57" s="304" t="n">
        <v>0</v>
      </c>
      <c r="AQ57" s="304" t="n">
        <v>0</v>
      </c>
      <c r="AR57" s="304" t="n">
        <v>0</v>
      </c>
      <c r="AS57" s="304" t="n">
        <v>0</v>
      </c>
      <c r="AT57" s="304" t="n">
        <v>0</v>
      </c>
      <c r="AU57" s="304" t="n">
        <v>0</v>
      </c>
      <c r="AV57" s="304" t="n">
        <v>0</v>
      </c>
      <c r="AW57" s="304" t="n">
        <v>0</v>
      </c>
      <c r="AX57" s="304" t="n">
        <v>0</v>
      </c>
      <c r="AY57" s="304" t="n">
        <v>0</v>
      </c>
      <c r="AZ57" s="304" t="n">
        <v>0</v>
      </c>
      <c r="BA57" s="304" t="n">
        <v>0</v>
      </c>
      <c r="BB57" s="304" t="n">
        <v>0</v>
      </c>
      <c r="BC57" s="304" t="n">
        <v>0</v>
      </c>
      <c r="BD57" s="304" t="n">
        <v>0</v>
      </c>
      <c r="BE57" s="304" t="n">
        <v>0</v>
      </c>
      <c r="BF57" s="304" t="n">
        <v>0</v>
      </c>
      <c r="BG57" s="304" t="n">
        <v>0</v>
      </c>
      <c r="BH57" s="304" t="n">
        <v>0</v>
      </c>
      <c r="BI57" s="304" t="n">
        <v>0</v>
      </c>
      <c r="BJ57" s="304" t="n">
        <v>0</v>
      </c>
      <c r="BK57" s="304" t="n">
        <v>0</v>
      </c>
      <c r="BL57" s="304" t="n">
        <v>0</v>
      </c>
      <c r="BM57" s="304" t="n">
        <v>0</v>
      </c>
      <c r="BN57" s="304" t="n">
        <v>0</v>
      </c>
      <c r="BO57" s="304" t="n">
        <v>0</v>
      </c>
      <c r="BP57" s="304" t="n">
        <v>0</v>
      </c>
      <c r="BQ57" s="304" t="n">
        <v>0</v>
      </c>
      <c r="BR57" s="304" t="n">
        <v>0</v>
      </c>
      <c r="BS57" s="304" t="n">
        <v>0</v>
      </c>
      <c r="BT57" s="304" t="n">
        <v>0</v>
      </c>
      <c r="BU57" s="304" t="n">
        <v>0</v>
      </c>
      <c r="BV57" s="304" t="n">
        <v>0</v>
      </c>
      <c r="BW57" s="304" t="n">
        <v>0</v>
      </c>
      <c r="BX57" s="304" t="n">
        <v>0</v>
      </c>
      <c r="BY57" s="304" t="n">
        <v>0</v>
      </c>
      <c r="BZ57" s="304" t="n">
        <v>0</v>
      </c>
      <c r="CA57" s="304" t="n">
        <v>0</v>
      </c>
      <c r="CB57" s="304" t="n">
        <v>0</v>
      </c>
      <c r="CC57" s="304" t="n">
        <v>0</v>
      </c>
      <c r="CD57" s="304" t="n">
        <v>0</v>
      </c>
      <c r="CE57" s="304" t="n">
        <v>0</v>
      </c>
      <c r="CF57" s="304" t="n">
        <v>0</v>
      </c>
      <c r="CG57" s="304" t="n">
        <v>0</v>
      </c>
      <c r="CH57" s="304" t="n">
        <v>0</v>
      </c>
      <c r="CI57" s="304" t="n">
        <v>0</v>
      </c>
      <c r="CJ57" s="304" t="n">
        <v>0</v>
      </c>
      <c r="CK57" s="304" t="n">
        <v>0</v>
      </c>
      <c r="CL57" s="304" t="n">
        <v>0</v>
      </c>
      <c r="CM57" s="304" t="n">
        <v>0</v>
      </c>
      <c r="CN57" s="304" t="n">
        <v>0</v>
      </c>
      <c r="CO57" s="304" t="n">
        <v>0</v>
      </c>
      <c r="CP57" s="304" t="n">
        <v>0</v>
      </c>
      <c r="CQ57" s="304" t="n">
        <v>0</v>
      </c>
      <c r="CR57" s="304" t="n">
        <v>0</v>
      </c>
      <c r="CS57" s="304" t="n">
        <v>0</v>
      </c>
      <c r="CT57" s="304" t="n">
        <v>0</v>
      </c>
      <c r="CU57" s="304" t="n">
        <v>0</v>
      </c>
      <c r="CV57" s="304" t="n">
        <v>0</v>
      </c>
      <c r="CW57" s="304" t="n">
        <v>0</v>
      </c>
      <c r="CX57" s="304" t="n">
        <v>0</v>
      </c>
      <c r="CY57" s="304" t="n">
        <v>0</v>
      </c>
      <c r="CZ57" s="304" t="n">
        <v>0</v>
      </c>
      <c r="DA57" s="304" t="n">
        <v>0</v>
      </c>
      <c r="DB57" s="304" t="n">
        <v>0</v>
      </c>
      <c r="DC57" s="304" t="n">
        <v>0</v>
      </c>
      <c r="DD57" s="304" t="n">
        <v>0</v>
      </c>
      <c r="DE57" s="304" t="n">
        <v>0</v>
      </c>
      <c r="DF57" s="304" t="n">
        <v>0</v>
      </c>
      <c r="DG57" s="304" t="n">
        <v>0</v>
      </c>
      <c r="DH57" s="304" t="n">
        <v>0</v>
      </c>
      <c r="DI57" s="304" t="n">
        <v>0</v>
      </c>
      <c r="DJ57" s="304" t="n">
        <v>0</v>
      </c>
      <c r="DK57" s="304" t="n">
        <v>0</v>
      </c>
      <c r="DL57" s="304" t="n">
        <v>0</v>
      </c>
      <c r="DM57" s="304" t="n">
        <v>0</v>
      </c>
      <c r="DN57" s="304" t="n">
        <v>0</v>
      </c>
      <c r="DO57" s="304" t="n">
        <v>0</v>
      </c>
      <c r="DP57" s="304" t="n">
        <v>0</v>
      </c>
      <c r="DQ57" s="304" t="n">
        <v>0</v>
      </c>
      <c r="DR57" s="304" t="n">
        <v>0</v>
      </c>
      <c r="DS57" s="304" t="n">
        <v>0</v>
      </c>
      <c r="DT57" s="304" t="n">
        <v>0</v>
      </c>
    </row>
    <row r="58">
      <c r="B58" s="1" t="inlineStr">
        <is>
          <t>(-) Loan Payoff</t>
        </is>
      </c>
      <c r="C58" s="31" t="n"/>
      <c r="D58" s="315" t="n"/>
      <c r="E58" s="206">
        <f>-IF(E$8='Inputs &amp; Summary'!$D$102,INDEX(Am_Sched_Mnthly,MATCH(E$8,Am_Sched_Mnthly_Mnths,0),5),0)</f>
        <v/>
      </c>
      <c r="F58" s="206">
        <f>-IF(F$8='Inputs &amp; Summary'!$D$102,INDEX(Am_Sched_Mnthly,MATCH(F$8,Am_Sched_Mnthly_Mnths,0),5),0)</f>
        <v/>
      </c>
      <c r="G58" s="206">
        <f>-IF(G$8='Inputs &amp; Summary'!$D$102,INDEX(Am_Sched_Mnthly,MATCH(G$8,Am_Sched_Mnthly_Mnths,0),5),0)</f>
        <v/>
      </c>
      <c r="H58" s="206">
        <f>-IF(H$8='Inputs &amp; Summary'!$D$102,INDEX(Am_Sched_Mnthly,MATCH(H$8,Am_Sched_Mnthly_Mnths,0),5),0)</f>
        <v/>
      </c>
      <c r="I58" s="206">
        <f>-IF(I$8='Inputs &amp; Summary'!$D$102,INDEX(Am_Sched_Mnthly,MATCH(I$8,Am_Sched_Mnthly_Mnths,0),5),0)</f>
        <v/>
      </c>
      <c r="J58" s="206">
        <f>-IF(J$8='Inputs &amp; Summary'!$D$102,INDEX(Am_Sched_Mnthly,MATCH(J$8,Am_Sched_Mnthly_Mnths,0),5),0)</f>
        <v/>
      </c>
      <c r="K58" s="206">
        <f>-IF(K$8='Inputs &amp; Summary'!$D$102,INDEX(Am_Sched_Mnthly,MATCH(K$8,Am_Sched_Mnthly_Mnths,0),5),0)</f>
        <v/>
      </c>
      <c r="L58" s="206">
        <f>-IF(L$8='Inputs &amp; Summary'!$D$102,INDEX(Am_Sched_Mnthly,MATCH(L$8,Am_Sched_Mnthly_Mnths,0),5),0)</f>
        <v/>
      </c>
      <c r="M58" s="206">
        <f>-IF(M$8='Inputs &amp; Summary'!$D$102,INDEX(Am_Sched_Mnthly,MATCH(M$8,Am_Sched_Mnthly_Mnths,0),5),0)</f>
        <v/>
      </c>
      <c r="N58" s="206">
        <f>-IF(N$8='Inputs &amp; Summary'!$D$102,INDEX(Am_Sched_Mnthly,MATCH(N$8,Am_Sched_Mnthly_Mnths,0),5),0)</f>
        <v/>
      </c>
      <c r="O58" s="206">
        <f>-IF(O$8='Inputs &amp; Summary'!$D$102,INDEX(Am_Sched_Mnthly,MATCH(O$8,Am_Sched_Mnthly_Mnths,0),5),0)</f>
        <v/>
      </c>
      <c r="P58" s="206">
        <f>-IF(P$8='Inputs &amp; Summary'!$D$102,INDEX(Am_Sched_Mnthly,MATCH(P$8,Am_Sched_Mnthly_Mnths,0),5),0)</f>
        <v/>
      </c>
      <c r="Q58" s="206">
        <f>-IF(Q$8='Inputs &amp; Summary'!$D$102,INDEX(Am_Sched_Mnthly,MATCH(Q$8,Am_Sched_Mnthly_Mnths,0),5),0)</f>
        <v/>
      </c>
      <c r="R58" s="206">
        <f>-IF(R$8='Inputs &amp; Summary'!$D$102,INDEX(Am_Sched_Mnthly,MATCH(R$8,Am_Sched_Mnthly_Mnths,0),5),0)</f>
        <v/>
      </c>
      <c r="S58" s="206">
        <f>-IF(S$8='Inputs &amp; Summary'!$D$102,INDEX(Am_Sched_Mnthly,MATCH(S$8,Am_Sched_Mnthly_Mnths,0),5),0)</f>
        <v/>
      </c>
      <c r="T58" s="206">
        <f>-IF(T$8='Inputs &amp; Summary'!$D$102,INDEX(Am_Sched_Mnthly,MATCH(T$8,Am_Sched_Mnthly_Mnths,0),5),0)</f>
        <v/>
      </c>
      <c r="U58" s="206">
        <f>-IF(U$8='Inputs &amp; Summary'!$D$102,INDEX(Am_Sched_Mnthly,MATCH(U$8,Am_Sched_Mnthly_Mnths,0),5),0)</f>
        <v/>
      </c>
      <c r="V58" s="206">
        <f>-IF(V$8='Inputs &amp; Summary'!$D$102,INDEX(Am_Sched_Mnthly,MATCH(V$8,Am_Sched_Mnthly_Mnths,0),5),0)</f>
        <v/>
      </c>
      <c r="W58" s="206">
        <f>-IF(W$8='Inputs &amp; Summary'!$D$102,INDEX(Am_Sched_Mnthly,MATCH(W$8,Am_Sched_Mnthly_Mnths,0),5),0)</f>
        <v/>
      </c>
      <c r="X58" s="206">
        <f>-IF(X$8='Inputs &amp; Summary'!$D$102,INDEX(Am_Sched_Mnthly,MATCH(X$8,Am_Sched_Mnthly_Mnths,0),5),0)</f>
        <v/>
      </c>
      <c r="Y58" s="206">
        <f>-IF(Y$8='Inputs &amp; Summary'!$D$102,INDEX(Am_Sched_Mnthly,MATCH(Y$8,Am_Sched_Mnthly_Mnths,0),5),0)</f>
        <v/>
      </c>
      <c r="Z58" s="206">
        <f>-IF(Z$8='Inputs &amp; Summary'!$D$102,INDEX(Am_Sched_Mnthly,MATCH(Z$8,Am_Sched_Mnthly_Mnths,0),5),0)</f>
        <v/>
      </c>
      <c r="AA58" s="206">
        <f>-IF(AA$8='Inputs &amp; Summary'!$D$102,INDEX(Am_Sched_Mnthly,MATCH(AA$8,Am_Sched_Mnthly_Mnths,0),5),0)</f>
        <v/>
      </c>
      <c r="AB58" s="206">
        <f>-IF(AB$8='Inputs &amp; Summary'!$D$102,INDEX(Am_Sched_Mnthly,MATCH(AB$8,Am_Sched_Mnthly_Mnths,0),5),0)</f>
        <v/>
      </c>
      <c r="AC58" s="206">
        <f>-IF(AC$8='Inputs &amp; Summary'!$D$102,INDEX(Am_Sched_Mnthly,MATCH(AC$8,Am_Sched_Mnthly_Mnths,0),5),0)</f>
        <v/>
      </c>
      <c r="AD58" s="206">
        <f>-IF(AD$8='Inputs &amp; Summary'!$D$102,INDEX(Am_Sched_Mnthly,MATCH(AD$8,Am_Sched_Mnthly_Mnths,0),5),0)</f>
        <v/>
      </c>
      <c r="AE58" s="206">
        <f>-IF(AE$8='Inputs &amp; Summary'!$D$102,INDEX(Am_Sched_Mnthly,MATCH(AE$8,Am_Sched_Mnthly_Mnths,0),5),0)</f>
        <v/>
      </c>
      <c r="AF58" s="206">
        <f>-IF(AF$8='Inputs &amp; Summary'!$D$102,INDEX(Am_Sched_Mnthly,MATCH(AF$8,Am_Sched_Mnthly_Mnths,0),5),0)</f>
        <v/>
      </c>
      <c r="AG58" s="206">
        <f>-IF(AG$8='Inputs &amp; Summary'!$D$102,INDEX(Am_Sched_Mnthly,MATCH(AG$8,Am_Sched_Mnthly_Mnths,0),5),0)</f>
        <v/>
      </c>
      <c r="AH58" s="206">
        <f>-IF(AH$8='Inputs &amp; Summary'!$D$102,INDEX(Am_Sched_Mnthly,MATCH(AH$8,Am_Sched_Mnthly_Mnths,0),5),0)</f>
        <v/>
      </c>
      <c r="AI58" s="206">
        <f>-IF(AI$8='Inputs &amp; Summary'!$D$102,INDEX(Am_Sched_Mnthly,MATCH(AI$8,Am_Sched_Mnthly_Mnths,0),5),0)</f>
        <v/>
      </c>
      <c r="AJ58" s="206">
        <f>-IF(AJ$8='Inputs &amp; Summary'!$D$102,INDEX(Am_Sched_Mnthly,MATCH(AJ$8,Am_Sched_Mnthly_Mnths,0),5),0)</f>
        <v/>
      </c>
      <c r="AK58" s="206">
        <f>-IF(AK$8='Inputs &amp; Summary'!$D$102,INDEX(Am_Sched_Mnthly,MATCH(AK$8,Am_Sched_Mnthly_Mnths,0),5),0)</f>
        <v/>
      </c>
      <c r="AL58" s="206">
        <f>-IF(AL$8='Inputs &amp; Summary'!$D$102,INDEX(Am_Sched_Mnthly,MATCH(AL$8,Am_Sched_Mnthly_Mnths,0),5),0)</f>
        <v/>
      </c>
      <c r="AM58" s="206">
        <f>-IF(AM$8='Inputs &amp; Summary'!$D$102,INDEX(Am_Sched_Mnthly,MATCH(AM$8,Am_Sched_Mnthly_Mnths,0),5),0)</f>
        <v/>
      </c>
      <c r="AN58" s="206">
        <f>-IF(AN$8='Inputs &amp; Summary'!$D$102,INDEX(Am_Sched_Mnthly,MATCH(AN$8,Am_Sched_Mnthly_Mnths,0),5),0)</f>
        <v/>
      </c>
      <c r="AO58" s="206">
        <f>-IF(AO$8='Inputs &amp; Summary'!$D$102,INDEX(Am_Sched_Mnthly,MATCH(AO$8,Am_Sched_Mnthly_Mnths,0),5),0)</f>
        <v/>
      </c>
      <c r="AP58" s="206">
        <f>-IF(AP$8='Inputs &amp; Summary'!$D$102,INDEX(Am_Sched_Mnthly,MATCH(AP$8,Am_Sched_Mnthly_Mnths,0),5),0)</f>
        <v/>
      </c>
      <c r="AQ58" s="206">
        <f>-IF(AQ$8='Inputs &amp; Summary'!$D$102,INDEX(Am_Sched_Mnthly,MATCH(AQ$8,Am_Sched_Mnthly_Mnths,0),5),0)</f>
        <v/>
      </c>
      <c r="AR58" s="206">
        <f>-IF(AR$8='Inputs &amp; Summary'!$D$102,INDEX(Am_Sched_Mnthly,MATCH(AR$8,Am_Sched_Mnthly_Mnths,0),5),0)</f>
        <v/>
      </c>
      <c r="AS58" s="206">
        <f>-IF(AS$8='Inputs &amp; Summary'!$D$102,INDEX(Am_Sched_Mnthly,MATCH(AS$8,Am_Sched_Mnthly_Mnths,0),5),0)</f>
        <v/>
      </c>
      <c r="AT58" s="206">
        <f>-IF(AT$8='Inputs &amp; Summary'!$D$102,INDEX(Am_Sched_Mnthly,MATCH(AT$8,Am_Sched_Mnthly_Mnths,0),5),0)</f>
        <v/>
      </c>
      <c r="AU58" s="206">
        <f>-IF(AU$8='Inputs &amp; Summary'!$D$102,INDEX(Am_Sched_Mnthly,MATCH(AU$8,Am_Sched_Mnthly_Mnths,0),5),0)</f>
        <v/>
      </c>
      <c r="AV58" s="206">
        <f>-IF(AV$8='Inputs &amp; Summary'!$D$102,INDEX(Am_Sched_Mnthly,MATCH(AV$8,Am_Sched_Mnthly_Mnths,0),5),0)</f>
        <v/>
      </c>
      <c r="AW58" s="206">
        <f>-IF(AW$8='Inputs &amp; Summary'!$D$102,INDEX(Am_Sched_Mnthly,MATCH(AW$8,Am_Sched_Mnthly_Mnths,0),5),0)</f>
        <v/>
      </c>
      <c r="AX58" s="206">
        <f>-IF(AX$8='Inputs &amp; Summary'!$D$102,INDEX(Am_Sched_Mnthly,MATCH(AX$8,Am_Sched_Mnthly_Mnths,0),5),0)</f>
        <v/>
      </c>
      <c r="AY58" s="206">
        <f>-IF(AY$8='Inputs &amp; Summary'!$D$102,INDEX(Am_Sched_Mnthly,MATCH(AY$8,Am_Sched_Mnthly_Mnths,0),5),0)</f>
        <v/>
      </c>
      <c r="AZ58" s="206">
        <f>-IF(AZ$8='Inputs &amp; Summary'!$D$102,INDEX(Am_Sched_Mnthly,MATCH(AZ$8,Am_Sched_Mnthly_Mnths,0),5),0)</f>
        <v/>
      </c>
      <c r="BA58" s="206">
        <f>-IF(BA$8='Inputs &amp; Summary'!$D$102,INDEX(Am_Sched_Mnthly,MATCH(BA$8,Am_Sched_Mnthly_Mnths,0),5),0)</f>
        <v/>
      </c>
      <c r="BB58" s="206">
        <f>-IF(BB$8='Inputs &amp; Summary'!$D$102,INDEX(Am_Sched_Mnthly,MATCH(BB$8,Am_Sched_Mnthly_Mnths,0),5),0)</f>
        <v/>
      </c>
      <c r="BC58" s="206">
        <f>-IF(BC$8='Inputs &amp; Summary'!$D$102,INDEX(Am_Sched_Mnthly,MATCH(BC$8,Am_Sched_Mnthly_Mnths,0),5),0)</f>
        <v/>
      </c>
      <c r="BD58" s="206">
        <f>-IF(BD$8='Inputs &amp; Summary'!$D$102,INDEX(Am_Sched_Mnthly,MATCH(BD$8,Am_Sched_Mnthly_Mnths,0),5),0)</f>
        <v/>
      </c>
      <c r="BE58" s="206">
        <f>-IF(BE$8='Inputs &amp; Summary'!$D$102,INDEX(Am_Sched_Mnthly,MATCH(BE$8,Am_Sched_Mnthly_Mnths,0),5),0)</f>
        <v/>
      </c>
      <c r="BF58" s="206">
        <f>-IF(BF$8='Inputs &amp; Summary'!$D$102,INDEX(Am_Sched_Mnthly,MATCH(BF$8,Am_Sched_Mnthly_Mnths,0),5),0)</f>
        <v/>
      </c>
      <c r="BG58" s="206">
        <f>-IF(BG$8='Inputs &amp; Summary'!$D$102,INDEX(Am_Sched_Mnthly,MATCH(BG$8,Am_Sched_Mnthly_Mnths,0),5),0)</f>
        <v/>
      </c>
      <c r="BH58" s="206">
        <f>-IF(BH$8='Inputs &amp; Summary'!$D$102,INDEX(Am_Sched_Mnthly,MATCH(BH$8,Am_Sched_Mnthly_Mnths,0),5),0)</f>
        <v/>
      </c>
      <c r="BI58" s="206">
        <f>-IF(BI$8='Inputs &amp; Summary'!$D$102,INDEX(Am_Sched_Mnthly,MATCH(BI$8,Am_Sched_Mnthly_Mnths,0),5),0)</f>
        <v/>
      </c>
      <c r="BJ58" s="206">
        <f>-IF(BJ$8='Inputs &amp; Summary'!$D$102,INDEX(Am_Sched_Mnthly,MATCH(BJ$8,Am_Sched_Mnthly_Mnths,0),5),0)</f>
        <v/>
      </c>
      <c r="BK58" s="206">
        <f>-IF(BK$8='Inputs &amp; Summary'!$D$102,INDEX(Am_Sched_Mnthly,MATCH(BK$8,Am_Sched_Mnthly_Mnths,0),5),0)</f>
        <v/>
      </c>
      <c r="BL58" s="206">
        <f>-IF(BL$8='Inputs &amp; Summary'!$D$102,INDEX(Am_Sched_Mnthly,MATCH(BL$8,Am_Sched_Mnthly_Mnths,0),5),0)</f>
        <v/>
      </c>
      <c r="BM58" s="206">
        <f>-IF(BM$8='Inputs &amp; Summary'!$D$102,INDEX(Am_Sched_Mnthly,MATCH(BM$8,Am_Sched_Mnthly_Mnths,0),5),0)</f>
        <v/>
      </c>
      <c r="BN58" s="206">
        <f>-IF(BN$8='Inputs &amp; Summary'!$D$102,INDEX(Am_Sched_Mnthly,MATCH(BN$8,Am_Sched_Mnthly_Mnths,0),5),0)</f>
        <v/>
      </c>
      <c r="BO58" s="206">
        <f>-IF(BO$8='Inputs &amp; Summary'!$D$102,INDEX(Am_Sched_Mnthly,MATCH(BO$8,Am_Sched_Mnthly_Mnths,0),5),0)</f>
        <v/>
      </c>
      <c r="BP58" s="206">
        <f>-IF(BP$8='Inputs &amp; Summary'!$D$102,INDEX(Am_Sched_Mnthly,MATCH(BP$8,Am_Sched_Mnthly_Mnths,0),5),0)</f>
        <v/>
      </c>
      <c r="BQ58" s="206">
        <f>-IF(BQ$8='Inputs &amp; Summary'!$D$102,INDEX(Am_Sched_Mnthly,MATCH(BQ$8,Am_Sched_Mnthly_Mnths,0),5),0)</f>
        <v/>
      </c>
      <c r="BR58" s="206">
        <f>-IF(BR$8='Inputs &amp; Summary'!$D$102,INDEX(Am_Sched_Mnthly,MATCH(BR$8,Am_Sched_Mnthly_Mnths,0),5),0)</f>
        <v/>
      </c>
      <c r="BS58" s="206">
        <f>-IF(BS$8='Inputs &amp; Summary'!$D$102,INDEX(Am_Sched_Mnthly,MATCH(BS$8,Am_Sched_Mnthly_Mnths,0),5),0)</f>
        <v/>
      </c>
      <c r="BT58" s="206">
        <f>-IF(BT$8='Inputs &amp; Summary'!$D$102,INDEX(Am_Sched_Mnthly,MATCH(BT$8,Am_Sched_Mnthly_Mnths,0),5),0)</f>
        <v/>
      </c>
      <c r="BU58" s="206">
        <f>-IF(BU$8='Inputs &amp; Summary'!$D$102,INDEX(Am_Sched_Mnthly,MATCH(BU$8,Am_Sched_Mnthly_Mnths,0),5),0)</f>
        <v/>
      </c>
      <c r="BV58" s="206">
        <f>-IF(BV$8='Inputs &amp; Summary'!$D$102,INDEX(Am_Sched_Mnthly,MATCH(BV$8,Am_Sched_Mnthly_Mnths,0),5),0)</f>
        <v/>
      </c>
      <c r="BW58" s="206">
        <f>-IF(BW$8='Inputs &amp; Summary'!$D$102,INDEX(Am_Sched_Mnthly,MATCH(BW$8,Am_Sched_Mnthly_Mnths,0),5),0)</f>
        <v/>
      </c>
      <c r="BX58" s="206">
        <f>-IF(BX$8='Inputs &amp; Summary'!$D$102,INDEX(Am_Sched_Mnthly,MATCH(BX$8,Am_Sched_Mnthly_Mnths,0),5),0)</f>
        <v/>
      </c>
      <c r="BY58" s="206">
        <f>-IF(BY$8='Inputs &amp; Summary'!$D$102,INDEX(Am_Sched_Mnthly,MATCH(BY$8,Am_Sched_Mnthly_Mnths,0),5),0)</f>
        <v/>
      </c>
      <c r="BZ58" s="206">
        <f>-IF(BZ$8='Inputs &amp; Summary'!$D$102,INDEX(Am_Sched_Mnthly,MATCH(BZ$8,Am_Sched_Mnthly_Mnths,0),5),0)</f>
        <v/>
      </c>
      <c r="CA58" s="206">
        <f>-IF(CA$8='Inputs &amp; Summary'!$D$102,INDEX(Am_Sched_Mnthly,MATCH(CA$8,Am_Sched_Mnthly_Mnths,0),5),0)</f>
        <v/>
      </c>
      <c r="CB58" s="206">
        <f>-IF(CB$8='Inputs &amp; Summary'!$D$102,INDEX(Am_Sched_Mnthly,MATCH(CB$8,Am_Sched_Mnthly_Mnths,0),5),0)</f>
        <v/>
      </c>
      <c r="CC58" s="206">
        <f>-IF(CC$8='Inputs &amp; Summary'!$D$102,INDEX(Am_Sched_Mnthly,MATCH(CC$8,Am_Sched_Mnthly_Mnths,0),5),0)</f>
        <v/>
      </c>
      <c r="CD58" s="206">
        <f>-IF(CD$8='Inputs &amp; Summary'!$D$102,INDEX(Am_Sched_Mnthly,MATCH(CD$8,Am_Sched_Mnthly_Mnths,0),5),0)</f>
        <v/>
      </c>
      <c r="CE58" s="206">
        <f>-IF(CE$8='Inputs &amp; Summary'!$D$102,INDEX(Am_Sched_Mnthly,MATCH(CE$8,Am_Sched_Mnthly_Mnths,0),5),0)</f>
        <v/>
      </c>
      <c r="CF58" s="206">
        <f>-IF(CF$8='Inputs &amp; Summary'!$D$102,INDEX(Am_Sched_Mnthly,MATCH(CF$8,Am_Sched_Mnthly_Mnths,0),5),0)</f>
        <v/>
      </c>
      <c r="CG58" s="206">
        <f>-IF(CG$8='Inputs &amp; Summary'!$D$102,INDEX(Am_Sched_Mnthly,MATCH(CG$8,Am_Sched_Mnthly_Mnths,0),5),0)</f>
        <v/>
      </c>
      <c r="CH58" s="206">
        <f>-IF(CH$8='Inputs &amp; Summary'!$D$102,INDEX(Am_Sched_Mnthly,MATCH(CH$8,Am_Sched_Mnthly_Mnths,0),5),0)</f>
        <v/>
      </c>
      <c r="CI58" s="206">
        <f>-IF(CI$8='Inputs &amp; Summary'!$D$102,INDEX(Am_Sched_Mnthly,MATCH(CI$8,Am_Sched_Mnthly_Mnths,0),5),0)</f>
        <v/>
      </c>
      <c r="CJ58" s="206">
        <f>-IF(CJ$8='Inputs &amp; Summary'!$D$102,INDEX(Am_Sched_Mnthly,MATCH(CJ$8,Am_Sched_Mnthly_Mnths,0),5),0)</f>
        <v/>
      </c>
      <c r="CK58" s="206">
        <f>-IF(CK$8='Inputs &amp; Summary'!$D$102,INDEX(Am_Sched_Mnthly,MATCH(CK$8,Am_Sched_Mnthly_Mnths,0),5),0)</f>
        <v/>
      </c>
      <c r="CL58" s="206">
        <f>-IF(CL$8='Inputs &amp; Summary'!$D$102,INDEX(Am_Sched_Mnthly,MATCH(CL$8,Am_Sched_Mnthly_Mnths,0),5),0)</f>
        <v/>
      </c>
      <c r="CM58" s="206">
        <f>-IF(CM$8='Inputs &amp; Summary'!$D$102,INDEX(Am_Sched_Mnthly,MATCH(CM$8,Am_Sched_Mnthly_Mnths,0),5),0)</f>
        <v/>
      </c>
      <c r="CN58" s="206">
        <f>-IF(CN$8='Inputs &amp; Summary'!$D$102,INDEX(Am_Sched_Mnthly,MATCH(CN$8,Am_Sched_Mnthly_Mnths,0),5),0)</f>
        <v/>
      </c>
      <c r="CO58" s="206">
        <f>-IF(CO$8='Inputs &amp; Summary'!$D$102,INDEX(Am_Sched_Mnthly,MATCH(CO$8,Am_Sched_Mnthly_Mnths,0),5),0)</f>
        <v/>
      </c>
      <c r="CP58" s="206">
        <f>-IF(CP$8='Inputs &amp; Summary'!$D$102,INDEX(Am_Sched_Mnthly,MATCH(CP$8,Am_Sched_Mnthly_Mnths,0),5),0)</f>
        <v/>
      </c>
      <c r="CQ58" s="206">
        <f>-IF(CQ$8='Inputs &amp; Summary'!$D$102,INDEX(Am_Sched_Mnthly,MATCH(CQ$8,Am_Sched_Mnthly_Mnths,0),5),0)</f>
        <v/>
      </c>
      <c r="CR58" s="206">
        <f>-IF(CR$8='Inputs &amp; Summary'!$D$102,INDEX(Am_Sched_Mnthly,MATCH(CR$8,Am_Sched_Mnthly_Mnths,0),5),0)</f>
        <v/>
      </c>
      <c r="CS58" s="206">
        <f>-IF(CS$8='Inputs &amp; Summary'!$D$102,INDEX(Am_Sched_Mnthly,MATCH(CS$8,Am_Sched_Mnthly_Mnths,0),5),0)</f>
        <v/>
      </c>
      <c r="CT58" s="206">
        <f>-IF(CT$8='Inputs &amp; Summary'!$D$102,INDEX(Am_Sched_Mnthly,MATCH(CT$8,Am_Sched_Mnthly_Mnths,0),5),0)</f>
        <v/>
      </c>
      <c r="CU58" s="206">
        <f>-IF(CU$8='Inputs &amp; Summary'!$D$102,INDEX(Am_Sched_Mnthly,MATCH(CU$8,Am_Sched_Mnthly_Mnths,0),5),0)</f>
        <v/>
      </c>
      <c r="CV58" s="206">
        <f>-IF(CV$8='Inputs &amp; Summary'!$D$102,INDEX(Am_Sched_Mnthly,MATCH(CV$8,Am_Sched_Mnthly_Mnths,0),5),0)</f>
        <v/>
      </c>
      <c r="CW58" s="206">
        <f>-IF(CW$8='Inputs &amp; Summary'!$D$102,INDEX(Am_Sched_Mnthly,MATCH(CW$8,Am_Sched_Mnthly_Mnths,0),5),0)</f>
        <v/>
      </c>
      <c r="CX58" s="206">
        <f>-IF(CX$8='Inputs &amp; Summary'!$D$102,INDEX(Am_Sched_Mnthly,MATCH(CX$8,Am_Sched_Mnthly_Mnths,0),5),0)</f>
        <v/>
      </c>
      <c r="CY58" s="206">
        <f>-IF(CY$8='Inputs &amp; Summary'!$D$102,INDEX(Am_Sched_Mnthly,MATCH(CY$8,Am_Sched_Mnthly_Mnths,0),5),0)</f>
        <v/>
      </c>
      <c r="CZ58" s="206">
        <f>-IF(CZ$8='Inputs &amp; Summary'!$D$102,INDEX(Am_Sched_Mnthly,MATCH(CZ$8,Am_Sched_Mnthly_Mnths,0),5),0)</f>
        <v/>
      </c>
      <c r="DA58" s="206">
        <f>-IF(DA$8='Inputs &amp; Summary'!$D$102,INDEX(Am_Sched_Mnthly,MATCH(DA$8,Am_Sched_Mnthly_Mnths,0),5),0)</f>
        <v/>
      </c>
      <c r="DB58" s="206">
        <f>-IF(DB$8='Inputs &amp; Summary'!$D$102,INDEX(Am_Sched_Mnthly,MATCH(DB$8,Am_Sched_Mnthly_Mnths,0),5),0)</f>
        <v/>
      </c>
      <c r="DC58" s="206">
        <f>-IF(DC$8='Inputs &amp; Summary'!$D$102,INDEX(Am_Sched_Mnthly,MATCH(DC$8,Am_Sched_Mnthly_Mnths,0),5),0)</f>
        <v/>
      </c>
      <c r="DD58" s="206">
        <f>-IF(DD$8='Inputs &amp; Summary'!$D$102,INDEX(Am_Sched_Mnthly,MATCH(DD$8,Am_Sched_Mnthly_Mnths,0),5),0)</f>
        <v/>
      </c>
      <c r="DE58" s="206">
        <f>-IF(DE$8='Inputs &amp; Summary'!$D$102,INDEX(Am_Sched_Mnthly,MATCH(DE$8,Am_Sched_Mnthly_Mnths,0),5),0)</f>
        <v/>
      </c>
      <c r="DF58" s="206">
        <f>-IF(DF$8='Inputs &amp; Summary'!$D$102,INDEX(Am_Sched_Mnthly,MATCH(DF$8,Am_Sched_Mnthly_Mnths,0),5),0)</f>
        <v/>
      </c>
      <c r="DG58" s="206">
        <f>-IF(DG$8='Inputs &amp; Summary'!$D$102,INDEX(Am_Sched_Mnthly,MATCH(DG$8,Am_Sched_Mnthly_Mnths,0),5),0)</f>
        <v/>
      </c>
      <c r="DH58" s="206">
        <f>-IF(DH$8='Inputs &amp; Summary'!$D$102,INDEX(Am_Sched_Mnthly,MATCH(DH$8,Am_Sched_Mnthly_Mnths,0),5),0)</f>
        <v/>
      </c>
      <c r="DI58" s="206">
        <f>-IF(DI$8='Inputs &amp; Summary'!$D$102,INDEX(Am_Sched_Mnthly,MATCH(DI$8,Am_Sched_Mnthly_Mnths,0),5),0)</f>
        <v/>
      </c>
      <c r="DJ58" s="206">
        <f>-IF(DJ$8='Inputs &amp; Summary'!$D$102,INDEX(Am_Sched_Mnthly,MATCH(DJ$8,Am_Sched_Mnthly_Mnths,0),5),0)</f>
        <v/>
      </c>
      <c r="DK58" s="206">
        <f>-IF(DK$8='Inputs &amp; Summary'!$D$102,INDEX(Am_Sched_Mnthly,MATCH(DK$8,Am_Sched_Mnthly_Mnths,0),5),0)</f>
        <v/>
      </c>
      <c r="DL58" s="206">
        <f>-IF(DL$8='Inputs &amp; Summary'!$D$102,INDEX(Am_Sched_Mnthly,MATCH(DL$8,Am_Sched_Mnthly_Mnths,0),5),0)</f>
        <v/>
      </c>
      <c r="DM58" s="206">
        <f>-IF(DM$8='Inputs &amp; Summary'!$D$102,INDEX(Am_Sched_Mnthly,MATCH(DM$8,Am_Sched_Mnthly_Mnths,0),5),0)</f>
        <v/>
      </c>
      <c r="DN58" s="206">
        <f>-IF(DN$8='Inputs &amp; Summary'!$D$102,INDEX(Am_Sched_Mnthly,MATCH(DN$8,Am_Sched_Mnthly_Mnths,0),5),0)</f>
        <v/>
      </c>
      <c r="DO58" s="206">
        <f>-IF(DO$8='Inputs &amp; Summary'!$D$102,INDEX(Am_Sched_Mnthly,MATCH(DO$8,Am_Sched_Mnthly_Mnths,0),5),0)</f>
        <v/>
      </c>
      <c r="DP58" s="206">
        <f>-IF(DP$8='Inputs &amp; Summary'!$D$102,INDEX(Am_Sched_Mnthly,MATCH(DP$8,Am_Sched_Mnthly_Mnths,0),5),0)</f>
        <v/>
      </c>
      <c r="DQ58" s="206">
        <f>-IF(DQ$8='Inputs &amp; Summary'!$D$102,INDEX(Am_Sched_Mnthly,MATCH(DQ$8,Am_Sched_Mnthly_Mnths,0),5),0)</f>
        <v/>
      </c>
      <c r="DR58" s="206">
        <f>-IF(DR$8='Inputs &amp; Summary'!$D$102,INDEX(Am_Sched_Mnthly,MATCH(DR$8,Am_Sched_Mnthly_Mnths,0),5),0)</f>
        <v/>
      </c>
      <c r="DS58" s="206">
        <f>-IF(DS$8='Inputs &amp; Summary'!$D$102,INDEX(Am_Sched_Mnthly,MATCH(DS$8,Am_Sched_Mnthly_Mnths,0),5),0)</f>
        <v/>
      </c>
      <c r="DT58" s="206">
        <f>-IF(DT$8='Inputs &amp; Summary'!$D$102,INDEX(Am_Sched_Mnthly,MATCH(DT$8,Am_Sched_Mnthly_Mnths,0),5),0)</f>
        <v/>
      </c>
    </row>
    <row r="59">
      <c r="B59" s="1" t="inlineStr">
        <is>
          <t>(+) Gross Sales Proceeds</t>
        </is>
      </c>
      <c r="C59" s="31" t="n"/>
      <c r="D59" s="31" t="n"/>
      <c r="E59" s="206">
        <f>E39</f>
        <v/>
      </c>
      <c r="F59" s="206">
        <f>F39</f>
        <v/>
      </c>
      <c r="G59" s="206">
        <f>G39</f>
        <v/>
      </c>
      <c r="H59" s="206">
        <f>H39</f>
        <v/>
      </c>
      <c r="I59" s="206">
        <f>I39</f>
        <v/>
      </c>
      <c r="J59" s="206">
        <f>J39</f>
        <v/>
      </c>
      <c r="K59" s="206">
        <f>K39</f>
        <v/>
      </c>
      <c r="L59" s="206">
        <f>L39</f>
        <v/>
      </c>
      <c r="M59" s="206">
        <f>M39</f>
        <v/>
      </c>
      <c r="N59" s="206">
        <f>N39</f>
        <v/>
      </c>
      <c r="O59" s="206">
        <f>O39</f>
        <v/>
      </c>
      <c r="P59" s="206">
        <f>P39</f>
        <v/>
      </c>
      <c r="Q59" s="206">
        <f>Q39</f>
        <v/>
      </c>
      <c r="R59" s="206">
        <f>R39</f>
        <v/>
      </c>
      <c r="S59" s="206">
        <f>S39</f>
        <v/>
      </c>
      <c r="T59" s="206">
        <f>T39</f>
        <v/>
      </c>
      <c r="U59" s="206">
        <f>U39</f>
        <v/>
      </c>
      <c r="V59" s="206">
        <f>V39</f>
        <v/>
      </c>
      <c r="W59" s="206">
        <f>W39</f>
        <v/>
      </c>
      <c r="X59" s="206">
        <f>X39</f>
        <v/>
      </c>
      <c r="Y59" s="206">
        <f>Y39</f>
        <v/>
      </c>
      <c r="Z59" s="206">
        <f>Z39</f>
        <v/>
      </c>
      <c r="AA59" s="206">
        <f>AA39</f>
        <v/>
      </c>
      <c r="AB59" s="206">
        <f>AB39</f>
        <v/>
      </c>
      <c r="AC59" s="206">
        <f>AC39</f>
        <v/>
      </c>
      <c r="AD59" s="206">
        <f>AD39</f>
        <v/>
      </c>
      <c r="AE59" s="206">
        <f>AE39</f>
        <v/>
      </c>
      <c r="AF59" s="206">
        <f>AF39</f>
        <v/>
      </c>
      <c r="AG59" s="206">
        <f>AG39</f>
        <v/>
      </c>
      <c r="AH59" s="206">
        <f>AH39</f>
        <v/>
      </c>
      <c r="AI59" s="206">
        <f>AI39</f>
        <v/>
      </c>
      <c r="AJ59" s="206">
        <f>AJ39</f>
        <v/>
      </c>
      <c r="AK59" s="206">
        <f>AK39</f>
        <v/>
      </c>
      <c r="AL59" s="206">
        <f>AL39</f>
        <v/>
      </c>
      <c r="AM59" s="206">
        <f>AM39</f>
        <v/>
      </c>
      <c r="AN59" s="206">
        <f>AN39</f>
        <v/>
      </c>
      <c r="AO59" s="206">
        <f>AO39</f>
        <v/>
      </c>
      <c r="AP59" s="206">
        <f>AP39</f>
        <v/>
      </c>
      <c r="AQ59" s="206">
        <f>AQ39</f>
        <v/>
      </c>
      <c r="AR59" s="206">
        <f>AR39</f>
        <v/>
      </c>
      <c r="AS59" s="206">
        <f>AS39</f>
        <v/>
      </c>
      <c r="AT59" s="206">
        <f>AT39</f>
        <v/>
      </c>
      <c r="AU59" s="206">
        <f>AU39</f>
        <v/>
      </c>
      <c r="AV59" s="206">
        <f>AV39</f>
        <v/>
      </c>
      <c r="AW59" s="206">
        <f>AW39</f>
        <v/>
      </c>
      <c r="AX59" s="206">
        <f>AX39</f>
        <v/>
      </c>
      <c r="AY59" s="206">
        <f>AY39</f>
        <v/>
      </c>
      <c r="AZ59" s="206">
        <f>AZ39</f>
        <v/>
      </c>
      <c r="BA59" s="206">
        <f>BA39</f>
        <v/>
      </c>
      <c r="BB59" s="206">
        <f>BB39</f>
        <v/>
      </c>
      <c r="BC59" s="206">
        <f>BC39</f>
        <v/>
      </c>
      <c r="BD59" s="206">
        <f>BD39</f>
        <v/>
      </c>
      <c r="BE59" s="206">
        <f>BE39</f>
        <v/>
      </c>
      <c r="BF59" s="206">
        <f>BF39</f>
        <v/>
      </c>
      <c r="BG59" s="206">
        <f>BG39</f>
        <v/>
      </c>
      <c r="BH59" s="206">
        <f>BH39</f>
        <v/>
      </c>
      <c r="BI59" s="206">
        <f>BI39</f>
        <v/>
      </c>
      <c r="BJ59" s="206">
        <f>BJ39</f>
        <v/>
      </c>
      <c r="BK59" s="206">
        <f>BK39</f>
        <v/>
      </c>
      <c r="BL59" s="206">
        <f>BL39</f>
        <v/>
      </c>
      <c r="BM59" s="206">
        <f>BM39</f>
        <v/>
      </c>
      <c r="BN59" s="206">
        <f>BN39</f>
        <v/>
      </c>
      <c r="BO59" s="206">
        <f>BO39</f>
        <v/>
      </c>
      <c r="BP59" s="206">
        <f>BP39</f>
        <v/>
      </c>
      <c r="BQ59" s="206">
        <f>BQ39</f>
        <v/>
      </c>
      <c r="BR59" s="206">
        <f>BR39</f>
        <v/>
      </c>
      <c r="BS59" s="206">
        <f>BS39</f>
        <v/>
      </c>
      <c r="BT59" s="206">
        <f>BT39</f>
        <v/>
      </c>
      <c r="BU59" s="206">
        <f>BU39</f>
        <v/>
      </c>
      <c r="BV59" s="206">
        <f>BV39</f>
        <v/>
      </c>
      <c r="BW59" s="206">
        <f>BW39</f>
        <v/>
      </c>
      <c r="BX59" s="206">
        <f>BX39</f>
        <v/>
      </c>
      <c r="BY59" s="206">
        <f>BY39</f>
        <v/>
      </c>
      <c r="BZ59" s="206">
        <f>BZ39</f>
        <v/>
      </c>
      <c r="CA59" s="206">
        <f>CA39</f>
        <v/>
      </c>
      <c r="CB59" s="206">
        <f>CB39</f>
        <v/>
      </c>
      <c r="CC59" s="206">
        <f>CC39</f>
        <v/>
      </c>
      <c r="CD59" s="206">
        <f>CD39</f>
        <v/>
      </c>
      <c r="CE59" s="206">
        <f>CE39</f>
        <v/>
      </c>
      <c r="CF59" s="206">
        <f>CF39</f>
        <v/>
      </c>
      <c r="CG59" s="206">
        <f>CG39</f>
        <v/>
      </c>
      <c r="CH59" s="206">
        <f>CH39</f>
        <v/>
      </c>
      <c r="CI59" s="206">
        <f>CI39</f>
        <v/>
      </c>
      <c r="CJ59" s="206">
        <f>CJ39</f>
        <v/>
      </c>
      <c r="CK59" s="206">
        <f>CK39</f>
        <v/>
      </c>
      <c r="CL59" s="206">
        <f>CL39</f>
        <v/>
      </c>
      <c r="CM59" s="206">
        <f>CM39</f>
        <v/>
      </c>
      <c r="CN59" s="206">
        <f>CN39</f>
        <v/>
      </c>
      <c r="CO59" s="206">
        <f>CO39</f>
        <v/>
      </c>
      <c r="CP59" s="206">
        <f>CP39</f>
        <v/>
      </c>
      <c r="CQ59" s="206">
        <f>CQ39</f>
        <v/>
      </c>
      <c r="CR59" s="206">
        <f>CR39</f>
        <v/>
      </c>
      <c r="CS59" s="206">
        <f>CS39</f>
        <v/>
      </c>
      <c r="CT59" s="206">
        <f>CT39</f>
        <v/>
      </c>
      <c r="CU59" s="206">
        <f>CU39</f>
        <v/>
      </c>
      <c r="CV59" s="206">
        <f>CV39</f>
        <v/>
      </c>
      <c r="CW59" s="206">
        <f>CW39</f>
        <v/>
      </c>
      <c r="CX59" s="206">
        <f>CX39</f>
        <v/>
      </c>
      <c r="CY59" s="206">
        <f>CY39</f>
        <v/>
      </c>
      <c r="CZ59" s="206">
        <f>CZ39</f>
        <v/>
      </c>
      <c r="DA59" s="206">
        <f>DA39</f>
        <v/>
      </c>
      <c r="DB59" s="206">
        <f>DB39</f>
        <v/>
      </c>
      <c r="DC59" s="206">
        <f>DC39</f>
        <v/>
      </c>
      <c r="DD59" s="206">
        <f>DD39</f>
        <v/>
      </c>
      <c r="DE59" s="206">
        <f>DE39</f>
        <v/>
      </c>
      <c r="DF59" s="206">
        <f>DF39</f>
        <v/>
      </c>
      <c r="DG59" s="206">
        <f>DG39</f>
        <v/>
      </c>
      <c r="DH59" s="206">
        <f>DH39</f>
        <v/>
      </c>
      <c r="DI59" s="206">
        <f>DI39</f>
        <v/>
      </c>
      <c r="DJ59" s="206">
        <f>DJ39</f>
        <v/>
      </c>
      <c r="DK59" s="206">
        <f>DK39</f>
        <v/>
      </c>
      <c r="DL59" s="206">
        <f>DL39</f>
        <v/>
      </c>
      <c r="DM59" s="206">
        <f>DM39</f>
        <v/>
      </c>
      <c r="DN59" s="206">
        <f>DN39</f>
        <v/>
      </c>
      <c r="DO59" s="206">
        <f>DO39</f>
        <v/>
      </c>
      <c r="DP59" s="206">
        <f>DP39</f>
        <v/>
      </c>
      <c r="DQ59" s="206">
        <f>DQ39</f>
        <v/>
      </c>
      <c r="DR59" s="206">
        <f>DR39</f>
        <v/>
      </c>
      <c r="DS59" s="206">
        <f>DS39</f>
        <v/>
      </c>
      <c r="DT59" s="206">
        <f>DT39</f>
        <v/>
      </c>
    </row>
    <row r="60">
      <c r="B60" s="8" t="inlineStr">
        <is>
          <t>(-) Sale Costs</t>
        </is>
      </c>
      <c r="C60" s="32" t="n"/>
      <c r="D60" s="32" t="n"/>
      <c r="E60" s="298">
        <f>E40</f>
        <v/>
      </c>
      <c r="F60" s="298">
        <f>F40</f>
        <v/>
      </c>
      <c r="G60" s="298">
        <f>G40</f>
        <v/>
      </c>
      <c r="H60" s="298">
        <f>H40</f>
        <v/>
      </c>
      <c r="I60" s="298">
        <f>I40</f>
        <v/>
      </c>
      <c r="J60" s="298">
        <f>J40</f>
        <v/>
      </c>
      <c r="K60" s="298">
        <f>K40</f>
        <v/>
      </c>
      <c r="L60" s="298">
        <f>L40</f>
        <v/>
      </c>
      <c r="M60" s="298">
        <f>M40</f>
        <v/>
      </c>
      <c r="N60" s="298">
        <f>N40</f>
        <v/>
      </c>
      <c r="O60" s="298">
        <f>O40</f>
        <v/>
      </c>
      <c r="P60" s="298">
        <f>P40</f>
        <v/>
      </c>
      <c r="Q60" s="298">
        <f>Q40</f>
        <v/>
      </c>
      <c r="R60" s="298">
        <f>R40</f>
        <v/>
      </c>
      <c r="S60" s="298">
        <f>S40</f>
        <v/>
      </c>
      <c r="T60" s="298">
        <f>T40</f>
        <v/>
      </c>
      <c r="U60" s="298">
        <f>U40</f>
        <v/>
      </c>
      <c r="V60" s="298">
        <f>V40</f>
        <v/>
      </c>
      <c r="W60" s="298">
        <f>W40</f>
        <v/>
      </c>
      <c r="X60" s="298">
        <f>X40</f>
        <v/>
      </c>
      <c r="Y60" s="298">
        <f>Y40</f>
        <v/>
      </c>
      <c r="Z60" s="298">
        <f>Z40</f>
        <v/>
      </c>
      <c r="AA60" s="298">
        <f>AA40</f>
        <v/>
      </c>
      <c r="AB60" s="298">
        <f>AB40</f>
        <v/>
      </c>
      <c r="AC60" s="298">
        <f>AC40</f>
        <v/>
      </c>
      <c r="AD60" s="298">
        <f>AD40</f>
        <v/>
      </c>
      <c r="AE60" s="298">
        <f>AE40</f>
        <v/>
      </c>
      <c r="AF60" s="298">
        <f>AF40</f>
        <v/>
      </c>
      <c r="AG60" s="298">
        <f>AG40</f>
        <v/>
      </c>
      <c r="AH60" s="298">
        <f>AH40</f>
        <v/>
      </c>
      <c r="AI60" s="298">
        <f>AI40</f>
        <v/>
      </c>
      <c r="AJ60" s="298">
        <f>AJ40</f>
        <v/>
      </c>
      <c r="AK60" s="298">
        <f>AK40</f>
        <v/>
      </c>
      <c r="AL60" s="298">
        <f>AL40</f>
        <v/>
      </c>
      <c r="AM60" s="298">
        <f>AM40</f>
        <v/>
      </c>
      <c r="AN60" s="298">
        <f>AN40</f>
        <v/>
      </c>
      <c r="AO60" s="298">
        <f>AO40</f>
        <v/>
      </c>
      <c r="AP60" s="298">
        <f>AP40</f>
        <v/>
      </c>
      <c r="AQ60" s="298">
        <f>AQ40</f>
        <v/>
      </c>
      <c r="AR60" s="298">
        <f>AR40</f>
        <v/>
      </c>
      <c r="AS60" s="298">
        <f>AS40</f>
        <v/>
      </c>
      <c r="AT60" s="298">
        <f>AT40</f>
        <v/>
      </c>
      <c r="AU60" s="298">
        <f>AU40</f>
        <v/>
      </c>
      <c r="AV60" s="298">
        <f>AV40</f>
        <v/>
      </c>
      <c r="AW60" s="298">
        <f>AW40</f>
        <v/>
      </c>
      <c r="AX60" s="298">
        <f>AX40</f>
        <v/>
      </c>
      <c r="AY60" s="298">
        <f>AY40</f>
        <v/>
      </c>
      <c r="AZ60" s="298">
        <f>AZ40</f>
        <v/>
      </c>
      <c r="BA60" s="298">
        <f>BA40</f>
        <v/>
      </c>
      <c r="BB60" s="298">
        <f>BB40</f>
        <v/>
      </c>
      <c r="BC60" s="298">
        <f>BC40</f>
        <v/>
      </c>
      <c r="BD60" s="298">
        <f>BD40</f>
        <v/>
      </c>
      <c r="BE60" s="298">
        <f>BE40</f>
        <v/>
      </c>
      <c r="BF60" s="298">
        <f>BF40</f>
        <v/>
      </c>
      <c r="BG60" s="298">
        <f>BG40</f>
        <v/>
      </c>
      <c r="BH60" s="298">
        <f>BH40</f>
        <v/>
      </c>
      <c r="BI60" s="298">
        <f>BI40</f>
        <v/>
      </c>
      <c r="BJ60" s="298">
        <f>BJ40</f>
        <v/>
      </c>
      <c r="BK60" s="298">
        <f>BK40</f>
        <v/>
      </c>
      <c r="BL60" s="298">
        <f>BL40</f>
        <v/>
      </c>
      <c r="BM60" s="298">
        <f>BM40</f>
        <v/>
      </c>
      <c r="BN60" s="298">
        <f>BN40</f>
        <v/>
      </c>
      <c r="BO60" s="298">
        <f>BO40</f>
        <v/>
      </c>
      <c r="BP60" s="298">
        <f>BP40</f>
        <v/>
      </c>
      <c r="BQ60" s="298">
        <f>BQ40</f>
        <v/>
      </c>
      <c r="BR60" s="298">
        <f>BR40</f>
        <v/>
      </c>
      <c r="BS60" s="298">
        <f>BS40</f>
        <v/>
      </c>
      <c r="BT60" s="298">
        <f>BT40</f>
        <v/>
      </c>
      <c r="BU60" s="298">
        <f>BU40</f>
        <v/>
      </c>
      <c r="BV60" s="298">
        <f>BV40</f>
        <v/>
      </c>
      <c r="BW60" s="298">
        <f>BW40</f>
        <v/>
      </c>
      <c r="BX60" s="298">
        <f>BX40</f>
        <v/>
      </c>
      <c r="BY60" s="298">
        <f>BY40</f>
        <v/>
      </c>
      <c r="BZ60" s="298">
        <f>BZ40</f>
        <v/>
      </c>
      <c r="CA60" s="298">
        <f>CA40</f>
        <v/>
      </c>
      <c r="CB60" s="298">
        <f>CB40</f>
        <v/>
      </c>
      <c r="CC60" s="298">
        <f>CC40</f>
        <v/>
      </c>
      <c r="CD60" s="298">
        <f>CD40</f>
        <v/>
      </c>
      <c r="CE60" s="298">
        <f>CE40</f>
        <v/>
      </c>
      <c r="CF60" s="298">
        <f>CF40</f>
        <v/>
      </c>
      <c r="CG60" s="298">
        <f>CG40</f>
        <v/>
      </c>
      <c r="CH60" s="298">
        <f>CH40</f>
        <v/>
      </c>
      <c r="CI60" s="298">
        <f>CI40</f>
        <v/>
      </c>
      <c r="CJ60" s="298">
        <f>CJ40</f>
        <v/>
      </c>
      <c r="CK60" s="298">
        <f>CK40</f>
        <v/>
      </c>
      <c r="CL60" s="298">
        <f>CL40</f>
        <v/>
      </c>
      <c r="CM60" s="298">
        <f>CM40</f>
        <v/>
      </c>
      <c r="CN60" s="298">
        <f>CN40</f>
        <v/>
      </c>
      <c r="CO60" s="298">
        <f>CO40</f>
        <v/>
      </c>
      <c r="CP60" s="298">
        <f>CP40</f>
        <v/>
      </c>
      <c r="CQ60" s="298">
        <f>CQ40</f>
        <v/>
      </c>
      <c r="CR60" s="298">
        <f>CR40</f>
        <v/>
      </c>
      <c r="CS60" s="298">
        <f>CS40</f>
        <v/>
      </c>
      <c r="CT60" s="298">
        <f>CT40</f>
        <v/>
      </c>
      <c r="CU60" s="298">
        <f>CU40</f>
        <v/>
      </c>
      <c r="CV60" s="298">
        <f>CV40</f>
        <v/>
      </c>
      <c r="CW60" s="298">
        <f>CW40</f>
        <v/>
      </c>
      <c r="CX60" s="298">
        <f>CX40</f>
        <v/>
      </c>
      <c r="CY60" s="298">
        <f>CY40</f>
        <v/>
      </c>
      <c r="CZ60" s="298">
        <f>CZ40</f>
        <v/>
      </c>
      <c r="DA60" s="298">
        <f>DA40</f>
        <v/>
      </c>
      <c r="DB60" s="298">
        <f>DB40</f>
        <v/>
      </c>
      <c r="DC60" s="298">
        <f>DC40</f>
        <v/>
      </c>
      <c r="DD60" s="298">
        <f>DD40</f>
        <v/>
      </c>
      <c r="DE60" s="298">
        <f>DE40</f>
        <v/>
      </c>
      <c r="DF60" s="298">
        <f>DF40</f>
        <v/>
      </c>
      <c r="DG60" s="298">
        <f>DG40</f>
        <v/>
      </c>
      <c r="DH60" s="298">
        <f>DH40</f>
        <v/>
      </c>
      <c r="DI60" s="298">
        <f>DI40</f>
        <v/>
      </c>
      <c r="DJ60" s="298">
        <f>DJ40</f>
        <v/>
      </c>
      <c r="DK60" s="298">
        <f>DK40</f>
        <v/>
      </c>
      <c r="DL60" s="298">
        <f>DL40</f>
        <v/>
      </c>
      <c r="DM60" s="298">
        <f>DM40</f>
        <v/>
      </c>
      <c r="DN60" s="298">
        <f>DN40</f>
        <v/>
      </c>
      <c r="DO60" s="298">
        <f>DO40</f>
        <v/>
      </c>
      <c r="DP60" s="298">
        <f>DP40</f>
        <v/>
      </c>
      <c r="DQ60" s="298">
        <f>DQ40</f>
        <v/>
      </c>
      <c r="DR60" s="298">
        <f>DR40</f>
        <v/>
      </c>
      <c r="DS60" s="298">
        <f>DS40</f>
        <v/>
      </c>
      <c r="DT60" s="298">
        <f>DT40</f>
        <v/>
      </c>
    </row>
    <row r="61">
      <c r="B61" s="6" t="inlineStr">
        <is>
          <t>Total Levered Cash Flow</t>
        </is>
      </c>
      <c r="C61" s="31" t="n"/>
      <c r="D61" s="306">
        <f>SUM(D54,D56:D60)</f>
        <v/>
      </c>
      <c r="E61" s="301">
        <f>SUM(E54,E56:E60)</f>
        <v/>
      </c>
      <c r="F61" s="301">
        <f>SUM(F54,F56:F60)</f>
        <v/>
      </c>
      <c r="G61" s="301">
        <f>SUM(G54,G56:G60)</f>
        <v/>
      </c>
      <c r="H61" s="301">
        <f>SUM(H54,H56:H60)</f>
        <v/>
      </c>
      <c r="I61" s="301">
        <f>SUM(I54,I56:I60)</f>
        <v/>
      </c>
      <c r="J61" s="301">
        <f>SUM(J54,J56:J60)</f>
        <v/>
      </c>
      <c r="K61" s="301">
        <f>SUM(K54,K56:K60)</f>
        <v/>
      </c>
      <c r="L61" s="301">
        <f>SUM(L54,L56:L60)</f>
        <v/>
      </c>
      <c r="M61" s="301">
        <f>SUM(M54,M56:M60)</f>
        <v/>
      </c>
      <c r="N61" s="301">
        <f>SUM(N54,N56:N60)</f>
        <v/>
      </c>
      <c r="O61" s="301">
        <f>SUM(O54,O56:O60)</f>
        <v/>
      </c>
      <c r="P61" s="301">
        <f>SUM(P54,P56:P60)</f>
        <v/>
      </c>
      <c r="Q61" s="301">
        <f>SUM(Q54,Q56:Q60)</f>
        <v/>
      </c>
      <c r="R61" s="301">
        <f>SUM(R54,R56:R60)</f>
        <v/>
      </c>
      <c r="S61" s="301">
        <f>SUM(S54,S56:S60)</f>
        <v/>
      </c>
      <c r="T61" s="301">
        <f>SUM(T54,T56:T60)</f>
        <v/>
      </c>
      <c r="U61" s="301">
        <f>SUM(U54,U56:U60)</f>
        <v/>
      </c>
      <c r="V61" s="301">
        <f>SUM(V54,V56:V60)</f>
        <v/>
      </c>
      <c r="W61" s="301">
        <f>SUM(W54,W56:W60)</f>
        <v/>
      </c>
      <c r="X61" s="301">
        <f>SUM(X54,X56:X60)</f>
        <v/>
      </c>
      <c r="Y61" s="301">
        <f>SUM(Y54,Y56:Y60)</f>
        <v/>
      </c>
      <c r="Z61" s="301">
        <f>SUM(Z54,Z56:Z60)</f>
        <v/>
      </c>
      <c r="AA61" s="301">
        <f>SUM(AA54,AA56:AA60)</f>
        <v/>
      </c>
      <c r="AB61" s="301">
        <f>SUM(AB54,AB56:AB60)</f>
        <v/>
      </c>
      <c r="AC61" s="301">
        <f>SUM(AC54,AC56:AC60)</f>
        <v/>
      </c>
      <c r="AD61" s="301">
        <f>SUM(AD54,AD56:AD60)</f>
        <v/>
      </c>
      <c r="AE61" s="301">
        <f>SUM(AE54,AE56:AE60)</f>
        <v/>
      </c>
      <c r="AF61" s="301">
        <f>SUM(AF54,AF56:AF60)</f>
        <v/>
      </c>
      <c r="AG61" s="301">
        <f>SUM(AG54,AG56:AG60)</f>
        <v/>
      </c>
      <c r="AH61" s="301">
        <f>SUM(AH54,AH56:AH60)</f>
        <v/>
      </c>
      <c r="AI61" s="301">
        <f>SUM(AI54,AI56:AI60)</f>
        <v/>
      </c>
      <c r="AJ61" s="301">
        <f>SUM(AJ54,AJ56:AJ60)</f>
        <v/>
      </c>
      <c r="AK61" s="301">
        <f>SUM(AK54,AK56:AK60)</f>
        <v/>
      </c>
      <c r="AL61" s="301">
        <f>SUM(AL54,AL56:AL60)</f>
        <v/>
      </c>
      <c r="AM61" s="301">
        <f>SUM(AM54,AM56:AM60)</f>
        <v/>
      </c>
      <c r="AN61" s="301">
        <f>SUM(AN54,AN56:AN60)</f>
        <v/>
      </c>
      <c r="AO61" s="301">
        <f>SUM(AO54,AO56:AO60)</f>
        <v/>
      </c>
      <c r="AP61" s="301">
        <f>SUM(AP54,AP56:AP60)</f>
        <v/>
      </c>
      <c r="AQ61" s="301">
        <f>SUM(AQ54,AQ56:AQ60)</f>
        <v/>
      </c>
      <c r="AR61" s="301">
        <f>SUM(AR54,AR56:AR60)</f>
        <v/>
      </c>
      <c r="AS61" s="301">
        <f>SUM(AS54,AS56:AS60)</f>
        <v/>
      </c>
      <c r="AT61" s="301">
        <f>SUM(AT54,AT56:AT60)</f>
        <v/>
      </c>
      <c r="AU61" s="301">
        <f>SUM(AU54,AU56:AU60)</f>
        <v/>
      </c>
      <c r="AV61" s="301">
        <f>SUM(AV54,AV56:AV60)</f>
        <v/>
      </c>
      <c r="AW61" s="301">
        <f>SUM(AW54,AW56:AW60)</f>
        <v/>
      </c>
      <c r="AX61" s="301">
        <f>SUM(AX54,AX56:AX60)</f>
        <v/>
      </c>
      <c r="AY61" s="301">
        <f>SUM(AY54,AY56:AY60)</f>
        <v/>
      </c>
      <c r="AZ61" s="301">
        <f>SUM(AZ54,AZ56:AZ60)</f>
        <v/>
      </c>
      <c r="BA61" s="301">
        <f>SUM(BA54,BA56:BA60)</f>
        <v/>
      </c>
      <c r="BB61" s="301">
        <f>SUM(BB54,BB56:BB60)</f>
        <v/>
      </c>
      <c r="BC61" s="301">
        <f>SUM(BC54,BC56:BC60)</f>
        <v/>
      </c>
      <c r="BD61" s="301">
        <f>SUM(BD54,BD56:BD60)</f>
        <v/>
      </c>
      <c r="BE61" s="301">
        <f>SUM(BE54,BE56:BE60)</f>
        <v/>
      </c>
      <c r="BF61" s="301">
        <f>SUM(BF54,BF56:BF60)</f>
        <v/>
      </c>
      <c r="BG61" s="301">
        <f>SUM(BG54,BG56:BG60)</f>
        <v/>
      </c>
      <c r="BH61" s="301">
        <f>SUM(BH54,BH56:BH60)</f>
        <v/>
      </c>
      <c r="BI61" s="301">
        <f>SUM(BI54,BI56:BI60)</f>
        <v/>
      </c>
      <c r="BJ61" s="301">
        <f>SUM(BJ54,BJ56:BJ60)</f>
        <v/>
      </c>
      <c r="BK61" s="301">
        <f>SUM(BK54,BK56:BK60)</f>
        <v/>
      </c>
      <c r="BL61" s="301">
        <f>SUM(BL54,BL56:BL60)</f>
        <v/>
      </c>
      <c r="BM61" s="301">
        <f>SUM(BM54,BM56:BM60)</f>
        <v/>
      </c>
      <c r="BN61" s="301">
        <f>SUM(BN54,BN56:BN60)</f>
        <v/>
      </c>
      <c r="BO61" s="301">
        <f>SUM(BO54,BO56:BO60)</f>
        <v/>
      </c>
      <c r="BP61" s="301">
        <f>SUM(BP54,BP56:BP60)</f>
        <v/>
      </c>
      <c r="BQ61" s="301">
        <f>SUM(BQ54,BQ56:BQ60)</f>
        <v/>
      </c>
      <c r="BR61" s="301">
        <f>SUM(BR54,BR56:BR60)</f>
        <v/>
      </c>
      <c r="BS61" s="301">
        <f>SUM(BS54,BS56:BS60)</f>
        <v/>
      </c>
      <c r="BT61" s="301">
        <f>SUM(BT54,BT56:BT60)</f>
        <v/>
      </c>
      <c r="BU61" s="301">
        <f>SUM(BU54,BU56:BU60)</f>
        <v/>
      </c>
      <c r="BV61" s="301">
        <f>SUM(BV54,BV56:BV60)</f>
        <v/>
      </c>
      <c r="BW61" s="301">
        <f>SUM(BW54,BW56:BW60)</f>
        <v/>
      </c>
      <c r="BX61" s="301">
        <f>SUM(BX54,BX56:BX60)</f>
        <v/>
      </c>
      <c r="BY61" s="301">
        <f>SUM(BY54,BY56:BY60)</f>
        <v/>
      </c>
      <c r="BZ61" s="301">
        <f>SUM(BZ54,BZ56:BZ60)</f>
        <v/>
      </c>
      <c r="CA61" s="301">
        <f>SUM(CA54,CA56:CA60)</f>
        <v/>
      </c>
      <c r="CB61" s="301">
        <f>SUM(CB54,CB56:CB60)</f>
        <v/>
      </c>
      <c r="CC61" s="301">
        <f>SUM(CC54,CC56:CC60)</f>
        <v/>
      </c>
      <c r="CD61" s="301">
        <f>SUM(CD54,CD56:CD60)</f>
        <v/>
      </c>
      <c r="CE61" s="301">
        <f>SUM(CE54,CE56:CE60)</f>
        <v/>
      </c>
      <c r="CF61" s="301">
        <f>SUM(CF54,CF56:CF60)</f>
        <v/>
      </c>
      <c r="CG61" s="301">
        <f>SUM(CG54,CG56:CG60)</f>
        <v/>
      </c>
      <c r="CH61" s="301">
        <f>SUM(CH54,CH56:CH60)</f>
        <v/>
      </c>
      <c r="CI61" s="301">
        <f>SUM(CI54,CI56:CI60)</f>
        <v/>
      </c>
      <c r="CJ61" s="301">
        <f>SUM(CJ54,CJ56:CJ60)</f>
        <v/>
      </c>
      <c r="CK61" s="301">
        <f>SUM(CK54,CK56:CK60)</f>
        <v/>
      </c>
      <c r="CL61" s="301">
        <f>SUM(CL54,CL56:CL60)</f>
        <v/>
      </c>
      <c r="CM61" s="301">
        <f>SUM(CM54,CM56:CM60)</f>
        <v/>
      </c>
      <c r="CN61" s="301">
        <f>SUM(CN54,CN56:CN60)</f>
        <v/>
      </c>
      <c r="CO61" s="301">
        <f>SUM(CO54,CO56:CO60)</f>
        <v/>
      </c>
      <c r="CP61" s="301">
        <f>SUM(CP54,CP56:CP60)</f>
        <v/>
      </c>
      <c r="CQ61" s="301">
        <f>SUM(CQ54,CQ56:CQ60)</f>
        <v/>
      </c>
      <c r="CR61" s="301">
        <f>SUM(CR54,CR56:CR60)</f>
        <v/>
      </c>
      <c r="CS61" s="301">
        <f>SUM(CS54,CS56:CS60)</f>
        <v/>
      </c>
      <c r="CT61" s="301">
        <f>SUM(CT54,CT56:CT60)</f>
        <v/>
      </c>
      <c r="CU61" s="301">
        <f>SUM(CU54,CU56:CU60)</f>
        <v/>
      </c>
      <c r="CV61" s="301">
        <f>SUM(CV54,CV56:CV60)</f>
        <v/>
      </c>
      <c r="CW61" s="301">
        <f>SUM(CW54,CW56:CW60)</f>
        <v/>
      </c>
      <c r="CX61" s="301">
        <f>SUM(CX54,CX56:CX60)</f>
        <v/>
      </c>
      <c r="CY61" s="301">
        <f>SUM(CY54,CY56:CY60)</f>
        <v/>
      </c>
      <c r="CZ61" s="301">
        <f>SUM(CZ54,CZ56:CZ60)</f>
        <v/>
      </c>
      <c r="DA61" s="301">
        <f>SUM(DA54,DA56:DA60)</f>
        <v/>
      </c>
      <c r="DB61" s="301">
        <f>SUM(DB54,DB56:DB60)</f>
        <v/>
      </c>
      <c r="DC61" s="301">
        <f>SUM(DC54,DC56:DC60)</f>
        <v/>
      </c>
      <c r="DD61" s="301">
        <f>SUM(DD54,DD56:DD60)</f>
        <v/>
      </c>
      <c r="DE61" s="301">
        <f>SUM(DE54,DE56:DE60)</f>
        <v/>
      </c>
      <c r="DF61" s="301">
        <f>SUM(DF54,DF56:DF60)</f>
        <v/>
      </c>
      <c r="DG61" s="301">
        <f>SUM(DG54,DG56:DG60)</f>
        <v/>
      </c>
      <c r="DH61" s="301">
        <f>SUM(DH54,DH56:DH60)</f>
        <v/>
      </c>
      <c r="DI61" s="301">
        <f>SUM(DI54,DI56:DI60)</f>
        <v/>
      </c>
      <c r="DJ61" s="301">
        <f>SUM(DJ54,DJ56:DJ60)</f>
        <v/>
      </c>
      <c r="DK61" s="301">
        <f>SUM(DK54,DK56:DK60)</f>
        <v/>
      </c>
      <c r="DL61" s="301">
        <f>SUM(DL54,DL56:DL60)</f>
        <v/>
      </c>
      <c r="DM61" s="301">
        <f>SUM(DM54,DM56:DM60)</f>
        <v/>
      </c>
      <c r="DN61" s="301">
        <f>SUM(DN54,DN56:DN60)</f>
        <v/>
      </c>
      <c r="DO61" s="301">
        <f>SUM(DO54,DO56:DO60)</f>
        <v/>
      </c>
      <c r="DP61" s="301">
        <f>SUM(DP54,DP56:DP60)</f>
        <v/>
      </c>
      <c r="DQ61" s="301">
        <f>SUM(DQ54,DQ56:DQ60)</f>
        <v/>
      </c>
      <c r="DR61" s="301">
        <f>SUM(DR54,DR56:DR60)</f>
        <v/>
      </c>
      <c r="DS61" s="301">
        <f>SUM(DS54,DS56:DS60)</f>
        <v/>
      </c>
      <c r="DT61" s="301">
        <f>SUM(DT54,DT56:DT60)</f>
        <v/>
      </c>
    </row>
    <row r="62">
      <c r="B62" s="58" t="inlineStr">
        <is>
          <t>Cumulative</t>
        </is>
      </c>
      <c r="D62" s="307">
        <f>SUM($D$61:D61)</f>
        <v/>
      </c>
      <c r="E62" s="307">
        <f>SUM($D$61:E61)</f>
        <v/>
      </c>
      <c r="F62" s="307">
        <f>SUM($D$61:F61)</f>
        <v/>
      </c>
      <c r="G62" s="307">
        <f>SUM($D$61:G61)</f>
        <v/>
      </c>
      <c r="H62" s="307">
        <f>SUM($D$61:H61)</f>
        <v/>
      </c>
      <c r="I62" s="307">
        <f>SUM($D$61:I61)</f>
        <v/>
      </c>
      <c r="J62" s="307">
        <f>SUM($D$61:J61)</f>
        <v/>
      </c>
      <c r="K62" s="307">
        <f>SUM($D$61:K61)</f>
        <v/>
      </c>
      <c r="L62" s="307">
        <f>SUM($D$61:L61)</f>
        <v/>
      </c>
      <c r="M62" s="307">
        <f>SUM($D$61:M61)</f>
        <v/>
      </c>
      <c r="N62" s="307">
        <f>SUM($D$61:N61)</f>
        <v/>
      </c>
      <c r="O62" s="307">
        <f>SUM($D$61:O61)</f>
        <v/>
      </c>
      <c r="P62" s="307">
        <f>SUM($D$61:P61)</f>
        <v/>
      </c>
      <c r="Q62" s="307">
        <f>SUM($D$61:Q61)</f>
        <v/>
      </c>
      <c r="R62" s="307">
        <f>SUM($D$61:R61)</f>
        <v/>
      </c>
      <c r="S62" s="307">
        <f>SUM($D$61:S61)</f>
        <v/>
      </c>
      <c r="T62" s="307">
        <f>SUM($D$61:T61)</f>
        <v/>
      </c>
      <c r="U62" s="307">
        <f>SUM($D$61:U61)</f>
        <v/>
      </c>
      <c r="V62" s="307">
        <f>SUM($D$61:V61)</f>
        <v/>
      </c>
      <c r="W62" s="307">
        <f>SUM($D$61:W61)</f>
        <v/>
      </c>
      <c r="X62" s="307">
        <f>SUM($D$61:X61)</f>
        <v/>
      </c>
      <c r="Y62" s="307">
        <f>SUM($D$61:Y61)</f>
        <v/>
      </c>
      <c r="Z62" s="307">
        <f>SUM($D$61:Z61)</f>
        <v/>
      </c>
      <c r="AA62" s="307">
        <f>SUM($D$61:AA61)</f>
        <v/>
      </c>
      <c r="AB62" s="307">
        <f>SUM($D$61:AB61)</f>
        <v/>
      </c>
      <c r="AC62" s="307">
        <f>SUM($D$61:AC61)</f>
        <v/>
      </c>
      <c r="AD62" s="307">
        <f>SUM($D$61:AD61)</f>
        <v/>
      </c>
      <c r="AE62" s="307">
        <f>SUM($D$61:AE61)</f>
        <v/>
      </c>
      <c r="AF62" s="307">
        <f>SUM($D$61:AF61)</f>
        <v/>
      </c>
      <c r="AG62" s="307">
        <f>SUM($D$61:AG61)</f>
        <v/>
      </c>
      <c r="AH62" s="307">
        <f>SUM($D$61:AH61)</f>
        <v/>
      </c>
      <c r="AI62" s="307">
        <f>SUM($D$61:AI61)</f>
        <v/>
      </c>
      <c r="AJ62" s="307">
        <f>SUM($D$61:AJ61)</f>
        <v/>
      </c>
      <c r="AK62" s="307">
        <f>SUM($D$61:AK61)</f>
        <v/>
      </c>
      <c r="AL62" s="307">
        <f>SUM($D$61:AL61)</f>
        <v/>
      </c>
      <c r="AM62" s="307">
        <f>SUM($D$61:AM61)</f>
        <v/>
      </c>
      <c r="AN62" s="307">
        <f>SUM($D$61:AN61)</f>
        <v/>
      </c>
      <c r="AO62" s="307">
        <f>SUM($D$61:AO61)</f>
        <v/>
      </c>
      <c r="AP62" s="307">
        <f>SUM($D$61:AP61)</f>
        <v/>
      </c>
      <c r="AQ62" s="307">
        <f>SUM($D$61:AQ61)</f>
        <v/>
      </c>
      <c r="AR62" s="307">
        <f>SUM($D$61:AR61)</f>
        <v/>
      </c>
      <c r="AS62" s="307">
        <f>SUM($D$61:AS61)</f>
        <v/>
      </c>
      <c r="AT62" s="307">
        <f>SUM($D$61:AT61)</f>
        <v/>
      </c>
      <c r="AU62" s="307">
        <f>SUM($D$61:AU61)</f>
        <v/>
      </c>
      <c r="AV62" s="307">
        <f>SUM($D$61:AV61)</f>
        <v/>
      </c>
      <c r="AW62" s="307">
        <f>SUM($D$61:AW61)</f>
        <v/>
      </c>
      <c r="AX62" s="307">
        <f>SUM($D$61:AX61)</f>
        <v/>
      </c>
      <c r="AY62" s="307">
        <f>SUM($D$61:AY61)</f>
        <v/>
      </c>
      <c r="AZ62" s="307">
        <f>SUM($D$61:AZ61)</f>
        <v/>
      </c>
      <c r="BA62" s="307">
        <f>SUM($D$61:BA61)</f>
        <v/>
      </c>
      <c r="BB62" s="307">
        <f>SUM($D$61:BB61)</f>
        <v/>
      </c>
      <c r="BC62" s="307">
        <f>SUM($D$61:BC61)</f>
        <v/>
      </c>
      <c r="BD62" s="307">
        <f>SUM($D$61:BD61)</f>
        <v/>
      </c>
      <c r="BE62" s="307">
        <f>SUM($D$61:BE61)</f>
        <v/>
      </c>
      <c r="BF62" s="307">
        <f>SUM($D$61:BF61)</f>
        <v/>
      </c>
      <c r="BG62" s="307">
        <f>SUM($D$61:BG61)</f>
        <v/>
      </c>
      <c r="BH62" s="307">
        <f>SUM($D$61:BH61)</f>
        <v/>
      </c>
      <c r="BI62" s="307">
        <f>SUM($D$61:BI61)</f>
        <v/>
      </c>
      <c r="BJ62" s="307">
        <f>SUM($D$61:BJ61)</f>
        <v/>
      </c>
      <c r="BK62" s="307">
        <f>SUM($D$61:BK61)</f>
        <v/>
      </c>
      <c r="BL62" s="307">
        <f>SUM($D$61:BL61)</f>
        <v/>
      </c>
      <c r="BM62" s="307">
        <f>SUM($D$61:BM61)</f>
        <v/>
      </c>
      <c r="BN62" s="307">
        <f>SUM($D$61:BN61)</f>
        <v/>
      </c>
      <c r="BO62" s="307">
        <f>SUM($D$61:BO61)</f>
        <v/>
      </c>
      <c r="BP62" s="307">
        <f>SUM($D$61:BP61)</f>
        <v/>
      </c>
      <c r="BQ62" s="307">
        <f>SUM($D$61:BQ61)</f>
        <v/>
      </c>
      <c r="BR62" s="307">
        <f>SUM($D$61:BR61)</f>
        <v/>
      </c>
      <c r="BS62" s="307">
        <f>SUM($D$61:BS61)</f>
        <v/>
      </c>
      <c r="BT62" s="307">
        <f>SUM($D$61:BT61)</f>
        <v/>
      </c>
      <c r="BU62" s="307">
        <f>SUM($D$61:BU61)</f>
        <v/>
      </c>
      <c r="BV62" s="307">
        <f>SUM($D$61:BV61)</f>
        <v/>
      </c>
      <c r="BW62" s="307">
        <f>SUM($D$61:BW61)</f>
        <v/>
      </c>
      <c r="BX62" s="307">
        <f>SUM($D$61:BX61)</f>
        <v/>
      </c>
      <c r="BY62" s="307">
        <f>SUM($D$61:BY61)</f>
        <v/>
      </c>
      <c r="BZ62" s="307">
        <f>SUM($D$61:BZ61)</f>
        <v/>
      </c>
      <c r="CA62" s="307">
        <f>SUM($D$61:CA61)</f>
        <v/>
      </c>
      <c r="CB62" s="307">
        <f>SUM($D$61:CB61)</f>
        <v/>
      </c>
      <c r="CC62" s="307">
        <f>SUM($D$61:CC61)</f>
        <v/>
      </c>
      <c r="CD62" s="307">
        <f>SUM($D$61:CD61)</f>
        <v/>
      </c>
      <c r="CE62" s="307">
        <f>SUM($D$61:CE61)</f>
        <v/>
      </c>
      <c r="CF62" s="307">
        <f>SUM($D$61:CF61)</f>
        <v/>
      </c>
      <c r="CG62" s="307">
        <f>SUM($D$61:CG61)</f>
        <v/>
      </c>
      <c r="CH62" s="307">
        <f>SUM($D$61:CH61)</f>
        <v/>
      </c>
      <c r="CI62" s="307">
        <f>SUM($D$61:CI61)</f>
        <v/>
      </c>
      <c r="CJ62" s="307">
        <f>SUM($D$61:CJ61)</f>
        <v/>
      </c>
      <c r="CK62" s="307">
        <f>SUM($D$61:CK61)</f>
        <v/>
      </c>
      <c r="CL62" s="307">
        <f>SUM($D$61:CL61)</f>
        <v/>
      </c>
      <c r="CM62" s="307">
        <f>SUM($D$61:CM61)</f>
        <v/>
      </c>
      <c r="CN62" s="307">
        <f>SUM($D$61:CN61)</f>
        <v/>
      </c>
      <c r="CO62" s="307">
        <f>SUM($D$61:CO61)</f>
        <v/>
      </c>
      <c r="CP62" s="307">
        <f>SUM($D$61:CP61)</f>
        <v/>
      </c>
      <c r="CQ62" s="307">
        <f>SUM($D$61:CQ61)</f>
        <v/>
      </c>
      <c r="CR62" s="307">
        <f>SUM($D$61:CR61)</f>
        <v/>
      </c>
      <c r="CS62" s="307">
        <f>SUM($D$61:CS61)</f>
        <v/>
      </c>
      <c r="CT62" s="307">
        <f>SUM($D$61:CT61)</f>
        <v/>
      </c>
      <c r="CU62" s="307">
        <f>SUM($D$61:CU61)</f>
        <v/>
      </c>
      <c r="CV62" s="307">
        <f>SUM($D$61:CV61)</f>
        <v/>
      </c>
      <c r="CW62" s="307">
        <f>SUM($D$61:CW61)</f>
        <v/>
      </c>
      <c r="CX62" s="307">
        <f>SUM($D$61:CX61)</f>
        <v/>
      </c>
      <c r="CY62" s="307">
        <f>SUM($D$61:CY61)</f>
        <v/>
      </c>
      <c r="CZ62" s="307">
        <f>SUM($D$61:CZ61)</f>
        <v/>
      </c>
      <c r="DA62" s="307">
        <f>SUM($D$61:DA61)</f>
        <v/>
      </c>
      <c r="DB62" s="307">
        <f>SUM($D$61:DB61)</f>
        <v/>
      </c>
      <c r="DC62" s="307">
        <f>SUM($D$61:DC61)</f>
        <v/>
      </c>
      <c r="DD62" s="307">
        <f>SUM($D$61:DD61)</f>
        <v/>
      </c>
      <c r="DE62" s="307">
        <f>SUM($D$61:DE61)</f>
        <v/>
      </c>
      <c r="DF62" s="307">
        <f>SUM($D$61:DF61)</f>
        <v/>
      </c>
      <c r="DG62" s="307">
        <f>SUM($D$61:DG61)</f>
        <v/>
      </c>
      <c r="DH62" s="307">
        <f>SUM($D$61:DH61)</f>
        <v/>
      </c>
      <c r="DI62" s="307">
        <f>SUM($D$61:DI61)</f>
        <v/>
      </c>
      <c r="DJ62" s="307">
        <f>SUM($D$61:DJ61)</f>
        <v/>
      </c>
      <c r="DK62" s="307">
        <f>SUM($D$61:DK61)</f>
        <v/>
      </c>
      <c r="DL62" s="307">
        <f>SUM($D$61:DL61)</f>
        <v/>
      </c>
      <c r="DM62" s="307">
        <f>SUM($D$61:DM61)</f>
        <v/>
      </c>
      <c r="DN62" s="307">
        <f>SUM($D$61:DN61)</f>
        <v/>
      </c>
      <c r="DO62" s="307">
        <f>SUM($D$61:DO61)</f>
        <v/>
      </c>
      <c r="DP62" s="307">
        <f>SUM($D$61:DP61)</f>
        <v/>
      </c>
      <c r="DQ62" s="307">
        <f>SUM($D$61:DQ61)</f>
        <v/>
      </c>
      <c r="DR62" s="307">
        <f>SUM($D$61:DR61)</f>
        <v/>
      </c>
      <c r="DS62" s="307">
        <f>SUM($D$61:DS61)</f>
        <v/>
      </c>
      <c r="DT62" s="307">
        <f>SUM($D$61:DT61)</f>
        <v/>
      </c>
    </row>
    <row r="64">
      <c r="B64" s="50" t="inlineStr">
        <is>
          <t>Levered Returns</t>
        </is>
      </c>
      <c r="C64" s="51" t="n"/>
    </row>
    <row r="65">
      <c r="B65" s="52" t="inlineStr">
        <is>
          <t>IRR</t>
        </is>
      </c>
      <c r="C65" s="308">
        <f>XIRR(D61:EF61,D6:EF6)</f>
        <v/>
      </c>
    </row>
    <row r="66">
      <c r="B66" s="52" t="inlineStr">
        <is>
          <t>Equity Multiple</t>
        </is>
      </c>
      <c r="C66" s="309">
        <f>+-SUMIF(D61:EF61,"&gt;0")/SUMIF(D61:EF61,"&lt;0")</f>
        <v/>
      </c>
    </row>
    <row r="67">
      <c r="B67" s="52" t="inlineStr">
        <is>
          <t>Net Profit</t>
        </is>
      </c>
      <c r="C67" s="310">
        <f>SUM(D61:EF61)</f>
        <v/>
      </c>
    </row>
    <row r="68">
      <c r="B68" s="56" t="inlineStr">
        <is>
          <t>Peak Equity</t>
        </is>
      </c>
      <c r="C68" s="311">
        <f>-MIN(D62:EF62)</f>
        <v/>
      </c>
    </row>
  </sheetData>
  <pageMargins left="0.7" right="0.7" top="0.75" bottom="0.75" header="0.3" footer="0.3"/>
  <pageSetup orientation="portrait" verticalDpi="0"/>
  <headerFooter>
    <oddHeader/>
    <oddFooter>&amp;C&amp;"Aptos"&amp;10 &amp;K000000_x000d_# Barings-Public</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theme="5"/>
    <outlinePr summaryBelow="1" summaryRight="1"/>
    <pageSetUpPr fitToPage="1"/>
  </sheetPr>
  <dimension ref="B2:M69"/>
  <sheetViews>
    <sheetView showGridLines="0" zoomScaleNormal="100" zoomScaleSheetLayoutView="90" workbookViewId="0">
      <pane xSplit="3" ySplit="3" topLeftCell="D4" activePane="bottomRight" state="frozen"/>
      <selection pane="topRight" activeCell="G1" sqref="G1"/>
      <selection pane="bottomLeft" activeCell="A5" sqref="A5"/>
      <selection pane="bottomRight" activeCell="D4" sqref="D4"/>
    </sheetView>
  </sheetViews>
  <sheetFormatPr baseColWidth="8" defaultColWidth="9" defaultRowHeight="15"/>
  <cols>
    <col width="5.875" customWidth="1" style="1" min="1" max="1"/>
    <col width="27.5" bestFit="1" customWidth="1" style="1" min="2" max="2"/>
    <col width="10" bestFit="1" customWidth="1" style="1" min="3" max="13"/>
    <col width="10" bestFit="1" customWidth="1" min="14" max="58"/>
    <col width="8.875" bestFit="1" customWidth="1" min="59" max="61"/>
    <col width="9.5" bestFit="1" customWidth="1" min="62" max="122"/>
    <col width="9" customWidth="1" style="1" min="16384" max="16384"/>
  </cols>
  <sheetData>
    <row r="2">
      <c r="B2" s="25" t="inlineStr">
        <is>
          <t>Date</t>
        </is>
      </c>
      <c r="C2" s="286">
        <f>'Inputs &amp; Summary'!$D$20</f>
        <v/>
      </c>
      <c r="D2" s="286">
        <f>EOMONTH(C2,12)</f>
        <v/>
      </c>
      <c r="E2" s="286">
        <f>EOMONTH(D2,12)</f>
        <v/>
      </c>
      <c r="F2" s="286">
        <f>EOMONTH(E2,12)</f>
        <v/>
      </c>
      <c r="G2" s="286">
        <f>EOMONTH(F2,12)</f>
        <v/>
      </c>
      <c r="H2" s="286">
        <f>EOMONTH(G2,12)</f>
        <v/>
      </c>
      <c r="I2" s="286">
        <f>EOMONTH(H2,12)</f>
        <v/>
      </c>
      <c r="J2" s="286">
        <f>EOMONTH(I2,12)</f>
        <v/>
      </c>
      <c r="K2" s="286">
        <f>EOMONTH(J2,12)</f>
        <v/>
      </c>
      <c r="L2" s="286">
        <f>EOMONTH(K2,12)</f>
        <v/>
      </c>
      <c r="M2" s="286">
        <f>EOMONTH(L2,12)</f>
        <v/>
      </c>
    </row>
    <row r="3">
      <c r="B3" s="25" t="inlineStr">
        <is>
          <t>Year</t>
        </is>
      </c>
      <c r="C3" s="287" t="n">
        <v>0</v>
      </c>
      <c r="D3" s="287">
        <f>C3+1</f>
        <v/>
      </c>
      <c r="E3" s="287">
        <f>D3+1</f>
        <v/>
      </c>
      <c r="F3" s="287">
        <f>E3+1</f>
        <v/>
      </c>
      <c r="G3" s="287">
        <f>F3+1</f>
        <v/>
      </c>
      <c r="H3" s="287">
        <f>G3+1</f>
        <v/>
      </c>
      <c r="I3" s="287">
        <f>H3+1</f>
        <v/>
      </c>
      <c r="J3" s="287">
        <f>I3+1</f>
        <v/>
      </c>
      <c r="K3" s="287">
        <f>J3+1</f>
        <v/>
      </c>
      <c r="L3" s="287">
        <f>K3+1</f>
        <v/>
      </c>
      <c r="M3" s="287">
        <f>L3+1</f>
        <v/>
      </c>
    </row>
    <row r="4">
      <c r="B4" s="60" t="inlineStr">
        <is>
          <t>Unit Mix &amp; Lease-Up</t>
        </is>
      </c>
      <c r="C4" s="61" t="n"/>
      <c r="D4" s="289" t="n"/>
      <c r="E4" s="289" t="n"/>
      <c r="F4" s="289" t="n"/>
      <c r="G4" s="289" t="n"/>
      <c r="H4" s="289" t="n"/>
      <c r="I4" s="289" t="n"/>
      <c r="J4" s="289" t="n"/>
      <c r="K4" s="289" t="n"/>
      <c r="L4" s="289" t="n"/>
      <c r="M4" s="289" t="n"/>
    </row>
    <row r="5">
      <c r="B5" s="28">
        <f>'Inputs &amp; Summary'!F4</f>
        <v/>
      </c>
      <c r="C5" s="316" t="n"/>
      <c r="D5" s="317">
        <f>SUMIF('Monthly Proforma'!$E$7:$DT$7,D$3,'Monthly Proforma'!$E10:$DT10)</f>
        <v/>
      </c>
      <c r="E5" s="317">
        <f>SUMIF('Monthly Proforma'!$E$7:$DT$7,E$3,'Monthly Proforma'!$E10:$DT10)</f>
        <v/>
      </c>
      <c r="F5" s="317">
        <f>SUMIF('Monthly Proforma'!$E$7:$DT$7,F$3,'Monthly Proforma'!$E10:$DT10)</f>
        <v/>
      </c>
      <c r="G5" s="317">
        <f>SUMIF('Monthly Proforma'!$E$7:$DT$7,G$3,'Monthly Proforma'!$E10:$DT10)</f>
        <v/>
      </c>
      <c r="H5" s="317">
        <f>SUMIF('Monthly Proforma'!$E$7:$DT$7,H$3,'Monthly Proforma'!$E10:$DT10)</f>
        <v/>
      </c>
      <c r="I5" s="317">
        <f>SUMIF('Monthly Proforma'!$E$7:$DT$7,I$3,'Monthly Proforma'!$E10:$DT10)</f>
        <v/>
      </c>
      <c r="J5" s="317">
        <f>SUMIF('Monthly Proforma'!$E$7:$DT$7,J$3,'Monthly Proforma'!$E10:$DT10)</f>
        <v/>
      </c>
      <c r="K5" s="317">
        <f>SUMIF('Monthly Proforma'!$E$7:$DT$7,K$3,'Monthly Proforma'!$E10:$DT10)</f>
        <v/>
      </c>
      <c r="L5" s="317">
        <f>SUMIF('Monthly Proforma'!$E$7:$DT$7,L$3,'Monthly Proforma'!$E10:$DT10)</f>
        <v/>
      </c>
      <c r="M5" s="317">
        <f>SUMIF('Monthly Proforma'!$E$7:$DT$7,M$3,'Monthly Proforma'!$E10:$DT10)</f>
        <v/>
      </c>
    </row>
    <row r="6" customFormat="1" s="6">
      <c r="B6" s="100" t="inlineStr">
        <is>
          <t>(+) Rental Income</t>
        </is>
      </c>
      <c r="C6" s="101" t="n"/>
      <c r="D6" s="318">
        <f>SUM(D5:D5)</f>
        <v/>
      </c>
      <c r="E6" s="318">
        <f>SUM(E5:E5)</f>
        <v/>
      </c>
      <c r="F6" s="318">
        <f>SUM(F5:F5)</f>
        <v/>
      </c>
      <c r="G6" s="318">
        <f>SUM(G5:G5)</f>
        <v/>
      </c>
      <c r="H6" s="318">
        <f>SUM(H5:H5)</f>
        <v/>
      </c>
      <c r="I6" s="318">
        <f>SUM(I5:I5)</f>
        <v/>
      </c>
      <c r="J6" s="318">
        <f>SUM(J5:J5)</f>
        <v/>
      </c>
      <c r="K6" s="318">
        <f>SUM(K5:K5)</f>
        <v/>
      </c>
      <c r="L6" s="318">
        <f>SUM(L5:L5)</f>
        <v/>
      </c>
      <c r="M6" s="318">
        <f>SUM(M5:M5)</f>
        <v/>
      </c>
    </row>
    <row r="7" customFormat="1" s="6">
      <c r="B7" s="6" t="inlineStr">
        <is>
          <t>Potential Gross Income</t>
        </is>
      </c>
      <c r="C7" s="33" t="n"/>
      <c r="D7" s="212">
        <f>SUM(D6:D6)</f>
        <v/>
      </c>
      <c r="E7" s="212">
        <f>SUM(E6:E6)</f>
        <v/>
      </c>
      <c r="F7" s="212">
        <f>SUM(F6:F6)</f>
        <v/>
      </c>
      <c r="G7" s="212">
        <f>SUM(G6:G6)</f>
        <v/>
      </c>
      <c r="H7" s="212">
        <f>SUM(H6:H6)</f>
        <v/>
      </c>
      <c r="I7" s="212">
        <f>SUM(I6:I6)</f>
        <v/>
      </c>
      <c r="J7" s="212">
        <f>SUM(J6:J6)</f>
        <v/>
      </c>
      <c r="K7" s="212">
        <f>SUM(K6:K6)</f>
        <v/>
      </c>
      <c r="L7" s="212">
        <f>SUM(L6:L6)</f>
        <v/>
      </c>
      <c r="M7" s="212">
        <f>SUM(M6:M6)</f>
        <v/>
      </c>
    </row>
    <row r="8">
      <c r="B8" s="1" t="inlineStr">
        <is>
          <t>(-) General Vacancy</t>
        </is>
      </c>
      <c r="C8" s="296">
        <f>'Monthly Proforma'!D13</f>
        <v/>
      </c>
      <c r="D8" s="206">
        <f>SUMIF('Monthly Proforma'!$E$7:$DT$7,D$3,'Monthly Proforma'!$E13:$DT13)</f>
        <v/>
      </c>
      <c r="E8" s="206">
        <f>SUMIF('Monthly Proforma'!$E$7:$DT$7,E$3,'Monthly Proforma'!$E13:$DT13)</f>
        <v/>
      </c>
      <c r="F8" s="206">
        <f>SUMIF('Monthly Proforma'!$E$7:$DT$7,F$3,'Monthly Proforma'!$E13:$DT13)</f>
        <v/>
      </c>
      <c r="G8" s="206">
        <f>SUMIF('Monthly Proforma'!$E$7:$DT$7,G$3,'Monthly Proforma'!$E13:$DT13)</f>
        <v/>
      </c>
      <c r="H8" s="206">
        <f>SUMIF('Monthly Proforma'!$E$7:$DT$7,H$3,'Monthly Proforma'!$E13:$DT13)</f>
        <v/>
      </c>
      <c r="I8" s="206">
        <f>SUMIF('Monthly Proforma'!$E$7:$DT$7,I$3,'Monthly Proforma'!$E13:$DT13)</f>
        <v/>
      </c>
      <c r="J8" s="206">
        <f>SUMIF('Monthly Proforma'!$E$7:$DT$7,J$3,'Monthly Proforma'!$E13:$DT13)</f>
        <v/>
      </c>
      <c r="K8" s="206">
        <f>SUMIF('Monthly Proforma'!$E$7:$DT$7,K$3,'Monthly Proforma'!$E13:$DT13)</f>
        <v/>
      </c>
      <c r="L8" s="206">
        <f>SUMIF('Monthly Proforma'!$E$7:$DT$7,L$3,'Monthly Proforma'!$E13:$DT13)</f>
        <v/>
      </c>
      <c r="M8" s="206">
        <f>SUMIF('Monthly Proforma'!$E$7:$DT$7,M$3,'Monthly Proforma'!$E13:$DT13)</f>
        <v/>
      </c>
    </row>
    <row r="9">
      <c r="B9" s="1" t="inlineStr">
        <is>
          <t>(-) Concessions</t>
        </is>
      </c>
      <c r="C9" s="297">
        <f>'Monthly Proforma'!D14</f>
        <v/>
      </c>
      <c r="D9" s="298">
        <f>SUMIF('Monthly Proforma'!$E$7:$DT$7,D$3,'Monthly Proforma'!$E14:$DT14)</f>
        <v/>
      </c>
      <c r="E9" s="298">
        <f>SUMIF('Monthly Proforma'!$E$7:$DT$7,E$3,'Monthly Proforma'!$E14:$DT14)</f>
        <v/>
      </c>
      <c r="F9" s="298">
        <f>SUMIF('Monthly Proforma'!$E$7:$DT$7,F$3,'Monthly Proforma'!$E14:$DT14)</f>
        <v/>
      </c>
      <c r="G9" s="298">
        <f>SUMIF('Monthly Proforma'!$E$7:$DT$7,G$3,'Monthly Proforma'!$E14:$DT14)</f>
        <v/>
      </c>
      <c r="H9" s="298">
        <f>SUMIF('Monthly Proforma'!$E$7:$DT$7,H$3,'Monthly Proforma'!$E14:$DT14)</f>
        <v/>
      </c>
      <c r="I9" s="298">
        <f>SUMIF('Monthly Proforma'!$E$7:$DT$7,I$3,'Monthly Proforma'!$E14:$DT14)</f>
        <v/>
      </c>
      <c r="J9" s="298">
        <f>SUMIF('Monthly Proforma'!$E$7:$DT$7,J$3,'Monthly Proforma'!$E14:$DT14)</f>
        <v/>
      </c>
      <c r="K9" s="298">
        <f>SUMIF('Monthly Proforma'!$E$7:$DT$7,K$3,'Monthly Proforma'!$E14:$DT14)</f>
        <v/>
      </c>
      <c r="L9" s="298">
        <f>SUMIF('Monthly Proforma'!$E$7:$DT$7,L$3,'Monthly Proforma'!$E14:$DT14)</f>
        <v/>
      </c>
      <c r="M9" s="298">
        <f>SUMIF('Monthly Proforma'!$E$7:$DT$7,M$3,'Monthly Proforma'!$E14:$DT14)</f>
        <v/>
      </c>
    </row>
    <row r="10" customFormat="1" s="6">
      <c r="B10" s="14" t="inlineStr">
        <is>
          <t>Effective Gross Income</t>
        </is>
      </c>
      <c r="C10" s="38" t="n"/>
      <c r="D10" s="208">
        <f>SUM(D7:D9)</f>
        <v/>
      </c>
      <c r="E10" s="208">
        <f>SUM(E7:E9)</f>
        <v/>
      </c>
      <c r="F10" s="208">
        <f>SUM(F7:F9)</f>
        <v/>
      </c>
      <c r="G10" s="208">
        <f>SUM(G7:G9)</f>
        <v/>
      </c>
      <c r="H10" s="208">
        <f>SUM(H7:H9)</f>
        <v/>
      </c>
      <c r="I10" s="208">
        <f>SUM(I7:I9)</f>
        <v/>
      </c>
      <c r="J10" s="208">
        <f>SUM(J7:J9)</f>
        <v/>
      </c>
      <c r="K10" s="208">
        <f>SUM(K7:K9)</f>
        <v/>
      </c>
      <c r="L10" s="208">
        <f>SUM(L7:L9)</f>
        <v/>
      </c>
      <c r="M10" s="208">
        <f>SUM(M7:M9)</f>
        <v/>
      </c>
    </row>
    <row r="11">
      <c r="B11" s="1" t="inlineStr">
        <is>
          <t>(-) Property Taxes</t>
        </is>
      </c>
      <c r="C11" s="299">
        <f>'Monthly Proforma'!D16</f>
        <v/>
      </c>
      <c r="D11" s="206">
        <f>SUMIF('Monthly Proforma'!$E$7:$DT$7,D$3,'Monthly Proforma'!$E16:$DT16)</f>
        <v/>
      </c>
      <c r="E11" s="206">
        <f>SUMIF('Monthly Proforma'!$E$7:$DT$7,E$3,'Monthly Proforma'!$E16:$DT16)</f>
        <v/>
      </c>
      <c r="F11" s="206">
        <f>SUMIF('Monthly Proforma'!$E$7:$DT$7,F$3,'Monthly Proforma'!$E16:$DT16)</f>
        <v/>
      </c>
      <c r="G11" s="206">
        <f>SUMIF('Monthly Proforma'!$E$7:$DT$7,G$3,'Monthly Proforma'!$E16:$DT16)</f>
        <v/>
      </c>
      <c r="H11" s="206">
        <f>SUMIF('Monthly Proforma'!$E$7:$DT$7,H$3,'Monthly Proforma'!$E16:$DT16)</f>
        <v/>
      </c>
      <c r="I11" s="206">
        <f>SUMIF('Monthly Proforma'!$E$7:$DT$7,I$3,'Monthly Proforma'!$E16:$DT16)</f>
        <v/>
      </c>
      <c r="J11" s="206">
        <f>SUMIF('Monthly Proforma'!$E$7:$DT$7,J$3,'Monthly Proforma'!$E16:$DT16)</f>
        <v/>
      </c>
      <c r="K11" s="206">
        <f>SUMIF('Monthly Proforma'!$E$7:$DT$7,K$3,'Monthly Proforma'!$E16:$DT16)</f>
        <v/>
      </c>
      <c r="L11" s="206">
        <f>SUMIF('Monthly Proforma'!$E$7:$DT$7,L$3,'Monthly Proforma'!$E16:$DT16)</f>
        <v/>
      </c>
      <c r="M11" s="206">
        <f>SUMIF('Monthly Proforma'!$E$7:$DT$7,M$3,'Monthly Proforma'!$E16:$DT16)</f>
        <v/>
      </c>
    </row>
    <row r="12">
      <c r="B12" s="1" t="inlineStr">
        <is>
          <t>(-) Insurance</t>
        </is>
      </c>
      <c r="C12" s="299">
        <f>'Monthly Proforma'!D17</f>
        <v/>
      </c>
      <c r="D12" s="206">
        <f>SUMIF('Monthly Proforma'!$E$7:$DT$7,D$3,'Monthly Proforma'!$E17:$DT17)</f>
        <v/>
      </c>
      <c r="E12" s="206">
        <f>SUMIF('Monthly Proforma'!$E$7:$DT$7,E$3,'Monthly Proforma'!$E17:$DT17)</f>
        <v/>
      </c>
      <c r="F12" s="206">
        <f>SUMIF('Monthly Proforma'!$E$7:$DT$7,F$3,'Monthly Proforma'!$E17:$DT17)</f>
        <v/>
      </c>
      <c r="G12" s="206">
        <f>SUMIF('Monthly Proforma'!$E$7:$DT$7,G$3,'Monthly Proforma'!$E17:$DT17)</f>
        <v/>
      </c>
      <c r="H12" s="206">
        <f>SUMIF('Monthly Proforma'!$E$7:$DT$7,H$3,'Monthly Proforma'!$E17:$DT17)</f>
        <v/>
      </c>
      <c r="I12" s="206">
        <f>SUMIF('Monthly Proforma'!$E$7:$DT$7,I$3,'Monthly Proforma'!$E17:$DT17)</f>
        <v/>
      </c>
      <c r="J12" s="206">
        <f>SUMIF('Monthly Proforma'!$E$7:$DT$7,J$3,'Monthly Proforma'!$E17:$DT17)</f>
        <v/>
      </c>
      <c r="K12" s="206">
        <f>SUMIF('Monthly Proforma'!$E$7:$DT$7,K$3,'Monthly Proforma'!$E17:$DT17)</f>
        <v/>
      </c>
      <c r="L12" s="206">
        <f>SUMIF('Monthly Proforma'!$E$7:$DT$7,L$3,'Monthly Proforma'!$E17:$DT17)</f>
        <v/>
      </c>
      <c r="M12" s="206">
        <f>SUMIF('Monthly Proforma'!$E$7:$DT$7,M$3,'Monthly Proforma'!$E17:$DT17)</f>
        <v/>
      </c>
    </row>
    <row r="13">
      <c r="B13" s="1" t="inlineStr">
        <is>
          <t>(-) Management</t>
        </is>
      </c>
      <c r="C13" s="296">
        <f>'Monthly Proforma'!D18</f>
        <v/>
      </c>
      <c r="D13" s="206">
        <f>SUMIF('Monthly Proforma'!$E$7:$DT$7,D$3,'Monthly Proforma'!$E18:$DT18)</f>
        <v/>
      </c>
      <c r="E13" s="206">
        <f>SUMIF('Monthly Proforma'!$E$7:$DT$7,E$3,'Monthly Proforma'!$E18:$DT18)</f>
        <v/>
      </c>
      <c r="F13" s="206">
        <f>SUMIF('Monthly Proforma'!$E$7:$DT$7,F$3,'Monthly Proforma'!$E18:$DT18)</f>
        <v/>
      </c>
      <c r="G13" s="206">
        <f>SUMIF('Monthly Proforma'!$E$7:$DT$7,G$3,'Monthly Proforma'!$E18:$DT18)</f>
        <v/>
      </c>
      <c r="H13" s="206">
        <f>SUMIF('Monthly Proforma'!$E$7:$DT$7,H$3,'Monthly Proforma'!$E18:$DT18)</f>
        <v/>
      </c>
      <c r="I13" s="206">
        <f>SUMIF('Monthly Proforma'!$E$7:$DT$7,I$3,'Monthly Proforma'!$E18:$DT18)</f>
        <v/>
      </c>
      <c r="J13" s="206">
        <f>SUMIF('Monthly Proforma'!$E$7:$DT$7,J$3,'Monthly Proforma'!$E18:$DT18)</f>
        <v/>
      </c>
      <c r="K13" s="206">
        <f>SUMIF('Monthly Proforma'!$E$7:$DT$7,K$3,'Monthly Proforma'!$E18:$DT18)</f>
        <v/>
      </c>
      <c r="L13" s="206">
        <f>SUMIF('Monthly Proforma'!$E$7:$DT$7,L$3,'Monthly Proforma'!$E18:$DT18)</f>
        <v/>
      </c>
      <c r="M13" s="206">
        <f>SUMIF('Monthly Proforma'!$E$7:$DT$7,M$3,'Monthly Proforma'!$E18:$DT18)</f>
        <v/>
      </c>
    </row>
    <row r="14">
      <c r="B14" s="1" t="inlineStr">
        <is>
          <t>(-) Utilities &amp; HOA Dues</t>
        </is>
      </c>
      <c r="C14" s="299">
        <f>'Monthly Proforma'!D19</f>
        <v/>
      </c>
      <c r="D14" s="206">
        <f>SUMIF('Monthly Proforma'!$E$7:$DT$7,D$3,'Monthly Proforma'!$E19:$DT19)</f>
        <v/>
      </c>
      <c r="E14" s="206">
        <f>SUMIF('Monthly Proforma'!$E$7:$DT$7,E$3,'Monthly Proforma'!$E19:$DT19)</f>
        <v/>
      </c>
      <c r="F14" s="206">
        <f>SUMIF('Monthly Proforma'!$E$7:$DT$7,F$3,'Monthly Proforma'!$E19:$DT19)</f>
        <v/>
      </c>
      <c r="G14" s="206">
        <f>SUMIF('Monthly Proforma'!$E$7:$DT$7,G$3,'Monthly Proforma'!$E19:$DT19)</f>
        <v/>
      </c>
      <c r="H14" s="206">
        <f>SUMIF('Monthly Proforma'!$E$7:$DT$7,H$3,'Monthly Proforma'!$E19:$DT19)</f>
        <v/>
      </c>
      <c r="I14" s="206">
        <f>SUMIF('Monthly Proforma'!$E$7:$DT$7,I$3,'Monthly Proforma'!$E19:$DT19)</f>
        <v/>
      </c>
      <c r="J14" s="206">
        <f>SUMIF('Monthly Proforma'!$E$7:$DT$7,J$3,'Monthly Proforma'!$E19:$DT19)</f>
        <v/>
      </c>
      <c r="K14" s="206">
        <f>SUMIF('Monthly Proforma'!$E$7:$DT$7,K$3,'Monthly Proforma'!$E19:$DT19)</f>
        <v/>
      </c>
      <c r="L14" s="206">
        <f>SUMIF('Monthly Proforma'!$E$7:$DT$7,L$3,'Monthly Proforma'!$E19:$DT19)</f>
        <v/>
      </c>
      <c r="M14" s="206">
        <f>SUMIF('Monthly Proforma'!$E$7:$DT$7,M$3,'Monthly Proforma'!$E19:$DT19)</f>
        <v/>
      </c>
    </row>
    <row r="15">
      <c r="B15" s="1" t="inlineStr">
        <is>
          <t>(-) Maintenance &amp; Repairs</t>
        </is>
      </c>
      <c r="C15" s="299">
        <f>'Monthly Proforma'!D20</f>
        <v/>
      </c>
      <c r="D15" s="206">
        <f>SUMIF('Monthly Proforma'!$E$7:$DT$7,D$3,'Monthly Proforma'!$E20:$DT20)</f>
        <v/>
      </c>
      <c r="E15" s="206">
        <f>SUMIF('Monthly Proforma'!$E$7:$DT$7,E$3,'Monthly Proforma'!$E20:$DT20)</f>
        <v/>
      </c>
      <c r="F15" s="206">
        <f>SUMIF('Monthly Proforma'!$E$7:$DT$7,F$3,'Monthly Proforma'!$E20:$DT20)</f>
        <v/>
      </c>
      <c r="G15" s="206">
        <f>SUMIF('Monthly Proforma'!$E$7:$DT$7,G$3,'Monthly Proforma'!$E20:$DT20)</f>
        <v/>
      </c>
      <c r="H15" s="206">
        <f>SUMIF('Monthly Proforma'!$E$7:$DT$7,H$3,'Monthly Proforma'!$E20:$DT20)</f>
        <v/>
      </c>
      <c r="I15" s="206">
        <f>SUMIF('Monthly Proforma'!$E$7:$DT$7,I$3,'Monthly Proforma'!$E20:$DT20)</f>
        <v/>
      </c>
      <c r="J15" s="206">
        <f>SUMIF('Monthly Proforma'!$E$7:$DT$7,J$3,'Monthly Proforma'!$E20:$DT20)</f>
        <v/>
      </c>
      <c r="K15" s="206">
        <f>SUMIF('Monthly Proforma'!$E$7:$DT$7,K$3,'Monthly Proforma'!$E20:$DT20)</f>
        <v/>
      </c>
      <c r="L15" s="206">
        <f>SUMIF('Monthly Proforma'!$E$7:$DT$7,L$3,'Monthly Proforma'!$E20:$DT20)</f>
        <v/>
      </c>
      <c r="M15" s="206">
        <f>SUMIF('Monthly Proforma'!$E$7:$DT$7,M$3,'Monthly Proforma'!$E20:$DT20)</f>
        <v/>
      </c>
    </row>
    <row r="16">
      <c r="B16" s="1" t="inlineStr">
        <is>
          <t>(-) Advertising, Admin &amp; Payroll</t>
        </is>
      </c>
      <c r="C16" s="300">
        <f>'Monthly Proforma'!D21</f>
        <v/>
      </c>
      <c r="D16" s="298">
        <f>SUMIF('Monthly Proforma'!$E$7:$DT$7,D$3,'Monthly Proforma'!$E21:$DT21)</f>
        <v/>
      </c>
      <c r="E16" s="298">
        <f>SUMIF('Monthly Proforma'!$E$7:$DT$7,E$3,'Monthly Proforma'!$E21:$DT21)</f>
        <v/>
      </c>
      <c r="F16" s="298">
        <f>SUMIF('Monthly Proforma'!$E$7:$DT$7,F$3,'Monthly Proforma'!$E21:$DT21)</f>
        <v/>
      </c>
      <c r="G16" s="298">
        <f>SUMIF('Monthly Proforma'!$E$7:$DT$7,G$3,'Monthly Proforma'!$E21:$DT21)</f>
        <v/>
      </c>
      <c r="H16" s="298">
        <f>SUMIF('Monthly Proforma'!$E$7:$DT$7,H$3,'Monthly Proforma'!$E21:$DT21)</f>
        <v/>
      </c>
      <c r="I16" s="298">
        <f>SUMIF('Monthly Proforma'!$E$7:$DT$7,I$3,'Monthly Proforma'!$E21:$DT21)</f>
        <v/>
      </c>
      <c r="J16" s="298">
        <f>SUMIF('Monthly Proforma'!$E$7:$DT$7,J$3,'Monthly Proforma'!$E21:$DT21)</f>
        <v/>
      </c>
      <c r="K16" s="298">
        <f>SUMIF('Monthly Proforma'!$E$7:$DT$7,K$3,'Monthly Proforma'!$E21:$DT21)</f>
        <v/>
      </c>
      <c r="L16" s="298">
        <f>SUMIF('Monthly Proforma'!$E$7:$DT$7,L$3,'Monthly Proforma'!$E21:$DT21)</f>
        <v/>
      </c>
      <c r="M16" s="298">
        <f>SUMIF('Monthly Proforma'!$E$7:$DT$7,M$3,'Monthly Proforma'!$E21:$DT21)</f>
        <v/>
      </c>
    </row>
    <row r="17">
      <c r="B17" s="14" t="inlineStr">
        <is>
          <t>Net Operating Income</t>
        </is>
      </c>
      <c r="C17" s="31" t="n"/>
      <c r="D17" s="301">
        <f>SUM(D10:D16)</f>
        <v/>
      </c>
      <c r="E17" s="301">
        <f>SUM(E10:E16)</f>
        <v/>
      </c>
      <c r="F17" s="301">
        <f>SUM(F10:F16)</f>
        <v/>
      </c>
      <c r="G17" s="301">
        <f>SUM(G10:G16)</f>
        <v/>
      </c>
      <c r="H17" s="301">
        <f>SUM(H10:H16)</f>
        <v/>
      </c>
      <c r="I17" s="301">
        <f>SUM(I10:I16)</f>
        <v/>
      </c>
      <c r="J17" s="301">
        <f>SUM(J10:J16)</f>
        <v/>
      </c>
      <c r="K17" s="301">
        <f>SUM(K10:K16)</f>
        <v/>
      </c>
      <c r="L17" s="301">
        <f>SUM(L10:L16)</f>
        <v/>
      </c>
      <c r="M17" s="301">
        <f>SUM(M10:M16)</f>
        <v/>
      </c>
    </row>
    <row r="18">
      <c r="B18" s="44" t="inlineStr">
        <is>
          <t>NOI Margin</t>
        </is>
      </c>
      <c r="C18" s="31" t="n"/>
      <c r="D18" s="319">
        <f>D17/D7</f>
        <v/>
      </c>
      <c r="E18" s="319">
        <f>E17/E7</f>
        <v/>
      </c>
      <c r="F18" s="319">
        <f>F17/F7</f>
        <v/>
      </c>
      <c r="G18" s="319">
        <f>G17/G7</f>
        <v/>
      </c>
      <c r="H18" s="319">
        <f>H17/H7</f>
        <v/>
      </c>
      <c r="I18" s="319">
        <f>I17/I7</f>
        <v/>
      </c>
      <c r="J18" s="319">
        <f>J17/J7</f>
        <v/>
      </c>
      <c r="K18" s="319">
        <f>K17/K7</f>
        <v/>
      </c>
      <c r="L18" s="319">
        <f>L17/L7</f>
        <v/>
      </c>
      <c r="M18" s="319">
        <f>M17/M7</f>
        <v/>
      </c>
    </row>
    <row r="19" ht="15.75" customHeight="1">
      <c r="B19" s="44" t="inlineStr">
        <is>
          <t>NOI Growth</t>
        </is>
      </c>
      <c r="C19" s="31" t="n"/>
      <c r="D19" s="319" t="n"/>
      <c r="E19" s="319">
        <f>E17/D17-1</f>
        <v/>
      </c>
      <c r="F19" s="319">
        <f>F17/E17-1</f>
        <v/>
      </c>
      <c r="G19" s="319">
        <f>G17/F17-1</f>
        <v/>
      </c>
      <c r="H19" s="319">
        <f>H17/G17-1</f>
        <v/>
      </c>
      <c r="I19" s="319">
        <f>I17/H17-1</f>
        <v/>
      </c>
      <c r="J19" s="319">
        <f>J17/I17-1</f>
        <v/>
      </c>
      <c r="K19" s="319">
        <f>K17/J17-1</f>
        <v/>
      </c>
      <c r="L19" s="319">
        <f>L17/K17-1</f>
        <v/>
      </c>
      <c r="M19" s="319">
        <f>M17/L17-1</f>
        <v/>
      </c>
    </row>
    <row r="20" ht="15.75" customHeight="1">
      <c r="B20" s="44" t="inlineStr">
        <is>
          <t>NOI Yield</t>
        </is>
      </c>
      <c r="C20" s="31" t="n"/>
      <c r="D20" s="319">
        <f>(D17/-$C$31)*(D$3&lt;='Inputs &amp; Summary'!$O$4)</f>
        <v/>
      </c>
      <c r="E20" s="319">
        <f>(E17/-$C$31)*(E$3&lt;='Inputs &amp; Summary'!$O$4)</f>
        <v/>
      </c>
      <c r="F20" s="319">
        <f>(F17/-$C$31)*(F$3&lt;='Inputs &amp; Summary'!$O$4)</f>
        <v/>
      </c>
      <c r="G20" s="319">
        <f>(G17/-$C$31)*(G$3&lt;='Inputs &amp; Summary'!$O$4)</f>
        <v/>
      </c>
      <c r="H20" s="319">
        <f>(H17/-$C$31)*(H$3&lt;='Inputs &amp; Summary'!$O$4)</f>
        <v/>
      </c>
      <c r="I20" s="319">
        <f>(I17/-$C$31)*(I$3&lt;='Inputs &amp; Summary'!$O$4)</f>
        <v/>
      </c>
      <c r="J20" s="319">
        <f>(J17/-$C$31)*(J$3&lt;='Inputs &amp; Summary'!$O$4)</f>
        <v/>
      </c>
      <c r="K20" s="319">
        <f>(K17/-$C$31)*(K$3&lt;='Inputs &amp; Summary'!$O$4)</f>
        <v/>
      </c>
      <c r="L20" s="319">
        <f>(L17/-$C$31)*(L$3&lt;='Inputs &amp; Summary'!$O$4)</f>
        <v/>
      </c>
      <c r="M20" s="319">
        <f>(M17/-$C$31)*(M$3&lt;='Inputs &amp; Summary'!$O$4)</f>
        <v/>
      </c>
    </row>
    <row r="21">
      <c r="B21" s="1" t="inlineStr">
        <is>
          <t>(-) Debt Service</t>
        </is>
      </c>
      <c r="C21" s="300">
        <f>'Monthly Proforma'!D24</f>
        <v/>
      </c>
      <c r="D21" s="298">
        <f>SUMIF('Monthly Proforma'!$E$7:$DT$7,D$3,'Monthly Proforma'!$E24:$DT24)</f>
        <v/>
      </c>
      <c r="E21" s="298">
        <f>SUMIF('Monthly Proforma'!$E$7:$DT$7,E$3,'Monthly Proforma'!$E24:$DT24)</f>
        <v/>
      </c>
      <c r="F21" s="298">
        <f>SUMIF('Monthly Proforma'!$E$7:$DT$7,F$3,'Monthly Proforma'!$E24:$DT24)</f>
        <v/>
      </c>
      <c r="G21" s="298">
        <f>SUMIF('Monthly Proforma'!$E$7:$DT$7,G$3,'Monthly Proforma'!$E24:$DT24)</f>
        <v/>
      </c>
      <c r="H21" s="298">
        <f>SUMIF('Monthly Proforma'!$E$7:$DT$7,H$3,'Monthly Proforma'!$E24:$DT24)</f>
        <v/>
      </c>
      <c r="I21" s="298">
        <f>SUMIF('Monthly Proforma'!$E$7:$DT$7,I$3,'Monthly Proforma'!$E24:$DT24)</f>
        <v/>
      </c>
      <c r="J21" s="298">
        <f>SUMIF('Monthly Proforma'!$E$7:$DT$7,J$3,'Monthly Proforma'!$E24:$DT24)</f>
        <v/>
      </c>
      <c r="K21" s="298">
        <f>SUMIF('Monthly Proforma'!$E$7:$DT$7,K$3,'Monthly Proforma'!$E24:$DT24)</f>
        <v/>
      </c>
      <c r="L21" s="298">
        <f>SUMIF('Monthly Proforma'!$E$7:$DT$7,L$3,'Monthly Proforma'!$E24:$DT24)</f>
        <v/>
      </c>
      <c r="M21" s="298">
        <f>SUMIF('Monthly Proforma'!$E$7:$DT$7,M$3,'Monthly Proforma'!$E24:$DT24)</f>
        <v/>
      </c>
    </row>
    <row r="22">
      <c r="B22" s="14" t="inlineStr">
        <is>
          <t>Annual Cash Flow</t>
        </is>
      </c>
      <c r="C22" s="31" t="n"/>
      <c r="D22" s="301">
        <f>D17+D21</f>
        <v/>
      </c>
      <c r="E22" s="301">
        <f>E17+E21</f>
        <v/>
      </c>
      <c r="F22" s="301">
        <f>F17+F21</f>
        <v/>
      </c>
      <c r="G22" s="301">
        <f>G17+G21</f>
        <v/>
      </c>
      <c r="H22" s="301">
        <f>H17+H21</f>
        <v/>
      </c>
      <c r="I22" s="301">
        <f>I17+I21</f>
        <v/>
      </c>
      <c r="J22" s="301">
        <f>J17+J21</f>
        <v/>
      </c>
      <c r="K22" s="301">
        <f>K17+K21</f>
        <v/>
      </c>
      <c r="L22" s="301">
        <f>L17+L21</f>
        <v/>
      </c>
      <c r="M22" s="301">
        <f>M17+M21</f>
        <v/>
      </c>
    </row>
    <row r="23">
      <c r="B23" s="44" t="inlineStr">
        <is>
          <t>DSCR</t>
        </is>
      </c>
      <c r="C23" s="31" t="n"/>
      <c r="D23" s="303">
        <f>-D17/D21</f>
        <v/>
      </c>
      <c r="E23" s="303">
        <f>-E17/E21</f>
        <v/>
      </c>
      <c r="F23" s="303">
        <f>-F17/F21</f>
        <v/>
      </c>
      <c r="G23" s="303">
        <f>-G17/G21</f>
        <v/>
      </c>
      <c r="H23" s="303">
        <f>-H17/H21</f>
        <v/>
      </c>
      <c r="I23" s="303">
        <f>-I17/I21</f>
        <v/>
      </c>
      <c r="J23" s="303">
        <f>-J17/J21</f>
        <v/>
      </c>
      <c r="K23" s="303">
        <f>-K17/K21</f>
        <v/>
      </c>
      <c r="L23" s="303">
        <f>-L17/L21</f>
        <v/>
      </c>
      <c r="M23" s="303">
        <f>-M17/M21</f>
        <v/>
      </c>
    </row>
    <row r="25">
      <c r="B25" s="63" t="inlineStr">
        <is>
          <t>Unlevered Cash Flow</t>
        </is>
      </c>
      <c r="C25" s="64" t="n"/>
      <c r="D25" s="64" t="n"/>
      <c r="E25" s="64" t="n"/>
      <c r="F25" s="64" t="n"/>
      <c r="G25" s="64" t="n"/>
      <c r="H25" s="64" t="n"/>
      <c r="I25" s="64" t="n"/>
      <c r="J25" s="64" t="n"/>
      <c r="K25" s="64" t="n"/>
      <c r="L25" s="64" t="n"/>
      <c r="M25" s="64" t="n"/>
    </row>
    <row r="26">
      <c r="B26" s="1" t="inlineStr">
        <is>
          <t>(-) Purchase Price</t>
        </is>
      </c>
      <c r="C26" s="299">
        <f>'Monthly Proforma'!D29</f>
        <v/>
      </c>
      <c r="D26" s="304">
        <f>SUMIF('Monthly Proforma'!$E$7:$DT$7,D$3,'Monthly Proforma'!$E29:$DT29)</f>
        <v/>
      </c>
      <c r="E26" s="304">
        <f>SUMIF('Monthly Proforma'!$E$7:$DT$7,E$3,'Monthly Proforma'!$E29:$DT29)</f>
        <v/>
      </c>
      <c r="F26" s="304">
        <f>SUMIF('Monthly Proforma'!$E$7:$DT$7,F$3,'Monthly Proforma'!$E29:$DT29)</f>
        <v/>
      </c>
      <c r="G26" s="304">
        <f>SUMIF('Monthly Proforma'!$E$7:$DT$7,G$3,'Monthly Proforma'!$E29:$DT29)</f>
        <v/>
      </c>
      <c r="H26" s="304">
        <f>SUMIF('Monthly Proforma'!$E$7:$DT$7,H$3,'Monthly Proforma'!$E29:$DT29)</f>
        <v/>
      </c>
      <c r="I26" s="304">
        <f>SUMIF('Monthly Proforma'!$E$7:$DT$7,I$3,'Monthly Proforma'!$E29:$DT29)</f>
        <v/>
      </c>
      <c r="J26" s="304">
        <f>SUMIF('Monthly Proforma'!$E$7:$DT$7,J$3,'Monthly Proforma'!$E29:$DT29)</f>
        <v/>
      </c>
      <c r="K26" s="304">
        <f>SUMIF('Monthly Proforma'!$E$7:$DT$7,K$3,'Monthly Proforma'!$E29:$DT29)</f>
        <v/>
      </c>
      <c r="L26" s="304">
        <f>SUMIF('Monthly Proforma'!$E$7:$DT$7,L$3,'Monthly Proforma'!$E29:$DT29)</f>
        <v/>
      </c>
      <c r="M26" s="304">
        <f>SUMIF('Monthly Proforma'!$E$7:$DT$7,M$3,'Monthly Proforma'!$E29:$DT29)</f>
        <v/>
      </c>
    </row>
    <row r="27">
      <c r="B27" s="1">
        <f>'Monthly Proforma'!B30</f>
        <v/>
      </c>
      <c r="C27" s="299">
        <f>'Monthly Proforma'!D30</f>
        <v/>
      </c>
      <c r="D27" s="304">
        <f>SUMIF('Monthly Proforma'!$E$7:$DT$7,D$3,'Monthly Proforma'!$E30:$DT30)</f>
        <v/>
      </c>
      <c r="E27" s="304">
        <f>SUMIF('Monthly Proforma'!$E$7:$DT$7,E$3,'Monthly Proforma'!$E30:$DT30)</f>
        <v/>
      </c>
      <c r="F27" s="304">
        <f>SUMIF('Monthly Proforma'!$E$7:$DT$7,F$3,'Monthly Proforma'!$E30:$DT30)</f>
        <v/>
      </c>
      <c r="G27" s="304">
        <f>SUMIF('Monthly Proforma'!$E$7:$DT$7,G$3,'Monthly Proforma'!$E30:$DT30)</f>
        <v/>
      </c>
      <c r="H27" s="304">
        <f>SUMIF('Monthly Proforma'!$E$7:$DT$7,H$3,'Monthly Proforma'!$E30:$DT30)</f>
        <v/>
      </c>
      <c r="I27" s="304">
        <f>SUMIF('Monthly Proforma'!$E$7:$DT$7,I$3,'Monthly Proforma'!$E30:$DT30)</f>
        <v/>
      </c>
      <c r="J27" s="304">
        <f>SUMIF('Monthly Proforma'!$E$7:$DT$7,J$3,'Monthly Proforma'!$E30:$DT30)</f>
        <v/>
      </c>
      <c r="K27" s="304">
        <f>SUMIF('Monthly Proforma'!$E$7:$DT$7,K$3,'Monthly Proforma'!$E30:$DT30)</f>
        <v/>
      </c>
      <c r="L27" s="304">
        <f>SUMIF('Monthly Proforma'!$E$7:$DT$7,L$3,'Monthly Proforma'!$E30:$DT30)</f>
        <v/>
      </c>
      <c r="M27" s="304">
        <f>SUMIF('Monthly Proforma'!$E$7:$DT$7,M$3,'Monthly Proforma'!$E30:$DT30)</f>
        <v/>
      </c>
    </row>
    <row r="28">
      <c r="B28" s="1">
        <f>'Monthly Proforma'!B31</f>
        <v/>
      </c>
      <c r="C28" s="299">
        <f>'Monthly Proforma'!D31</f>
        <v/>
      </c>
      <c r="D28" s="304">
        <f>SUMIF('Monthly Proforma'!$E$7:$DT$7,D$3,'Monthly Proforma'!$E31:$DT31)</f>
        <v/>
      </c>
      <c r="E28" s="304">
        <f>SUMIF('Monthly Proforma'!$E$7:$DT$7,E$3,'Monthly Proforma'!$E31:$DT31)</f>
        <v/>
      </c>
      <c r="F28" s="304">
        <f>SUMIF('Monthly Proforma'!$E$7:$DT$7,F$3,'Monthly Proforma'!$E31:$DT31)</f>
        <v/>
      </c>
      <c r="G28" s="304">
        <f>SUMIF('Monthly Proforma'!$E$7:$DT$7,G$3,'Monthly Proforma'!$E31:$DT31)</f>
        <v/>
      </c>
      <c r="H28" s="304">
        <f>SUMIF('Monthly Proforma'!$E$7:$DT$7,H$3,'Monthly Proforma'!$E31:$DT31)</f>
        <v/>
      </c>
      <c r="I28" s="304">
        <f>SUMIF('Monthly Proforma'!$E$7:$DT$7,I$3,'Monthly Proforma'!$E31:$DT31)</f>
        <v/>
      </c>
      <c r="J28" s="304">
        <f>SUMIF('Monthly Proforma'!$E$7:$DT$7,J$3,'Monthly Proforma'!$E31:$DT31)</f>
        <v/>
      </c>
      <c r="K28" s="304">
        <f>SUMIF('Monthly Proforma'!$E$7:$DT$7,K$3,'Monthly Proforma'!$E31:$DT31)</f>
        <v/>
      </c>
      <c r="L28" s="304">
        <f>SUMIF('Monthly Proforma'!$E$7:$DT$7,L$3,'Monthly Proforma'!$E31:$DT31)</f>
        <v/>
      </c>
      <c r="M28" s="304">
        <f>SUMIF('Monthly Proforma'!$E$7:$DT$7,M$3,'Monthly Proforma'!$E31:$DT31)</f>
        <v/>
      </c>
    </row>
    <row r="29">
      <c r="B29" s="1">
        <f>'Monthly Proforma'!B32</f>
        <v/>
      </c>
      <c r="C29" s="299">
        <f>'Monthly Proforma'!D32</f>
        <v/>
      </c>
      <c r="D29" s="304">
        <f>SUMIF('Monthly Proforma'!$E$7:$DT$7,D$3,'Monthly Proforma'!$E32:$DT32)</f>
        <v/>
      </c>
      <c r="E29" s="304">
        <f>SUMIF('Monthly Proforma'!$E$7:$DT$7,E$3,'Monthly Proforma'!$E32:$DT32)</f>
        <v/>
      </c>
      <c r="F29" s="304">
        <f>SUMIF('Monthly Proforma'!$E$7:$DT$7,F$3,'Monthly Proforma'!$E32:$DT32)</f>
        <v/>
      </c>
      <c r="G29" s="304">
        <f>SUMIF('Monthly Proforma'!$E$7:$DT$7,G$3,'Monthly Proforma'!$E32:$DT32)</f>
        <v/>
      </c>
      <c r="H29" s="304">
        <f>SUMIF('Monthly Proforma'!$E$7:$DT$7,H$3,'Monthly Proforma'!$E32:$DT32)</f>
        <v/>
      </c>
      <c r="I29" s="304">
        <f>SUMIF('Monthly Proforma'!$E$7:$DT$7,I$3,'Monthly Proforma'!$E32:$DT32)</f>
        <v/>
      </c>
      <c r="J29" s="304">
        <f>SUMIF('Monthly Proforma'!$E$7:$DT$7,J$3,'Monthly Proforma'!$E32:$DT32)</f>
        <v/>
      </c>
      <c r="K29" s="304">
        <f>SUMIF('Monthly Proforma'!$E$7:$DT$7,K$3,'Monthly Proforma'!$E32:$DT32)</f>
        <v/>
      </c>
      <c r="L29" s="304">
        <f>SUMIF('Monthly Proforma'!$E$7:$DT$7,L$3,'Monthly Proforma'!$E32:$DT32)</f>
        <v/>
      </c>
      <c r="M29" s="304">
        <f>SUMIF('Monthly Proforma'!$E$7:$DT$7,M$3,'Monthly Proforma'!$E32:$DT32)</f>
        <v/>
      </c>
    </row>
    <row r="30">
      <c r="B30" s="8">
        <f>'Monthly Proforma'!B33</f>
        <v/>
      </c>
      <c r="C30" s="300">
        <f>'Monthly Proforma'!D33</f>
        <v/>
      </c>
      <c r="D30" s="305">
        <f>SUMIF('Monthly Proforma'!$E$7:$DT$7,D$3,'Monthly Proforma'!$E33:$DT33)</f>
        <v/>
      </c>
      <c r="E30" s="305">
        <f>SUMIF('Monthly Proforma'!$E$7:$DT$7,E$3,'Monthly Proforma'!$E33:$DT33)</f>
        <v/>
      </c>
      <c r="F30" s="305">
        <f>SUMIF('Monthly Proforma'!$E$7:$DT$7,F$3,'Monthly Proforma'!$E33:$DT33)</f>
        <v/>
      </c>
      <c r="G30" s="305">
        <f>SUMIF('Monthly Proforma'!$E$7:$DT$7,G$3,'Monthly Proforma'!$E33:$DT33)</f>
        <v/>
      </c>
      <c r="H30" s="305">
        <f>SUMIF('Monthly Proforma'!$E$7:$DT$7,H$3,'Monthly Proforma'!$E33:$DT33)</f>
        <v/>
      </c>
      <c r="I30" s="305">
        <f>SUMIF('Monthly Proforma'!$E$7:$DT$7,I$3,'Monthly Proforma'!$E33:$DT33)</f>
        <v/>
      </c>
      <c r="J30" s="305">
        <f>SUMIF('Monthly Proforma'!$E$7:$DT$7,J$3,'Monthly Proforma'!$E33:$DT33)</f>
        <v/>
      </c>
      <c r="K30" s="305">
        <f>SUMIF('Monthly Proforma'!$E$7:$DT$7,K$3,'Monthly Proforma'!$E33:$DT33)</f>
        <v/>
      </c>
      <c r="L30" s="305">
        <f>SUMIF('Monthly Proforma'!$E$7:$DT$7,L$3,'Monthly Proforma'!$E33:$DT33)</f>
        <v/>
      </c>
      <c r="M30" s="305">
        <f>SUMIF('Monthly Proforma'!$E$7:$DT$7,M$3,'Monthly Proforma'!$E33:$DT33)</f>
        <v/>
      </c>
    </row>
    <row r="31">
      <c r="B31" s="6" t="inlineStr">
        <is>
          <t>Total Unlevered Costs</t>
        </is>
      </c>
      <c r="C31" s="306">
        <f>SUM(C26:C30)</f>
        <v/>
      </c>
      <c r="D31" s="301">
        <f>SUM(D26:D27)</f>
        <v/>
      </c>
      <c r="E31" s="301">
        <f>SUM(E26:E27)</f>
        <v/>
      </c>
      <c r="F31" s="301">
        <f>SUM(F26:F27)</f>
        <v/>
      </c>
      <c r="G31" s="301">
        <f>SUM(G26:G27)</f>
        <v/>
      </c>
      <c r="H31" s="301">
        <f>SUM(H26:H27)</f>
        <v/>
      </c>
      <c r="I31" s="301">
        <f>SUM(I26:I27)</f>
        <v/>
      </c>
      <c r="J31" s="301">
        <f>SUM(J26:J27)</f>
        <v/>
      </c>
      <c r="K31" s="301">
        <f>SUM(K26:K27)</f>
        <v/>
      </c>
      <c r="L31" s="301">
        <f>SUM(L26:L27)</f>
        <v/>
      </c>
      <c r="M31" s="301">
        <f>SUM(M26:M27)</f>
        <v/>
      </c>
    </row>
    <row r="33">
      <c r="B33" s="8" t="inlineStr">
        <is>
          <t>(+) Net Operating Income</t>
        </is>
      </c>
      <c r="C33" s="32" t="n"/>
      <c r="D33" s="298">
        <f>SUMIF('Monthly Proforma'!$E$7:$DT$7,D$3,'Monthly Proforma'!$E36:$DT36)</f>
        <v/>
      </c>
      <c r="E33" s="298">
        <f>SUMIF('Monthly Proforma'!$E$7:$DT$7,E$3,'Monthly Proforma'!$E36:$DT36)</f>
        <v/>
      </c>
      <c r="F33" s="298">
        <f>SUMIF('Monthly Proforma'!$E$7:$DT$7,F$3,'Monthly Proforma'!$E36:$DT36)</f>
        <v/>
      </c>
      <c r="G33" s="298">
        <f>SUMIF('Monthly Proforma'!$E$7:$DT$7,G$3,'Monthly Proforma'!$E36:$DT36)</f>
        <v/>
      </c>
      <c r="H33" s="298">
        <f>SUMIF('Monthly Proforma'!$E$7:$DT$7,H$3,'Monthly Proforma'!$E36:$DT36)</f>
        <v/>
      </c>
      <c r="I33" s="298">
        <f>SUMIF('Monthly Proforma'!$E$7:$DT$7,I$3,'Monthly Proforma'!$E36:$DT36)</f>
        <v/>
      </c>
      <c r="J33" s="298">
        <f>SUMIF('Monthly Proforma'!$E$7:$DT$7,J$3,'Monthly Proforma'!$E36:$DT36)</f>
        <v/>
      </c>
      <c r="K33" s="298">
        <f>SUMIF('Monthly Proforma'!$E$7:$DT$7,K$3,'Monthly Proforma'!$E36:$DT36)</f>
        <v/>
      </c>
      <c r="L33" s="298">
        <f>SUMIF('Monthly Proforma'!$E$7:$DT$7,L$3,'Monthly Proforma'!$E36:$DT36)</f>
        <v/>
      </c>
      <c r="M33" s="298">
        <f>SUMIF('Monthly Proforma'!$E$7:$DT$7,M$3,'Monthly Proforma'!$E36:$DT36)</f>
        <v/>
      </c>
    </row>
    <row r="34">
      <c r="B34" s="6" t="inlineStr">
        <is>
          <t>Unlevered Operating Cash Flow</t>
        </is>
      </c>
      <c r="C34" s="31" t="n"/>
      <c r="D34" s="301">
        <f>SUM(D33:D33)</f>
        <v/>
      </c>
      <c r="E34" s="301">
        <f>SUM(E33:E33)</f>
        <v/>
      </c>
      <c r="F34" s="301">
        <f>SUM(F33:F33)</f>
        <v/>
      </c>
      <c r="G34" s="301">
        <f>SUM(G33:G33)</f>
        <v/>
      </c>
      <c r="H34" s="301">
        <f>SUM(H33:H33)</f>
        <v/>
      </c>
      <c r="I34" s="301">
        <f>SUM(I33:I33)</f>
        <v/>
      </c>
      <c r="J34" s="301">
        <f>SUM(J33:J33)</f>
        <v/>
      </c>
      <c r="K34" s="301">
        <f>SUM(K33:K33)</f>
        <v/>
      </c>
      <c r="L34" s="301">
        <f>SUM(L33:L33)</f>
        <v/>
      </c>
      <c r="M34" s="301">
        <f>SUM(M33:M33)</f>
        <v/>
      </c>
    </row>
    <row r="36">
      <c r="B36" s="1" t="inlineStr">
        <is>
          <t>(+) Gross Sales Proceeds</t>
        </is>
      </c>
      <c r="C36" s="31" t="n"/>
      <c r="D36" s="206">
        <f>SUMIF('Monthly Proforma'!$E$7:$DT$7,D$3,'Monthly Proforma'!$E39:$DT39)</f>
        <v/>
      </c>
      <c r="E36" s="206">
        <f>SUMIF('Monthly Proforma'!$E$7:$DT$7,E$3,'Monthly Proforma'!$E39:$DT39)</f>
        <v/>
      </c>
      <c r="F36" s="206">
        <f>SUMIF('Monthly Proforma'!$E$7:$DT$7,F$3,'Monthly Proforma'!$E39:$DT39)</f>
        <v/>
      </c>
      <c r="G36" s="206">
        <f>SUMIF('Monthly Proforma'!$E$7:$DT$7,G$3,'Monthly Proforma'!$E39:$DT39)</f>
        <v/>
      </c>
      <c r="H36" s="206">
        <f>SUMIF('Monthly Proforma'!$E$7:$DT$7,H$3,'Monthly Proforma'!$E39:$DT39)</f>
        <v/>
      </c>
      <c r="I36" s="206">
        <f>SUMIF('Monthly Proforma'!$E$7:$DT$7,I$3,'Monthly Proforma'!$E39:$DT39)</f>
        <v/>
      </c>
      <c r="J36" s="206">
        <f>SUMIF('Monthly Proforma'!$E$7:$DT$7,J$3,'Monthly Proforma'!$E39:$DT39)</f>
        <v/>
      </c>
      <c r="K36" s="206">
        <f>SUMIF('Monthly Proforma'!$E$7:$DT$7,K$3,'Monthly Proforma'!$E39:$DT39)</f>
        <v/>
      </c>
      <c r="L36" s="206">
        <f>SUMIF('Monthly Proforma'!$E$7:$DT$7,L$3,'Monthly Proforma'!$E39:$DT39)</f>
        <v/>
      </c>
      <c r="M36" s="206">
        <f>SUMIF('Monthly Proforma'!$E$7:$DT$7,M$3,'Monthly Proforma'!$E39:$DT39)</f>
        <v/>
      </c>
    </row>
    <row r="37">
      <c r="B37" s="8" t="inlineStr">
        <is>
          <t>(-) Sale Costs</t>
        </is>
      </c>
      <c r="C37" s="32" t="n"/>
      <c r="D37" s="298">
        <f>SUMIF('Monthly Proforma'!$E$7:$DT$7,D$3,'Monthly Proforma'!$E40:$DT40)</f>
        <v/>
      </c>
      <c r="E37" s="298">
        <f>SUMIF('Monthly Proforma'!$E$7:$DT$7,E$3,'Monthly Proforma'!$E40:$DT40)</f>
        <v/>
      </c>
      <c r="F37" s="298">
        <f>SUMIF('Monthly Proforma'!$E$7:$DT$7,F$3,'Monthly Proforma'!$E40:$DT40)</f>
        <v/>
      </c>
      <c r="G37" s="298">
        <f>SUMIF('Monthly Proforma'!$E$7:$DT$7,G$3,'Monthly Proforma'!$E40:$DT40)</f>
        <v/>
      </c>
      <c r="H37" s="298">
        <f>SUMIF('Monthly Proforma'!$E$7:$DT$7,H$3,'Monthly Proforma'!$E40:$DT40)</f>
        <v/>
      </c>
      <c r="I37" s="298">
        <f>SUMIF('Monthly Proforma'!$E$7:$DT$7,I$3,'Monthly Proforma'!$E40:$DT40)</f>
        <v/>
      </c>
      <c r="J37" s="298">
        <f>SUMIF('Monthly Proforma'!$E$7:$DT$7,J$3,'Monthly Proforma'!$E40:$DT40)</f>
        <v/>
      </c>
      <c r="K37" s="298">
        <f>SUMIF('Monthly Proforma'!$E$7:$DT$7,K$3,'Monthly Proforma'!$E40:$DT40)</f>
        <v/>
      </c>
      <c r="L37" s="298">
        <f>SUMIF('Monthly Proforma'!$E$7:$DT$7,L$3,'Monthly Proforma'!$E40:$DT40)</f>
        <v/>
      </c>
      <c r="M37" s="298">
        <f>SUMIF('Monthly Proforma'!$E$7:$DT$7,M$3,'Monthly Proforma'!$E40:$DT40)</f>
        <v/>
      </c>
    </row>
    <row r="38">
      <c r="B38" s="6" t="inlineStr">
        <is>
          <t>Total Unlevered Cash Flow</t>
        </is>
      </c>
      <c r="C38" s="306">
        <f>SUM(C31,C34,C36:C37)</f>
        <v/>
      </c>
      <c r="D38" s="301">
        <f>SUM(D36:D37,D34)</f>
        <v/>
      </c>
      <c r="E38" s="301">
        <f>SUM(E36:E37,E34)</f>
        <v/>
      </c>
      <c r="F38" s="301">
        <f>SUM(F36:F37,F34)</f>
        <v/>
      </c>
      <c r="G38" s="301">
        <f>SUM(G36:G37,G34)</f>
        <v/>
      </c>
      <c r="H38" s="301">
        <f>SUM(H36:H37,H34)</f>
        <v/>
      </c>
      <c r="I38" s="301">
        <f>SUM(I36:I37,I34)</f>
        <v/>
      </c>
      <c r="J38" s="301">
        <f>SUM(J36:J37,J34)</f>
        <v/>
      </c>
      <c r="K38" s="301">
        <f>SUM(K36:K37,K34)</f>
        <v/>
      </c>
      <c r="L38" s="301">
        <f>SUM(L36:L37,L34)</f>
        <v/>
      </c>
      <c r="M38" s="301">
        <f>SUM(M36:M37,M34)</f>
        <v/>
      </c>
    </row>
    <row r="39">
      <c r="B39" s="58" t="inlineStr">
        <is>
          <t>Cumulative</t>
        </is>
      </c>
      <c r="C39" s="307">
        <f>SUM($C$38:C38)</f>
        <v/>
      </c>
      <c r="D39" s="307">
        <f>SUM($C$38:D38)</f>
        <v/>
      </c>
      <c r="E39" s="307">
        <f>SUM($C$38:E38)</f>
        <v/>
      </c>
      <c r="F39" s="307">
        <f>SUM($C$38:F38)</f>
        <v/>
      </c>
      <c r="G39" s="307">
        <f>SUM($C$38:G38)</f>
        <v/>
      </c>
      <c r="H39" s="307">
        <f>SUM($C$38:H38)</f>
        <v/>
      </c>
      <c r="I39" s="307">
        <f>SUM($C$38:I38)</f>
        <v/>
      </c>
      <c r="J39" s="307">
        <f>SUM($C$38:J38)</f>
        <v/>
      </c>
      <c r="K39" s="307">
        <f>SUM($C$38:K38)</f>
        <v/>
      </c>
      <c r="L39" s="307">
        <f>SUM($C$38:L38)</f>
        <v/>
      </c>
      <c r="M39" s="307">
        <f>SUM($C$38:M38)</f>
        <v/>
      </c>
    </row>
    <row r="41">
      <c r="B41" s="50" t="inlineStr">
        <is>
          <t>Unlevered Returns</t>
        </is>
      </c>
      <c r="C41" s="51" t="n"/>
    </row>
    <row r="42">
      <c r="B42" s="74" t="inlineStr">
        <is>
          <t>IRR</t>
        </is>
      </c>
      <c r="C42" s="308">
        <f>'Monthly Proforma'!C45</f>
        <v/>
      </c>
    </row>
    <row r="43">
      <c r="B43" s="52" t="inlineStr">
        <is>
          <t>Equity Multiple</t>
        </is>
      </c>
      <c r="C43" s="309">
        <f>'Monthly Proforma'!C46</f>
        <v/>
      </c>
    </row>
    <row r="44">
      <c r="B44" s="52" t="inlineStr">
        <is>
          <t>Net Profit</t>
        </is>
      </c>
      <c r="C44" s="310">
        <f>'Monthly Proforma'!C47</f>
        <v/>
      </c>
    </row>
    <row r="45">
      <c r="B45" s="56" t="inlineStr">
        <is>
          <t>Peak Equity</t>
        </is>
      </c>
      <c r="C45" s="311">
        <f>'Monthly Proforma'!C48</f>
        <v/>
      </c>
    </row>
    <row r="47">
      <c r="B47" s="63" t="inlineStr">
        <is>
          <t>Levered Cash Flow</t>
        </is>
      </c>
      <c r="C47" s="64" t="n"/>
      <c r="D47" s="64" t="n"/>
      <c r="E47" s="64" t="n"/>
      <c r="F47" s="64" t="n"/>
      <c r="G47" s="64" t="n"/>
      <c r="H47" s="64" t="n"/>
      <c r="I47" s="64" t="n"/>
      <c r="J47" s="64" t="n"/>
      <c r="K47" s="64" t="n"/>
      <c r="L47" s="64" t="n"/>
      <c r="M47" s="64" t="n"/>
    </row>
    <row r="48">
      <c r="B48" s="65" t="inlineStr">
        <is>
          <t>(+) Unlevered Operating Cash Flow</t>
        </is>
      </c>
      <c r="C48" s="313">
        <f>C31+C34</f>
        <v/>
      </c>
      <c r="D48" s="206">
        <f>SUMIF('Monthly Proforma'!$E$7:$DT$7,D$3,'Monthly Proforma'!$E51:$DT51)</f>
        <v/>
      </c>
      <c r="E48" s="206">
        <f>SUMIF('Monthly Proforma'!$E$7:$DT$7,E$3,'Monthly Proforma'!$E51:$DT51)</f>
        <v/>
      </c>
      <c r="F48" s="206">
        <f>SUMIF('Monthly Proforma'!$E$7:$DT$7,F$3,'Monthly Proforma'!$E51:$DT51)</f>
        <v/>
      </c>
      <c r="G48" s="206">
        <f>SUMIF('Monthly Proforma'!$E$7:$DT$7,G$3,'Monthly Proforma'!$E51:$DT51)</f>
        <v/>
      </c>
      <c r="H48" s="206">
        <f>SUMIF('Monthly Proforma'!$E$7:$DT$7,H$3,'Monthly Proforma'!$E51:$DT51)</f>
        <v/>
      </c>
      <c r="I48" s="206">
        <f>SUMIF('Monthly Proforma'!$E$7:$DT$7,I$3,'Monthly Proforma'!$E51:$DT51)</f>
        <v/>
      </c>
      <c r="J48" s="206">
        <f>SUMIF('Monthly Proforma'!$E$7:$DT$7,J$3,'Monthly Proforma'!$E51:$DT51)</f>
        <v/>
      </c>
      <c r="K48" s="206">
        <f>SUMIF('Monthly Proforma'!$E$7:$DT$7,K$3,'Monthly Proforma'!$E51:$DT51)</f>
        <v/>
      </c>
      <c r="L48" s="206">
        <f>SUMIF('Monthly Proforma'!$E$7:$DT$7,L$3,'Monthly Proforma'!$E51:$DT51)</f>
        <v/>
      </c>
      <c r="M48" s="206">
        <f>SUMIF('Monthly Proforma'!$E$7:$DT$7,M$3,'Monthly Proforma'!$E51:$DT51)</f>
        <v/>
      </c>
    </row>
    <row r="49">
      <c r="B49" s="65" t="inlineStr">
        <is>
          <t>(-) Interest</t>
        </is>
      </c>
      <c r="C49" s="31" t="n"/>
      <c r="D49" s="206">
        <f>SUMIF('Monthly Proforma'!$E$7:$DT$7,D$3,'Monthly Proforma'!$E52:$DT52)</f>
        <v/>
      </c>
      <c r="E49" s="206">
        <f>SUMIF('Monthly Proforma'!$E$7:$DT$7,E$3,'Monthly Proforma'!$E52:$DT52)</f>
        <v/>
      </c>
      <c r="F49" s="206">
        <f>SUMIF('Monthly Proforma'!$E$7:$DT$7,F$3,'Monthly Proforma'!$E52:$DT52)</f>
        <v/>
      </c>
      <c r="G49" s="206">
        <f>SUMIF('Monthly Proforma'!$E$7:$DT$7,G$3,'Monthly Proforma'!$E52:$DT52)</f>
        <v/>
      </c>
      <c r="H49" s="206">
        <f>SUMIF('Monthly Proforma'!$E$7:$DT$7,H$3,'Monthly Proforma'!$E52:$DT52)</f>
        <v/>
      </c>
      <c r="I49" s="206">
        <f>SUMIF('Monthly Proforma'!$E$7:$DT$7,I$3,'Monthly Proforma'!$E52:$DT52)</f>
        <v/>
      </c>
      <c r="J49" s="206">
        <f>SUMIF('Monthly Proforma'!$E$7:$DT$7,J$3,'Monthly Proforma'!$E52:$DT52)</f>
        <v/>
      </c>
      <c r="K49" s="206">
        <f>SUMIF('Monthly Proforma'!$E$7:$DT$7,K$3,'Monthly Proforma'!$E52:$DT52)</f>
        <v/>
      </c>
      <c r="L49" s="206">
        <f>SUMIF('Monthly Proforma'!$E$7:$DT$7,L$3,'Monthly Proforma'!$E52:$DT52)</f>
        <v/>
      </c>
      <c r="M49" s="206">
        <f>SUMIF('Monthly Proforma'!$E$7:$DT$7,M$3,'Monthly Proforma'!$E52:$DT52)</f>
        <v/>
      </c>
    </row>
    <row r="50">
      <c r="B50" s="67" t="inlineStr">
        <is>
          <t>(-) Principal</t>
        </is>
      </c>
      <c r="C50" s="32" t="n"/>
      <c r="D50" s="298">
        <f>SUMIF('Monthly Proforma'!$E$7:$DT$7,D$3,'Monthly Proforma'!$E53:$DT53)</f>
        <v/>
      </c>
      <c r="E50" s="298">
        <f>SUMIF('Monthly Proforma'!$E$7:$DT$7,E$3,'Monthly Proforma'!$E53:$DT53)</f>
        <v/>
      </c>
      <c r="F50" s="298">
        <f>SUMIF('Monthly Proforma'!$E$7:$DT$7,F$3,'Monthly Proforma'!$E53:$DT53)</f>
        <v/>
      </c>
      <c r="G50" s="298">
        <f>SUMIF('Monthly Proforma'!$E$7:$DT$7,G$3,'Monthly Proforma'!$E53:$DT53)</f>
        <v/>
      </c>
      <c r="H50" s="298">
        <f>SUMIF('Monthly Proforma'!$E$7:$DT$7,H$3,'Monthly Proforma'!$E53:$DT53)</f>
        <v/>
      </c>
      <c r="I50" s="298">
        <f>SUMIF('Monthly Proforma'!$E$7:$DT$7,I$3,'Monthly Proforma'!$E53:$DT53)</f>
        <v/>
      </c>
      <c r="J50" s="298">
        <f>SUMIF('Monthly Proforma'!$E$7:$DT$7,J$3,'Monthly Proforma'!$E53:$DT53)</f>
        <v/>
      </c>
      <c r="K50" s="298">
        <f>SUMIF('Monthly Proforma'!$E$7:$DT$7,K$3,'Monthly Proforma'!$E53:$DT53)</f>
        <v/>
      </c>
      <c r="L50" s="298">
        <f>SUMIF('Monthly Proforma'!$E$7:$DT$7,L$3,'Monthly Proforma'!$E53:$DT53)</f>
        <v/>
      </c>
      <c r="M50" s="298">
        <f>SUMIF('Monthly Proforma'!$E$7:$DT$7,M$3,'Monthly Proforma'!$E53:$DT53)</f>
        <v/>
      </c>
    </row>
    <row r="51">
      <c r="B51" s="6" t="inlineStr">
        <is>
          <t>Levered Operating Cash Flow</t>
        </is>
      </c>
      <c r="C51" s="306">
        <f>SUM(C48:C50)</f>
        <v/>
      </c>
      <c r="D51" s="301">
        <f>SUM(D48:D50)</f>
        <v/>
      </c>
      <c r="E51" s="301">
        <f>SUM(E48:E50)</f>
        <v/>
      </c>
      <c r="F51" s="301">
        <f>SUM(F48:F50)</f>
        <v/>
      </c>
      <c r="G51" s="301">
        <f>SUM(G48:G50)</f>
        <v/>
      </c>
      <c r="H51" s="301">
        <f>SUM(H48:H50)</f>
        <v/>
      </c>
      <c r="I51" s="301">
        <f>SUM(I48:I50)</f>
        <v/>
      </c>
      <c r="J51" s="301">
        <f>SUM(J48:J50)</f>
        <v/>
      </c>
      <c r="K51" s="301">
        <f>SUM(K48:K50)</f>
        <v/>
      </c>
      <c r="L51" s="301">
        <f>SUM(L48:L50)</f>
        <v/>
      </c>
      <c r="M51" s="301">
        <f>SUM(M48:M50)</f>
        <v/>
      </c>
    </row>
    <row r="53">
      <c r="B53" s="1">
        <f>'Monthly Proforma'!B56</f>
        <v/>
      </c>
      <c r="C53" s="299">
        <f>'Monthly Proforma'!D56</f>
        <v/>
      </c>
      <c r="D53" s="304">
        <f>SUMIF('Monthly Proforma'!$E$7:$DT$7,D$3,'Monthly Proforma'!$E56:$DT56)</f>
        <v/>
      </c>
      <c r="E53" s="304">
        <f>SUMIF('Monthly Proforma'!$E$7:$DT$7,E$3,'Monthly Proforma'!$E56:$DT56)</f>
        <v/>
      </c>
      <c r="F53" s="304">
        <f>SUMIF('Monthly Proforma'!$E$7:$DT$7,F$3,'Monthly Proforma'!$E56:$DT56)</f>
        <v/>
      </c>
      <c r="G53" s="304">
        <f>SUMIF('Monthly Proforma'!$E$7:$DT$7,G$3,'Monthly Proforma'!$E56:$DT56)</f>
        <v/>
      </c>
      <c r="H53" s="304">
        <f>SUMIF('Monthly Proforma'!$E$7:$DT$7,H$3,'Monthly Proforma'!$E56:$DT56)</f>
        <v/>
      </c>
      <c r="I53" s="304">
        <f>SUMIF('Monthly Proforma'!$E$7:$DT$7,I$3,'Monthly Proforma'!$E56:$DT56)</f>
        <v/>
      </c>
      <c r="J53" s="304">
        <f>SUMIF('Monthly Proforma'!$E$7:$DT$7,J$3,'Monthly Proforma'!$E56:$DT56)</f>
        <v/>
      </c>
      <c r="K53" s="304">
        <f>SUMIF('Monthly Proforma'!$E$7:$DT$7,K$3,'Monthly Proforma'!$E56:$DT56)</f>
        <v/>
      </c>
      <c r="L53" s="304">
        <f>SUMIF('Monthly Proforma'!$E$7:$DT$7,L$3,'Monthly Proforma'!$E56:$DT56)</f>
        <v/>
      </c>
      <c r="M53" s="304">
        <f>SUMIF('Monthly Proforma'!$E$7:$DT$7,M$3,'Monthly Proforma'!$E56:$DT56)</f>
        <v/>
      </c>
    </row>
    <row r="54">
      <c r="B54" s="1">
        <f>'Monthly Proforma'!B57</f>
        <v/>
      </c>
      <c r="C54" s="299">
        <f>'Monthly Proforma'!D57</f>
        <v/>
      </c>
      <c r="D54" s="304">
        <f>SUMIF('Monthly Proforma'!$E$7:$DT$7,D$3,'Monthly Proforma'!$E57:$DT57)</f>
        <v/>
      </c>
      <c r="E54" s="304">
        <f>SUMIF('Monthly Proforma'!$E$7:$DT$7,E$3,'Monthly Proforma'!$E57:$DT57)</f>
        <v/>
      </c>
      <c r="F54" s="304">
        <f>SUMIF('Monthly Proforma'!$E$7:$DT$7,F$3,'Monthly Proforma'!$E57:$DT57)</f>
        <v/>
      </c>
      <c r="G54" s="304">
        <f>SUMIF('Monthly Proforma'!$E$7:$DT$7,G$3,'Monthly Proforma'!$E57:$DT57)</f>
        <v/>
      </c>
      <c r="H54" s="304">
        <f>SUMIF('Monthly Proforma'!$E$7:$DT$7,H$3,'Monthly Proforma'!$E57:$DT57)</f>
        <v/>
      </c>
      <c r="I54" s="304">
        <f>SUMIF('Monthly Proforma'!$E$7:$DT$7,I$3,'Monthly Proforma'!$E57:$DT57)</f>
        <v/>
      </c>
      <c r="J54" s="304">
        <f>SUMIF('Monthly Proforma'!$E$7:$DT$7,J$3,'Monthly Proforma'!$E57:$DT57)</f>
        <v/>
      </c>
      <c r="K54" s="304">
        <f>SUMIF('Monthly Proforma'!$E$7:$DT$7,K$3,'Monthly Proforma'!$E57:$DT57)</f>
        <v/>
      </c>
      <c r="L54" s="304">
        <f>SUMIF('Monthly Proforma'!$E$7:$DT$7,L$3,'Monthly Proforma'!$E57:$DT57)</f>
        <v/>
      </c>
      <c r="M54" s="304">
        <f>SUMIF('Monthly Proforma'!$E$7:$DT$7,M$3,'Monthly Proforma'!$E57:$DT57)</f>
        <v/>
      </c>
    </row>
    <row r="55">
      <c r="B55" s="1" t="inlineStr">
        <is>
          <t>(-) Loan Payoff</t>
        </is>
      </c>
      <c r="C55" s="315" t="n"/>
      <c r="D55" s="206">
        <f>SUMIF('Monthly Proforma'!$E$7:$DT$7,D$3,'Monthly Proforma'!$E58:$DT58)</f>
        <v/>
      </c>
      <c r="E55" s="206">
        <f>SUMIF('Monthly Proforma'!$E$7:$DT$7,E$3,'Monthly Proforma'!$E58:$DT58)</f>
        <v/>
      </c>
      <c r="F55" s="206">
        <f>SUMIF('Monthly Proforma'!$E$7:$DT$7,F$3,'Monthly Proforma'!$E58:$DT58)</f>
        <v/>
      </c>
      <c r="G55" s="206">
        <f>SUMIF('Monthly Proforma'!$E$7:$DT$7,G$3,'Monthly Proforma'!$E58:$DT58)</f>
        <v/>
      </c>
      <c r="H55" s="206">
        <f>SUMIF('Monthly Proforma'!$E$7:$DT$7,H$3,'Monthly Proforma'!$E58:$DT58)</f>
        <v/>
      </c>
      <c r="I55" s="206">
        <f>SUMIF('Monthly Proforma'!$E$7:$DT$7,I$3,'Monthly Proforma'!$E58:$DT58)</f>
        <v/>
      </c>
      <c r="J55" s="206">
        <f>SUMIF('Monthly Proforma'!$E$7:$DT$7,J$3,'Monthly Proforma'!$E58:$DT58)</f>
        <v/>
      </c>
      <c r="K55" s="206">
        <f>SUMIF('Monthly Proforma'!$E$7:$DT$7,K$3,'Monthly Proforma'!$E58:$DT58)</f>
        <v/>
      </c>
      <c r="L55" s="206">
        <f>SUMIF('Monthly Proforma'!$E$7:$DT$7,L$3,'Monthly Proforma'!$E58:$DT58)</f>
        <v/>
      </c>
      <c r="M55" s="206">
        <f>SUMIF('Monthly Proforma'!$E$7:$DT$7,M$3,'Monthly Proforma'!$E58:$DT58)</f>
        <v/>
      </c>
    </row>
    <row r="56">
      <c r="B56" s="1" t="inlineStr">
        <is>
          <t>(+) Gross Sales Proceeds</t>
        </is>
      </c>
      <c r="C56" s="31" t="n"/>
      <c r="D56" s="206">
        <f>SUMIF('Monthly Proforma'!$E$7:$DT$7,D$3,'Monthly Proforma'!$E59:$DT59)</f>
        <v/>
      </c>
      <c r="E56" s="206">
        <f>SUMIF('Monthly Proforma'!$E$7:$DT$7,E$3,'Monthly Proforma'!$E59:$DT59)</f>
        <v/>
      </c>
      <c r="F56" s="206">
        <f>SUMIF('Monthly Proforma'!$E$7:$DT$7,F$3,'Monthly Proforma'!$E59:$DT59)</f>
        <v/>
      </c>
      <c r="G56" s="206">
        <f>SUMIF('Monthly Proforma'!$E$7:$DT$7,G$3,'Monthly Proforma'!$E59:$DT59)</f>
        <v/>
      </c>
      <c r="H56" s="206">
        <f>SUMIF('Monthly Proforma'!$E$7:$DT$7,H$3,'Monthly Proforma'!$E59:$DT59)</f>
        <v/>
      </c>
      <c r="I56" s="206">
        <f>SUMIF('Monthly Proforma'!$E$7:$DT$7,I$3,'Monthly Proforma'!$E59:$DT59)</f>
        <v/>
      </c>
      <c r="J56" s="206">
        <f>SUMIF('Monthly Proforma'!$E$7:$DT$7,J$3,'Monthly Proforma'!$E59:$DT59)</f>
        <v/>
      </c>
      <c r="K56" s="206">
        <f>SUMIF('Monthly Proforma'!$E$7:$DT$7,K$3,'Monthly Proforma'!$E59:$DT59)</f>
        <v/>
      </c>
      <c r="L56" s="206">
        <f>SUMIF('Monthly Proforma'!$E$7:$DT$7,L$3,'Monthly Proforma'!$E59:$DT59)</f>
        <v/>
      </c>
      <c r="M56" s="206">
        <f>SUMIF('Monthly Proforma'!$E$7:$DT$7,M$3,'Monthly Proforma'!$E59:$DT59)</f>
        <v/>
      </c>
    </row>
    <row r="57">
      <c r="B57" s="8" t="inlineStr">
        <is>
          <t>(-) Sale Costs</t>
        </is>
      </c>
      <c r="C57" s="32" t="n"/>
      <c r="D57" s="298">
        <f>SUMIF('Monthly Proforma'!$E$7:$DT$7,D$3,'Monthly Proforma'!$E60:$DT60)</f>
        <v/>
      </c>
      <c r="E57" s="298">
        <f>SUMIF('Monthly Proforma'!$E$7:$DT$7,E$3,'Monthly Proforma'!$E60:$DT60)</f>
        <v/>
      </c>
      <c r="F57" s="298">
        <f>SUMIF('Monthly Proforma'!$E$7:$DT$7,F$3,'Monthly Proforma'!$E60:$DT60)</f>
        <v/>
      </c>
      <c r="G57" s="298">
        <f>SUMIF('Monthly Proforma'!$E$7:$DT$7,G$3,'Monthly Proforma'!$E60:$DT60)</f>
        <v/>
      </c>
      <c r="H57" s="298">
        <f>SUMIF('Monthly Proforma'!$E$7:$DT$7,H$3,'Monthly Proforma'!$E60:$DT60)</f>
        <v/>
      </c>
      <c r="I57" s="298">
        <f>SUMIF('Monthly Proforma'!$E$7:$DT$7,I$3,'Monthly Proforma'!$E60:$DT60)</f>
        <v/>
      </c>
      <c r="J57" s="298">
        <f>SUMIF('Monthly Proforma'!$E$7:$DT$7,J$3,'Monthly Proforma'!$E60:$DT60)</f>
        <v/>
      </c>
      <c r="K57" s="298">
        <f>SUMIF('Monthly Proforma'!$E$7:$DT$7,K$3,'Monthly Proforma'!$E60:$DT60)</f>
        <v/>
      </c>
      <c r="L57" s="298">
        <f>SUMIF('Monthly Proforma'!$E$7:$DT$7,L$3,'Monthly Proforma'!$E60:$DT60)</f>
        <v/>
      </c>
      <c r="M57" s="298">
        <f>SUMIF('Monthly Proforma'!$E$7:$DT$7,M$3,'Monthly Proforma'!$E60:$DT60)</f>
        <v/>
      </c>
    </row>
    <row r="58">
      <c r="B58" s="6" t="inlineStr">
        <is>
          <t>Total Levered Cash Flow</t>
        </is>
      </c>
      <c r="C58" s="306">
        <f>SUM(C51,C53:C57)</f>
        <v/>
      </c>
      <c r="D58" s="301">
        <f>SUM(D53:D57)</f>
        <v/>
      </c>
      <c r="E58" s="301">
        <f>SUM(E53:E57)</f>
        <v/>
      </c>
      <c r="F58" s="301">
        <f>SUM(F53:F57)</f>
        <v/>
      </c>
      <c r="G58" s="301">
        <f>SUM(G53:G57)</f>
        <v/>
      </c>
      <c r="H58" s="301">
        <f>SUM(H53:H57)</f>
        <v/>
      </c>
      <c r="I58" s="301">
        <f>SUM(I53:I57)</f>
        <v/>
      </c>
      <c r="J58" s="301">
        <f>SUM(J53:J57)</f>
        <v/>
      </c>
      <c r="K58" s="301">
        <f>SUM(K53:K57)</f>
        <v/>
      </c>
      <c r="L58" s="301">
        <f>SUM(L53:L57)</f>
        <v/>
      </c>
      <c r="M58" s="301">
        <f>SUM(M53:M57)</f>
        <v/>
      </c>
    </row>
    <row r="59">
      <c r="B59" s="58" t="inlineStr">
        <is>
          <t>Cumulative</t>
        </is>
      </c>
      <c r="C59" s="307">
        <f>SUM($C$58:C58)</f>
        <v/>
      </c>
      <c r="D59" s="307">
        <f>SUM($C$58:D58)</f>
        <v/>
      </c>
      <c r="E59" s="307">
        <f>SUM($C$58:E58)</f>
        <v/>
      </c>
      <c r="F59" s="307">
        <f>SUM($C$58:F58)</f>
        <v/>
      </c>
      <c r="G59" s="307">
        <f>SUM($C$58:G58)</f>
        <v/>
      </c>
      <c r="H59" s="307">
        <f>SUM($C$58:H58)</f>
        <v/>
      </c>
      <c r="I59" s="307">
        <f>SUM($C$58:I58)</f>
        <v/>
      </c>
      <c r="J59" s="307">
        <f>SUM($C$58:J58)</f>
        <v/>
      </c>
      <c r="K59" s="307">
        <f>SUM($C$58:K58)</f>
        <v/>
      </c>
      <c r="L59" s="307">
        <f>SUM($C$58:L58)</f>
        <v/>
      </c>
      <c r="M59" s="307">
        <f>SUM($C$58:M58)</f>
        <v/>
      </c>
    </row>
    <row r="61">
      <c r="B61" s="50" t="inlineStr">
        <is>
          <t>Levered Returns</t>
        </is>
      </c>
      <c r="C61" s="51" t="n"/>
    </row>
    <row r="62">
      <c r="B62" s="52" t="inlineStr">
        <is>
          <t>IRR</t>
        </is>
      </c>
      <c r="C62" s="308">
        <f>'Monthly Proforma'!C65</f>
        <v/>
      </c>
    </row>
    <row r="63">
      <c r="B63" s="52" t="inlineStr">
        <is>
          <t>Equity Multiple</t>
        </is>
      </c>
      <c r="C63" s="309">
        <f>'Monthly Proforma'!C66</f>
        <v/>
      </c>
    </row>
    <row r="64">
      <c r="B64" s="52" t="inlineStr">
        <is>
          <t>Net Profit</t>
        </is>
      </c>
      <c r="C64" s="310">
        <f>'Monthly Proforma'!C67</f>
        <v/>
      </c>
    </row>
    <row r="65">
      <c r="B65" s="56" t="inlineStr">
        <is>
          <t>Peak Equity</t>
        </is>
      </c>
      <c r="C65" s="311">
        <f>'Monthly Proforma'!C68</f>
        <v/>
      </c>
    </row>
    <row r="67">
      <c r="D67" s="18" t="n"/>
      <c r="E67" s="18" t="n"/>
      <c r="F67" s="18" t="n"/>
      <c r="G67" s="18" t="n"/>
    </row>
    <row r="69">
      <c r="D69" s="320" t="n"/>
    </row>
  </sheetData>
  <pageMargins left="0.25" right="0.25" top="0.25" bottom="0.25" header="0.25" footer="0.25"/>
  <pageSetup orientation="landscape" scale="54"/>
  <headerFooter>
    <oddHeader/>
    <oddFooter>&amp;C&amp;"Aptos"&amp;10 &amp;K000000_x000d_# Barings-Public</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2:F32"/>
  <sheetViews>
    <sheetView showGridLines="0" workbookViewId="0">
      <selection activeCell="A1" sqref="A1"/>
    </sheetView>
  </sheetViews>
  <sheetFormatPr baseColWidth="8" defaultColWidth="9" defaultRowHeight="15"/>
  <cols>
    <col width="4.75" customWidth="1" style="1" min="1" max="1"/>
    <col width="4.5" bestFit="1" customWidth="1" style="135" min="2" max="2"/>
    <col width="10.75" bestFit="1" customWidth="1" style="135" min="3" max="3"/>
    <col width="12.5" bestFit="1" customWidth="1" style="135" min="4" max="4"/>
    <col width="11.5" bestFit="1" customWidth="1" style="135" min="5" max="5"/>
    <col width="13.625" bestFit="1" customWidth="1" style="135" min="6" max="6"/>
    <col width="9" customWidth="1" style="1" min="7" max="16384"/>
  </cols>
  <sheetData>
    <row r="2">
      <c r="B2" s="134" t="inlineStr">
        <is>
          <t>Year</t>
        </is>
      </c>
      <c r="C2" s="134" t="inlineStr">
        <is>
          <t>Beg Balance</t>
        </is>
      </c>
      <c r="D2" s="134" t="inlineStr">
        <is>
          <t>Principal PMT</t>
        </is>
      </c>
      <c r="E2" s="134" t="inlineStr">
        <is>
          <t>Interest PMT</t>
        </is>
      </c>
      <c r="F2" s="134" t="inlineStr">
        <is>
          <t>Ending Balance</t>
        </is>
      </c>
    </row>
    <row r="3">
      <c r="B3" s="135" t="n">
        <v>1</v>
      </c>
      <c r="C3" s="244">
        <f>'Inputs &amp; Summary'!P12</f>
        <v/>
      </c>
      <c r="D3" s="244">
        <f>PPMT(LoanRate,$B3,LoanAmortization,-LoanAmount)</f>
        <v/>
      </c>
      <c r="E3" s="244">
        <f>IPMT(LoanRate,$B3,LoanAmortization,-LoanAmount)</f>
        <v/>
      </c>
      <c r="F3" s="244">
        <f>C3-D3</f>
        <v/>
      </c>
    </row>
    <row r="4">
      <c r="B4" s="135">
        <f>B3+1</f>
        <v/>
      </c>
      <c r="C4" s="244">
        <f>F3</f>
        <v/>
      </c>
      <c r="D4" s="244">
        <f>PPMT(LoanRate,$B4,LoanAmortization,-LoanAmount)</f>
        <v/>
      </c>
      <c r="E4" s="244">
        <f>IPMT(LoanRate,$B4,LoanAmortization,-LoanAmount)</f>
        <v/>
      </c>
      <c r="F4" s="244">
        <f>C4-D4</f>
        <v/>
      </c>
    </row>
    <row r="5">
      <c r="B5" s="135">
        <f>B4+1</f>
        <v/>
      </c>
      <c r="C5" s="244">
        <f>F4</f>
        <v/>
      </c>
      <c r="D5" s="244">
        <f>PPMT(LoanRate,$B5,LoanAmortization,-LoanAmount)</f>
        <v/>
      </c>
      <c r="E5" s="244">
        <f>IPMT(LoanRate,$B5,LoanAmortization,-LoanAmount)</f>
        <v/>
      </c>
      <c r="F5" s="244">
        <f>C5-D5</f>
        <v/>
      </c>
    </row>
    <row r="6">
      <c r="B6" s="135">
        <f>B5+1</f>
        <v/>
      </c>
      <c r="C6" s="244">
        <f>F5</f>
        <v/>
      </c>
      <c r="D6" s="244">
        <f>PPMT(LoanRate,$B6,LoanAmortization,-LoanAmount)</f>
        <v/>
      </c>
      <c r="E6" s="244">
        <f>IPMT(LoanRate,$B6,LoanAmortization,-LoanAmount)</f>
        <v/>
      </c>
      <c r="F6" s="244">
        <f>C6-D6</f>
        <v/>
      </c>
    </row>
    <row r="7">
      <c r="B7" s="135">
        <f>B6+1</f>
        <v/>
      </c>
      <c r="C7" s="244">
        <f>F6</f>
        <v/>
      </c>
      <c r="D7" s="244">
        <f>PPMT(LoanRate,$B7,LoanAmortization,-LoanAmount)</f>
        <v/>
      </c>
      <c r="E7" s="244">
        <f>IPMT(LoanRate,$B7,LoanAmortization,-LoanAmount)</f>
        <v/>
      </c>
      <c r="F7" s="244">
        <f>C7-D7</f>
        <v/>
      </c>
    </row>
    <row r="8">
      <c r="B8" s="135">
        <f>B7+1</f>
        <v/>
      </c>
      <c r="C8" s="244">
        <f>F7</f>
        <v/>
      </c>
      <c r="D8" s="244">
        <f>PPMT(LoanRate,$B8,LoanAmortization,-LoanAmount)</f>
        <v/>
      </c>
      <c r="E8" s="244">
        <f>IPMT(LoanRate,$B8,LoanAmortization,-LoanAmount)</f>
        <v/>
      </c>
      <c r="F8" s="244">
        <f>C8-D8</f>
        <v/>
      </c>
    </row>
    <row r="9">
      <c r="B9" s="135">
        <f>B8+1</f>
        <v/>
      </c>
      <c r="C9" s="244">
        <f>F8</f>
        <v/>
      </c>
      <c r="D9" s="244">
        <f>PPMT(LoanRate,$B9,LoanAmortization,-LoanAmount)</f>
        <v/>
      </c>
      <c r="E9" s="244">
        <f>IPMT(LoanRate,$B9,LoanAmortization,-LoanAmount)</f>
        <v/>
      </c>
      <c r="F9" s="244">
        <f>C9-D9</f>
        <v/>
      </c>
    </row>
    <row r="10">
      <c r="B10" s="135">
        <f>B9+1</f>
        <v/>
      </c>
      <c r="C10" s="244">
        <f>F9</f>
        <v/>
      </c>
      <c r="D10" s="244">
        <f>PPMT(LoanRate,$B10,LoanAmortization,-LoanAmount)</f>
        <v/>
      </c>
      <c r="E10" s="244">
        <f>IPMT(LoanRate,$B10,LoanAmortization,-LoanAmount)</f>
        <v/>
      </c>
      <c r="F10" s="244">
        <f>C10-D10</f>
        <v/>
      </c>
    </row>
    <row r="11">
      <c r="B11" s="135">
        <f>B10+1</f>
        <v/>
      </c>
      <c r="C11" s="244">
        <f>F10</f>
        <v/>
      </c>
      <c r="D11" s="244">
        <f>PPMT(LoanRate,$B11,LoanAmortization,-LoanAmount)</f>
        <v/>
      </c>
      <c r="E11" s="244">
        <f>IPMT(LoanRate,$B11,LoanAmortization,-LoanAmount)</f>
        <v/>
      </c>
      <c r="F11" s="244">
        <f>C11-D11</f>
        <v/>
      </c>
    </row>
    <row r="12">
      <c r="B12" s="135">
        <f>B11+1</f>
        <v/>
      </c>
      <c r="C12" s="244">
        <f>F11</f>
        <v/>
      </c>
      <c r="D12" s="244">
        <f>PPMT(LoanRate,$B12,LoanAmortization,-LoanAmount)</f>
        <v/>
      </c>
      <c r="E12" s="244">
        <f>IPMT(LoanRate,$B12,LoanAmortization,-LoanAmount)</f>
        <v/>
      </c>
      <c r="F12" s="244">
        <f>C12-D12</f>
        <v/>
      </c>
    </row>
    <row r="13">
      <c r="B13" s="135">
        <f>B12+1</f>
        <v/>
      </c>
      <c r="C13" s="244">
        <f>F12</f>
        <v/>
      </c>
      <c r="D13" s="244">
        <f>PPMT(LoanRate,$B13,LoanAmortization,-LoanAmount)</f>
        <v/>
      </c>
      <c r="E13" s="244">
        <f>IPMT(LoanRate,$B13,LoanAmortization,-LoanAmount)</f>
        <v/>
      </c>
      <c r="F13" s="244">
        <f>C13-D13</f>
        <v/>
      </c>
    </row>
    <row r="14">
      <c r="B14" s="135">
        <f>B13+1</f>
        <v/>
      </c>
      <c r="C14" s="244">
        <f>F13</f>
        <v/>
      </c>
      <c r="D14" s="244">
        <f>PPMT(LoanRate,$B14,LoanAmortization,-LoanAmount)</f>
        <v/>
      </c>
      <c r="E14" s="244">
        <f>IPMT(LoanRate,$B14,LoanAmortization,-LoanAmount)</f>
        <v/>
      </c>
      <c r="F14" s="244">
        <f>C14-D14</f>
        <v/>
      </c>
    </row>
    <row r="15">
      <c r="B15" s="135">
        <f>B14+1</f>
        <v/>
      </c>
      <c r="C15" s="244">
        <f>F14</f>
        <v/>
      </c>
      <c r="D15" s="244">
        <f>PPMT(LoanRate,$B15,LoanAmortization,-LoanAmount)</f>
        <v/>
      </c>
      <c r="E15" s="244">
        <f>IPMT(LoanRate,$B15,LoanAmortization,-LoanAmount)</f>
        <v/>
      </c>
      <c r="F15" s="244">
        <f>C15-D15</f>
        <v/>
      </c>
    </row>
    <row r="16">
      <c r="B16" s="135">
        <f>B15+1</f>
        <v/>
      </c>
      <c r="C16" s="244">
        <f>F15</f>
        <v/>
      </c>
      <c r="D16" s="244">
        <f>PPMT(LoanRate,$B16,LoanAmortization,-LoanAmount)</f>
        <v/>
      </c>
      <c r="E16" s="244">
        <f>IPMT(LoanRate,$B16,LoanAmortization,-LoanAmount)</f>
        <v/>
      </c>
      <c r="F16" s="244">
        <f>C16-D16</f>
        <v/>
      </c>
    </row>
    <row r="17">
      <c r="B17" s="135">
        <f>B16+1</f>
        <v/>
      </c>
      <c r="C17" s="244">
        <f>F16</f>
        <v/>
      </c>
      <c r="D17" s="244">
        <f>PPMT(LoanRate,$B17,LoanAmortization,-LoanAmount)</f>
        <v/>
      </c>
      <c r="E17" s="244">
        <f>IPMT(LoanRate,$B17,LoanAmortization,-LoanAmount)</f>
        <v/>
      </c>
      <c r="F17" s="244">
        <f>C17-D17</f>
        <v/>
      </c>
    </row>
    <row r="18">
      <c r="B18" s="135">
        <f>B17+1</f>
        <v/>
      </c>
      <c r="C18" s="244">
        <f>F17</f>
        <v/>
      </c>
      <c r="D18" s="244">
        <f>PPMT(LoanRate,$B18,LoanAmortization,-LoanAmount)</f>
        <v/>
      </c>
      <c r="E18" s="244">
        <f>IPMT(LoanRate,$B18,LoanAmortization,-LoanAmount)</f>
        <v/>
      </c>
      <c r="F18" s="244">
        <f>C18-D18</f>
        <v/>
      </c>
    </row>
    <row r="19">
      <c r="B19" s="135">
        <f>B18+1</f>
        <v/>
      </c>
      <c r="C19" s="244">
        <f>F18</f>
        <v/>
      </c>
      <c r="D19" s="244">
        <f>PPMT(LoanRate,$B19,LoanAmortization,-LoanAmount)</f>
        <v/>
      </c>
      <c r="E19" s="244">
        <f>IPMT(LoanRate,$B19,LoanAmortization,-LoanAmount)</f>
        <v/>
      </c>
      <c r="F19" s="244">
        <f>C19-D19</f>
        <v/>
      </c>
    </row>
    <row r="20">
      <c r="B20" s="135">
        <f>B19+1</f>
        <v/>
      </c>
      <c r="C20" s="244">
        <f>F19</f>
        <v/>
      </c>
      <c r="D20" s="244">
        <f>PPMT(LoanRate,$B20,LoanAmortization,-LoanAmount)</f>
        <v/>
      </c>
      <c r="E20" s="244">
        <f>IPMT(LoanRate,$B20,LoanAmortization,-LoanAmount)</f>
        <v/>
      </c>
      <c r="F20" s="244">
        <f>C20-D20</f>
        <v/>
      </c>
    </row>
    <row r="21">
      <c r="B21" s="135">
        <f>B20+1</f>
        <v/>
      </c>
      <c r="C21" s="244">
        <f>F20</f>
        <v/>
      </c>
      <c r="D21" s="244">
        <f>PPMT(LoanRate,$B21,LoanAmortization,-LoanAmount)</f>
        <v/>
      </c>
      <c r="E21" s="244">
        <f>IPMT(LoanRate,$B21,LoanAmortization,-LoanAmount)</f>
        <v/>
      </c>
      <c r="F21" s="244">
        <f>C21-D21</f>
        <v/>
      </c>
    </row>
    <row r="22">
      <c r="B22" s="135">
        <f>B21+1</f>
        <v/>
      </c>
      <c r="C22" s="244">
        <f>F21</f>
        <v/>
      </c>
      <c r="D22" s="244">
        <f>PPMT(LoanRate,$B22,LoanAmortization,-LoanAmount)</f>
        <v/>
      </c>
      <c r="E22" s="244">
        <f>IPMT(LoanRate,$B22,LoanAmortization,-LoanAmount)</f>
        <v/>
      </c>
      <c r="F22" s="244">
        <f>C22-D22</f>
        <v/>
      </c>
    </row>
    <row r="23">
      <c r="B23" s="135">
        <f>B22+1</f>
        <v/>
      </c>
      <c r="C23" s="244">
        <f>F22</f>
        <v/>
      </c>
      <c r="D23" s="244">
        <f>PPMT(LoanRate,$B23,LoanAmortization,-LoanAmount)</f>
        <v/>
      </c>
      <c r="E23" s="244">
        <f>IPMT(LoanRate,$B23,LoanAmortization,-LoanAmount)</f>
        <v/>
      </c>
      <c r="F23" s="244">
        <f>C23-D23</f>
        <v/>
      </c>
    </row>
    <row r="24">
      <c r="B24" s="135">
        <f>B23+1</f>
        <v/>
      </c>
      <c r="C24" s="244">
        <f>F23</f>
        <v/>
      </c>
      <c r="D24" s="244">
        <f>PPMT(LoanRate,$B24,LoanAmortization,-LoanAmount)</f>
        <v/>
      </c>
      <c r="E24" s="244">
        <f>IPMT(LoanRate,$B24,LoanAmortization,-LoanAmount)</f>
        <v/>
      </c>
      <c r="F24" s="244">
        <f>C24-D24</f>
        <v/>
      </c>
    </row>
    <row r="25">
      <c r="B25" s="135">
        <f>B24+1</f>
        <v/>
      </c>
      <c r="C25" s="244">
        <f>F24</f>
        <v/>
      </c>
      <c r="D25" s="244">
        <f>PPMT(LoanRate,$B25,LoanAmortization,-LoanAmount)</f>
        <v/>
      </c>
      <c r="E25" s="244">
        <f>IPMT(LoanRate,$B25,LoanAmortization,-LoanAmount)</f>
        <v/>
      </c>
      <c r="F25" s="244">
        <f>C25-D25</f>
        <v/>
      </c>
    </row>
    <row r="26">
      <c r="B26" s="135">
        <f>B25+1</f>
        <v/>
      </c>
      <c r="C26" s="244">
        <f>F25</f>
        <v/>
      </c>
      <c r="D26" s="244">
        <f>PPMT(LoanRate,$B26,LoanAmortization,-LoanAmount)</f>
        <v/>
      </c>
      <c r="E26" s="244">
        <f>IPMT(LoanRate,$B26,LoanAmortization,-LoanAmount)</f>
        <v/>
      </c>
      <c r="F26" s="244">
        <f>C26-D26</f>
        <v/>
      </c>
    </row>
    <row r="27">
      <c r="B27" s="135">
        <f>B26+1</f>
        <v/>
      </c>
      <c r="C27" s="244">
        <f>F26</f>
        <v/>
      </c>
      <c r="D27" s="244">
        <f>PPMT(LoanRate,$B27,LoanAmortization,-LoanAmount)</f>
        <v/>
      </c>
      <c r="E27" s="244">
        <f>IPMT(LoanRate,$B27,LoanAmortization,-LoanAmount)</f>
        <v/>
      </c>
      <c r="F27" s="244">
        <f>C27-D27</f>
        <v/>
      </c>
    </row>
    <row r="28">
      <c r="B28" s="135">
        <f>B27+1</f>
        <v/>
      </c>
      <c r="C28" s="244">
        <f>F27</f>
        <v/>
      </c>
      <c r="D28" s="244">
        <f>PPMT(LoanRate,$B28,LoanAmortization,-LoanAmount)</f>
        <v/>
      </c>
      <c r="E28" s="244">
        <f>IPMT(LoanRate,$B28,LoanAmortization,-LoanAmount)</f>
        <v/>
      </c>
      <c r="F28" s="244">
        <f>C28-D28</f>
        <v/>
      </c>
    </row>
    <row r="29">
      <c r="B29" s="135">
        <f>B28+1</f>
        <v/>
      </c>
      <c r="C29" s="244">
        <f>F28</f>
        <v/>
      </c>
      <c r="D29" s="244">
        <f>PPMT(LoanRate,$B29,LoanAmortization,-LoanAmount)</f>
        <v/>
      </c>
      <c r="E29" s="244">
        <f>IPMT(LoanRate,$B29,LoanAmortization,-LoanAmount)</f>
        <v/>
      </c>
      <c r="F29" s="244">
        <f>C29-D29</f>
        <v/>
      </c>
    </row>
    <row r="30">
      <c r="B30" s="135">
        <f>B29+1</f>
        <v/>
      </c>
      <c r="C30" s="244">
        <f>F29</f>
        <v/>
      </c>
      <c r="D30" s="244">
        <f>PPMT(LoanRate,$B30,LoanAmortization,-LoanAmount)</f>
        <v/>
      </c>
      <c r="E30" s="244">
        <f>IPMT(LoanRate,$B30,LoanAmortization,-LoanAmount)</f>
        <v/>
      </c>
      <c r="F30" s="244">
        <f>C30-D30</f>
        <v/>
      </c>
    </row>
    <row r="31">
      <c r="B31" s="135">
        <f>B30+1</f>
        <v/>
      </c>
      <c r="C31" s="244">
        <f>F30</f>
        <v/>
      </c>
      <c r="D31" s="244">
        <f>PPMT(LoanRate,$B31,LoanAmortization,-LoanAmount)</f>
        <v/>
      </c>
      <c r="E31" s="244">
        <f>IPMT(LoanRate,$B31,LoanAmortization,-LoanAmount)</f>
        <v/>
      </c>
      <c r="F31" s="244">
        <f>C31-D31</f>
        <v/>
      </c>
    </row>
    <row r="32">
      <c r="B32" s="135">
        <f>B31+1</f>
        <v/>
      </c>
      <c r="C32" s="244">
        <f>F31</f>
        <v/>
      </c>
      <c r="D32" s="244">
        <f>PPMT(LoanRate,$B32,LoanAmortization,-LoanAmount)</f>
        <v/>
      </c>
      <c r="E32" s="244">
        <f>IPMT(LoanRate,$B32,LoanAmortization,-LoanAmount)</f>
        <v/>
      </c>
      <c r="F32" s="244">
        <f>C32-D32</f>
        <v/>
      </c>
    </row>
  </sheetData>
  <pageMargins left="0.7" right="0.7" top="0.75" bottom="0.75" header="0.3" footer="0.3"/>
  <headerFooter>
    <oddHeader/>
    <oddFooter>&amp;C&amp;"Aptos"&amp;10 &amp;K000000_x000d_# Barings-Public</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B2:F362"/>
  <sheetViews>
    <sheetView showGridLines="0" workbookViewId="0">
      <selection activeCell="A1" sqref="A1"/>
    </sheetView>
  </sheetViews>
  <sheetFormatPr baseColWidth="8" defaultColWidth="9" defaultRowHeight="15"/>
  <cols>
    <col width="4" customWidth="1" style="1" min="1" max="1"/>
    <col width="6.25" bestFit="1" customWidth="1" style="135" min="2" max="2"/>
    <col width="10.75" bestFit="1" customWidth="1" style="135" min="3" max="3"/>
    <col width="12.5" bestFit="1" customWidth="1" style="135" min="4" max="4"/>
    <col width="11.5" bestFit="1" customWidth="1" style="135" min="5" max="5"/>
    <col width="13.625" bestFit="1" customWidth="1" style="135" min="6" max="6"/>
    <col width="9" customWidth="1" style="1" min="7" max="16384"/>
  </cols>
  <sheetData>
    <row r="2">
      <c r="B2" s="134" t="inlineStr">
        <is>
          <t>Month</t>
        </is>
      </c>
      <c r="C2" s="134" t="inlineStr">
        <is>
          <t>Beg Balance</t>
        </is>
      </c>
      <c r="D2" s="134" t="inlineStr">
        <is>
          <t>Principal PMT</t>
        </is>
      </c>
      <c r="E2" s="134" t="inlineStr">
        <is>
          <t>Interest PMT</t>
        </is>
      </c>
      <c r="F2" s="134" t="inlineStr">
        <is>
          <t>Ending Balance</t>
        </is>
      </c>
    </row>
    <row r="3">
      <c r="B3" s="135" t="n">
        <v>1</v>
      </c>
      <c r="C3" s="244">
        <f>'Inputs &amp; Summary'!P12</f>
        <v/>
      </c>
      <c r="D3" s="244">
        <f>PPMT(LoanRate/12,$B3,LoanAmortization*12,-LoanAmount)</f>
        <v/>
      </c>
      <c r="E3" s="244">
        <f>IPMT(LoanRate/12,$B3,LoanAmortization*12,-LoanAmount)</f>
        <v/>
      </c>
      <c r="F3" s="244">
        <f>C3-D3</f>
        <v/>
      </c>
    </row>
    <row r="4">
      <c r="B4" s="135">
        <f>B3+1</f>
        <v/>
      </c>
      <c r="C4" s="244">
        <f>F3</f>
        <v/>
      </c>
      <c r="D4" s="244">
        <f>PPMT(LoanRate/12,$B4,LoanAmortization*12,-LoanAmount)</f>
        <v/>
      </c>
      <c r="E4" s="244">
        <f>IPMT(LoanRate/12,$B4,LoanAmortization*12,-LoanAmount)</f>
        <v/>
      </c>
      <c r="F4" s="244">
        <f>C4-D4</f>
        <v/>
      </c>
    </row>
    <row r="5">
      <c r="B5" s="135">
        <f>B4+1</f>
        <v/>
      </c>
      <c r="C5" s="244">
        <f>F4</f>
        <v/>
      </c>
      <c r="D5" s="244">
        <f>PPMT(LoanRate/12,$B5,LoanAmortization*12,-LoanAmount)</f>
        <v/>
      </c>
      <c r="E5" s="244">
        <f>IPMT(LoanRate/12,$B5,LoanAmortization*12,-LoanAmount)</f>
        <v/>
      </c>
      <c r="F5" s="244">
        <f>C5-D5</f>
        <v/>
      </c>
    </row>
    <row r="6">
      <c r="B6" s="135">
        <f>B5+1</f>
        <v/>
      </c>
      <c r="C6" s="244">
        <f>F5</f>
        <v/>
      </c>
      <c r="D6" s="244">
        <f>PPMT(LoanRate/12,$B6,LoanAmortization*12,-LoanAmount)</f>
        <v/>
      </c>
      <c r="E6" s="244">
        <f>IPMT(LoanRate/12,$B6,LoanAmortization*12,-LoanAmount)</f>
        <v/>
      </c>
      <c r="F6" s="244">
        <f>C6-D6</f>
        <v/>
      </c>
    </row>
    <row r="7">
      <c r="B7" s="135">
        <f>B6+1</f>
        <v/>
      </c>
      <c r="C7" s="244">
        <f>F6</f>
        <v/>
      </c>
      <c r="D7" s="244">
        <f>PPMT(LoanRate/12,$B7,LoanAmortization*12,-LoanAmount)</f>
        <v/>
      </c>
      <c r="E7" s="244">
        <f>IPMT(LoanRate/12,$B7,LoanAmortization*12,-LoanAmount)</f>
        <v/>
      </c>
      <c r="F7" s="244">
        <f>C7-D7</f>
        <v/>
      </c>
    </row>
    <row r="8">
      <c r="B8" s="135">
        <f>B7+1</f>
        <v/>
      </c>
      <c r="C8" s="244">
        <f>F7</f>
        <v/>
      </c>
      <c r="D8" s="244">
        <f>PPMT(LoanRate/12,$B8,LoanAmortization*12,-LoanAmount)</f>
        <v/>
      </c>
      <c r="E8" s="244">
        <f>IPMT(LoanRate/12,$B8,LoanAmortization*12,-LoanAmount)</f>
        <v/>
      </c>
      <c r="F8" s="244">
        <f>C8-D8</f>
        <v/>
      </c>
    </row>
    <row r="9">
      <c r="B9" s="135">
        <f>B8+1</f>
        <v/>
      </c>
      <c r="C9" s="244">
        <f>F8</f>
        <v/>
      </c>
      <c r="D9" s="244">
        <f>PPMT(LoanRate/12,$B9,LoanAmortization*12,-LoanAmount)</f>
        <v/>
      </c>
      <c r="E9" s="244">
        <f>IPMT(LoanRate/12,$B9,LoanAmortization*12,-LoanAmount)</f>
        <v/>
      </c>
      <c r="F9" s="244">
        <f>C9-D9</f>
        <v/>
      </c>
    </row>
    <row r="10">
      <c r="B10" s="135">
        <f>B9+1</f>
        <v/>
      </c>
      <c r="C10" s="244">
        <f>F9</f>
        <v/>
      </c>
      <c r="D10" s="244">
        <f>PPMT(LoanRate/12,$B10,LoanAmortization*12,-LoanAmount)</f>
        <v/>
      </c>
      <c r="E10" s="244">
        <f>IPMT(LoanRate/12,$B10,LoanAmortization*12,-LoanAmount)</f>
        <v/>
      </c>
      <c r="F10" s="244">
        <f>C10-D10</f>
        <v/>
      </c>
    </row>
    <row r="11">
      <c r="B11" s="135">
        <f>B10+1</f>
        <v/>
      </c>
      <c r="C11" s="244">
        <f>F10</f>
        <v/>
      </c>
      <c r="D11" s="244">
        <f>PPMT(LoanRate/12,$B11,LoanAmortization*12,-LoanAmount)</f>
        <v/>
      </c>
      <c r="E11" s="244">
        <f>IPMT(LoanRate/12,$B11,LoanAmortization*12,-LoanAmount)</f>
        <v/>
      </c>
      <c r="F11" s="244">
        <f>C11-D11</f>
        <v/>
      </c>
    </row>
    <row r="12">
      <c r="B12" s="135">
        <f>B11+1</f>
        <v/>
      </c>
      <c r="C12" s="244">
        <f>F11</f>
        <v/>
      </c>
      <c r="D12" s="244">
        <f>PPMT(LoanRate/12,$B12,LoanAmortization*12,-LoanAmount)</f>
        <v/>
      </c>
      <c r="E12" s="244">
        <f>IPMT(LoanRate/12,$B12,LoanAmortization*12,-LoanAmount)</f>
        <v/>
      </c>
      <c r="F12" s="244">
        <f>C12-D12</f>
        <v/>
      </c>
    </row>
    <row r="13">
      <c r="B13" s="135">
        <f>B12+1</f>
        <v/>
      </c>
      <c r="C13" s="244">
        <f>F12</f>
        <v/>
      </c>
      <c r="D13" s="244">
        <f>PPMT(LoanRate/12,$B13,LoanAmortization*12,-LoanAmount)</f>
        <v/>
      </c>
      <c r="E13" s="244">
        <f>IPMT(LoanRate/12,$B13,LoanAmortization*12,-LoanAmount)</f>
        <v/>
      </c>
      <c r="F13" s="244">
        <f>C13-D13</f>
        <v/>
      </c>
    </row>
    <row r="14">
      <c r="B14" s="135">
        <f>B13+1</f>
        <v/>
      </c>
      <c r="C14" s="244">
        <f>F13</f>
        <v/>
      </c>
      <c r="D14" s="244">
        <f>PPMT(LoanRate/12,$B14,LoanAmortization*12,-LoanAmount)</f>
        <v/>
      </c>
      <c r="E14" s="244">
        <f>IPMT(LoanRate/12,$B14,LoanAmortization*12,-LoanAmount)</f>
        <v/>
      </c>
      <c r="F14" s="244">
        <f>C14-D14</f>
        <v/>
      </c>
    </row>
    <row r="15">
      <c r="B15" s="135">
        <f>B14+1</f>
        <v/>
      </c>
      <c r="C15" s="244">
        <f>F14</f>
        <v/>
      </c>
      <c r="D15" s="244">
        <f>PPMT(LoanRate/12,$B15,LoanAmortization*12,-LoanAmount)</f>
        <v/>
      </c>
      <c r="E15" s="244">
        <f>IPMT(LoanRate/12,$B15,LoanAmortization*12,-LoanAmount)</f>
        <v/>
      </c>
      <c r="F15" s="244">
        <f>C15-D15</f>
        <v/>
      </c>
    </row>
    <row r="16">
      <c r="B16" s="135">
        <f>B15+1</f>
        <v/>
      </c>
      <c r="C16" s="244">
        <f>F15</f>
        <v/>
      </c>
      <c r="D16" s="244">
        <f>PPMT(LoanRate/12,$B16,LoanAmortization*12,-LoanAmount)</f>
        <v/>
      </c>
      <c r="E16" s="244">
        <f>IPMT(LoanRate/12,$B16,LoanAmortization*12,-LoanAmount)</f>
        <v/>
      </c>
      <c r="F16" s="244">
        <f>C16-D16</f>
        <v/>
      </c>
    </row>
    <row r="17">
      <c r="B17" s="135">
        <f>B16+1</f>
        <v/>
      </c>
      <c r="C17" s="244">
        <f>F16</f>
        <v/>
      </c>
      <c r="D17" s="244">
        <f>PPMT(LoanRate/12,$B17,LoanAmortization*12,-LoanAmount)</f>
        <v/>
      </c>
      <c r="E17" s="244">
        <f>IPMT(LoanRate/12,$B17,LoanAmortization*12,-LoanAmount)</f>
        <v/>
      </c>
      <c r="F17" s="244">
        <f>C17-D17</f>
        <v/>
      </c>
    </row>
    <row r="18">
      <c r="B18" s="135">
        <f>B17+1</f>
        <v/>
      </c>
      <c r="C18" s="244">
        <f>F17</f>
        <v/>
      </c>
      <c r="D18" s="244">
        <f>PPMT(LoanRate/12,$B18,LoanAmortization*12,-LoanAmount)</f>
        <v/>
      </c>
      <c r="E18" s="244">
        <f>IPMT(LoanRate/12,$B18,LoanAmortization*12,-LoanAmount)</f>
        <v/>
      </c>
      <c r="F18" s="244">
        <f>C18-D18</f>
        <v/>
      </c>
    </row>
    <row r="19">
      <c r="B19" s="135">
        <f>B18+1</f>
        <v/>
      </c>
      <c r="C19" s="244">
        <f>F18</f>
        <v/>
      </c>
      <c r="D19" s="244">
        <f>PPMT(LoanRate/12,$B19,LoanAmortization*12,-LoanAmount)</f>
        <v/>
      </c>
      <c r="E19" s="244">
        <f>IPMT(LoanRate/12,$B19,LoanAmortization*12,-LoanAmount)</f>
        <v/>
      </c>
      <c r="F19" s="244">
        <f>C19-D19</f>
        <v/>
      </c>
    </row>
    <row r="20">
      <c r="B20" s="135">
        <f>B19+1</f>
        <v/>
      </c>
      <c r="C20" s="244">
        <f>F19</f>
        <v/>
      </c>
      <c r="D20" s="244">
        <f>PPMT(LoanRate/12,$B20,LoanAmortization*12,-LoanAmount)</f>
        <v/>
      </c>
      <c r="E20" s="244">
        <f>IPMT(LoanRate/12,$B20,LoanAmortization*12,-LoanAmount)</f>
        <v/>
      </c>
      <c r="F20" s="244">
        <f>C20-D20</f>
        <v/>
      </c>
    </row>
    <row r="21">
      <c r="B21" s="135">
        <f>B20+1</f>
        <v/>
      </c>
      <c r="C21" s="244">
        <f>F20</f>
        <v/>
      </c>
      <c r="D21" s="244">
        <f>PPMT(LoanRate/12,$B21,LoanAmortization*12,-LoanAmount)</f>
        <v/>
      </c>
      <c r="E21" s="244">
        <f>IPMT(LoanRate/12,$B21,LoanAmortization*12,-LoanAmount)</f>
        <v/>
      </c>
      <c r="F21" s="244">
        <f>C21-D21</f>
        <v/>
      </c>
    </row>
    <row r="22">
      <c r="B22" s="135">
        <f>B21+1</f>
        <v/>
      </c>
      <c r="C22" s="244">
        <f>F21</f>
        <v/>
      </c>
      <c r="D22" s="244">
        <f>PPMT(LoanRate/12,$B22,LoanAmortization*12,-LoanAmount)</f>
        <v/>
      </c>
      <c r="E22" s="244">
        <f>IPMT(LoanRate/12,$B22,LoanAmortization*12,-LoanAmount)</f>
        <v/>
      </c>
      <c r="F22" s="244">
        <f>C22-D22</f>
        <v/>
      </c>
    </row>
    <row r="23">
      <c r="B23" s="135">
        <f>B22+1</f>
        <v/>
      </c>
      <c r="C23" s="244">
        <f>F22</f>
        <v/>
      </c>
      <c r="D23" s="244">
        <f>PPMT(LoanRate/12,$B23,LoanAmortization*12,-LoanAmount)</f>
        <v/>
      </c>
      <c r="E23" s="244">
        <f>IPMT(LoanRate/12,$B23,LoanAmortization*12,-LoanAmount)</f>
        <v/>
      </c>
      <c r="F23" s="244">
        <f>C23-D23</f>
        <v/>
      </c>
    </row>
    <row r="24">
      <c r="B24" s="135">
        <f>B23+1</f>
        <v/>
      </c>
      <c r="C24" s="244">
        <f>F23</f>
        <v/>
      </c>
      <c r="D24" s="244">
        <f>PPMT(LoanRate/12,$B24,LoanAmortization*12,-LoanAmount)</f>
        <v/>
      </c>
      <c r="E24" s="244">
        <f>IPMT(LoanRate/12,$B24,LoanAmortization*12,-LoanAmount)</f>
        <v/>
      </c>
      <c r="F24" s="244">
        <f>C24-D24</f>
        <v/>
      </c>
    </row>
    <row r="25">
      <c r="B25" s="135">
        <f>B24+1</f>
        <v/>
      </c>
      <c r="C25" s="244">
        <f>F24</f>
        <v/>
      </c>
      <c r="D25" s="244">
        <f>PPMT(LoanRate/12,$B25,LoanAmortization*12,-LoanAmount)</f>
        <v/>
      </c>
      <c r="E25" s="244">
        <f>IPMT(LoanRate/12,$B25,LoanAmortization*12,-LoanAmount)</f>
        <v/>
      </c>
      <c r="F25" s="244">
        <f>C25-D25</f>
        <v/>
      </c>
    </row>
    <row r="26">
      <c r="B26" s="135">
        <f>B25+1</f>
        <v/>
      </c>
      <c r="C26" s="244">
        <f>F25</f>
        <v/>
      </c>
      <c r="D26" s="244">
        <f>PPMT(LoanRate/12,$B26,LoanAmortization*12,-LoanAmount)</f>
        <v/>
      </c>
      <c r="E26" s="244">
        <f>IPMT(LoanRate/12,$B26,LoanAmortization*12,-LoanAmount)</f>
        <v/>
      </c>
      <c r="F26" s="244">
        <f>C26-D26</f>
        <v/>
      </c>
    </row>
    <row r="27">
      <c r="B27" s="135">
        <f>B26+1</f>
        <v/>
      </c>
      <c r="C27" s="244">
        <f>F26</f>
        <v/>
      </c>
      <c r="D27" s="244">
        <f>PPMT(LoanRate/12,$B27,LoanAmortization*12,-LoanAmount)</f>
        <v/>
      </c>
      <c r="E27" s="244">
        <f>IPMT(LoanRate/12,$B27,LoanAmortization*12,-LoanAmount)</f>
        <v/>
      </c>
      <c r="F27" s="244">
        <f>C27-D27</f>
        <v/>
      </c>
    </row>
    <row r="28">
      <c r="B28" s="135">
        <f>B27+1</f>
        <v/>
      </c>
      <c r="C28" s="244">
        <f>F27</f>
        <v/>
      </c>
      <c r="D28" s="244">
        <f>PPMT(LoanRate/12,$B28,LoanAmortization*12,-LoanAmount)</f>
        <v/>
      </c>
      <c r="E28" s="244">
        <f>IPMT(LoanRate/12,$B28,LoanAmortization*12,-LoanAmount)</f>
        <v/>
      </c>
      <c r="F28" s="244">
        <f>C28-D28</f>
        <v/>
      </c>
    </row>
    <row r="29">
      <c r="B29" s="135">
        <f>B28+1</f>
        <v/>
      </c>
      <c r="C29" s="244">
        <f>F28</f>
        <v/>
      </c>
      <c r="D29" s="244">
        <f>PPMT(LoanRate/12,$B29,LoanAmortization*12,-LoanAmount)</f>
        <v/>
      </c>
      <c r="E29" s="244">
        <f>IPMT(LoanRate/12,$B29,LoanAmortization*12,-LoanAmount)</f>
        <v/>
      </c>
      <c r="F29" s="244">
        <f>C29-D29</f>
        <v/>
      </c>
    </row>
    <row r="30">
      <c r="B30" s="135">
        <f>B29+1</f>
        <v/>
      </c>
      <c r="C30" s="244">
        <f>F29</f>
        <v/>
      </c>
      <c r="D30" s="244">
        <f>PPMT(LoanRate/12,$B30,LoanAmortization*12,-LoanAmount)</f>
        <v/>
      </c>
      <c r="E30" s="244">
        <f>IPMT(LoanRate/12,$B30,LoanAmortization*12,-LoanAmount)</f>
        <v/>
      </c>
      <c r="F30" s="244">
        <f>C30-D30</f>
        <v/>
      </c>
    </row>
    <row r="31">
      <c r="B31" s="135">
        <f>B30+1</f>
        <v/>
      </c>
      <c r="C31" s="244">
        <f>F30</f>
        <v/>
      </c>
      <c r="D31" s="244">
        <f>PPMT(LoanRate/12,$B31,LoanAmortization*12,-LoanAmount)</f>
        <v/>
      </c>
      <c r="E31" s="244">
        <f>IPMT(LoanRate/12,$B31,LoanAmortization*12,-LoanAmount)</f>
        <v/>
      </c>
      <c r="F31" s="244">
        <f>C31-D31</f>
        <v/>
      </c>
    </row>
    <row r="32">
      <c r="B32" s="135">
        <f>B31+1</f>
        <v/>
      </c>
      <c r="C32" s="244">
        <f>F31</f>
        <v/>
      </c>
      <c r="D32" s="244">
        <f>PPMT(LoanRate/12,$B32,LoanAmortization*12,-LoanAmount)</f>
        <v/>
      </c>
      <c r="E32" s="244">
        <f>IPMT(LoanRate/12,$B32,LoanAmortization*12,-LoanAmount)</f>
        <v/>
      </c>
      <c r="F32" s="244">
        <f>C32-D32</f>
        <v/>
      </c>
    </row>
    <row r="33">
      <c r="B33" s="135">
        <f>B32+1</f>
        <v/>
      </c>
      <c r="C33" s="244">
        <f>F32</f>
        <v/>
      </c>
      <c r="D33" s="244">
        <f>PPMT(LoanRate/12,$B33,LoanAmortization*12,-LoanAmount)</f>
        <v/>
      </c>
      <c r="E33" s="244">
        <f>IPMT(LoanRate/12,$B33,LoanAmortization*12,-LoanAmount)</f>
        <v/>
      </c>
      <c r="F33" s="244">
        <f>C33-D33</f>
        <v/>
      </c>
    </row>
    <row r="34">
      <c r="B34" s="135">
        <f>B33+1</f>
        <v/>
      </c>
      <c r="C34" s="244">
        <f>F33</f>
        <v/>
      </c>
      <c r="D34" s="244">
        <f>PPMT(LoanRate/12,$B34,LoanAmortization*12,-LoanAmount)</f>
        <v/>
      </c>
      <c r="E34" s="244">
        <f>IPMT(LoanRate/12,$B34,LoanAmortization*12,-LoanAmount)</f>
        <v/>
      </c>
      <c r="F34" s="244">
        <f>C34-D34</f>
        <v/>
      </c>
    </row>
    <row r="35">
      <c r="B35" s="135">
        <f>B34+1</f>
        <v/>
      </c>
      <c r="C35" s="244">
        <f>F34</f>
        <v/>
      </c>
      <c r="D35" s="244">
        <f>PPMT(LoanRate/12,$B35,LoanAmortization*12,-LoanAmount)</f>
        <v/>
      </c>
      <c r="E35" s="244">
        <f>IPMT(LoanRate/12,$B35,LoanAmortization*12,-LoanAmount)</f>
        <v/>
      </c>
      <c r="F35" s="244">
        <f>C35-D35</f>
        <v/>
      </c>
    </row>
    <row r="36">
      <c r="B36" s="135">
        <f>B35+1</f>
        <v/>
      </c>
      <c r="C36" s="244">
        <f>F35</f>
        <v/>
      </c>
      <c r="D36" s="244">
        <f>PPMT(LoanRate/12,$B36,LoanAmortization*12,-LoanAmount)</f>
        <v/>
      </c>
      <c r="E36" s="244">
        <f>IPMT(LoanRate/12,$B36,LoanAmortization*12,-LoanAmount)</f>
        <v/>
      </c>
      <c r="F36" s="244">
        <f>C36-D36</f>
        <v/>
      </c>
    </row>
    <row r="37">
      <c r="B37" s="135">
        <f>B36+1</f>
        <v/>
      </c>
      <c r="C37" s="244">
        <f>F36</f>
        <v/>
      </c>
      <c r="D37" s="244">
        <f>PPMT(LoanRate/12,$B37,LoanAmortization*12,-LoanAmount)</f>
        <v/>
      </c>
      <c r="E37" s="244">
        <f>IPMT(LoanRate/12,$B37,LoanAmortization*12,-LoanAmount)</f>
        <v/>
      </c>
      <c r="F37" s="244">
        <f>C37-D37</f>
        <v/>
      </c>
    </row>
    <row r="38">
      <c r="B38" s="135">
        <f>B37+1</f>
        <v/>
      </c>
      <c r="C38" s="244">
        <f>F37</f>
        <v/>
      </c>
      <c r="D38" s="244">
        <f>PPMT(LoanRate/12,$B38,LoanAmortization*12,-LoanAmount)</f>
        <v/>
      </c>
      <c r="E38" s="244">
        <f>IPMT(LoanRate/12,$B38,LoanAmortization*12,-LoanAmount)</f>
        <v/>
      </c>
      <c r="F38" s="244">
        <f>C38-D38</f>
        <v/>
      </c>
    </row>
    <row r="39">
      <c r="B39" s="135">
        <f>B38+1</f>
        <v/>
      </c>
      <c r="C39" s="244">
        <f>F38</f>
        <v/>
      </c>
      <c r="D39" s="244">
        <f>PPMT(LoanRate/12,$B39,LoanAmortization*12,-LoanAmount)</f>
        <v/>
      </c>
      <c r="E39" s="244">
        <f>IPMT(LoanRate/12,$B39,LoanAmortization*12,-LoanAmount)</f>
        <v/>
      </c>
      <c r="F39" s="244">
        <f>C39-D39</f>
        <v/>
      </c>
    </row>
    <row r="40">
      <c r="B40" s="135">
        <f>B39+1</f>
        <v/>
      </c>
      <c r="C40" s="244">
        <f>F39</f>
        <v/>
      </c>
      <c r="D40" s="244">
        <f>PPMT(LoanRate/12,$B40,LoanAmortization*12,-LoanAmount)</f>
        <v/>
      </c>
      <c r="E40" s="244">
        <f>IPMT(LoanRate/12,$B40,LoanAmortization*12,-LoanAmount)</f>
        <v/>
      </c>
      <c r="F40" s="244">
        <f>C40-D40</f>
        <v/>
      </c>
    </row>
    <row r="41">
      <c r="B41" s="135">
        <f>B40+1</f>
        <v/>
      </c>
      <c r="C41" s="244">
        <f>F40</f>
        <v/>
      </c>
      <c r="D41" s="244">
        <f>PPMT(LoanRate/12,$B41,LoanAmortization*12,-LoanAmount)</f>
        <v/>
      </c>
      <c r="E41" s="244">
        <f>IPMT(LoanRate/12,$B41,LoanAmortization*12,-LoanAmount)</f>
        <v/>
      </c>
      <c r="F41" s="244">
        <f>C41-D41</f>
        <v/>
      </c>
    </row>
    <row r="42">
      <c r="B42" s="135">
        <f>B41+1</f>
        <v/>
      </c>
      <c r="C42" s="244">
        <f>F41</f>
        <v/>
      </c>
      <c r="D42" s="244">
        <f>PPMT(LoanRate/12,$B42,LoanAmortization*12,-LoanAmount)</f>
        <v/>
      </c>
      <c r="E42" s="244">
        <f>IPMT(LoanRate/12,$B42,LoanAmortization*12,-LoanAmount)</f>
        <v/>
      </c>
      <c r="F42" s="244">
        <f>C42-D42</f>
        <v/>
      </c>
    </row>
    <row r="43">
      <c r="B43" s="135">
        <f>B42+1</f>
        <v/>
      </c>
      <c r="C43" s="244">
        <f>F42</f>
        <v/>
      </c>
      <c r="D43" s="244">
        <f>PPMT(LoanRate/12,$B43,LoanAmortization*12,-LoanAmount)</f>
        <v/>
      </c>
      <c r="E43" s="244">
        <f>IPMT(LoanRate/12,$B43,LoanAmortization*12,-LoanAmount)</f>
        <v/>
      </c>
      <c r="F43" s="244">
        <f>C43-D43</f>
        <v/>
      </c>
    </row>
    <row r="44">
      <c r="B44" s="135">
        <f>B43+1</f>
        <v/>
      </c>
      <c r="C44" s="244">
        <f>F43</f>
        <v/>
      </c>
      <c r="D44" s="244">
        <f>PPMT(LoanRate/12,$B44,LoanAmortization*12,-LoanAmount)</f>
        <v/>
      </c>
      <c r="E44" s="244">
        <f>IPMT(LoanRate/12,$B44,LoanAmortization*12,-LoanAmount)</f>
        <v/>
      </c>
      <c r="F44" s="244">
        <f>C44-D44</f>
        <v/>
      </c>
    </row>
    <row r="45">
      <c r="B45" s="135">
        <f>B44+1</f>
        <v/>
      </c>
      <c r="C45" s="244">
        <f>F44</f>
        <v/>
      </c>
      <c r="D45" s="244">
        <f>PPMT(LoanRate/12,$B45,LoanAmortization*12,-LoanAmount)</f>
        <v/>
      </c>
      <c r="E45" s="244">
        <f>IPMT(LoanRate/12,$B45,LoanAmortization*12,-LoanAmount)</f>
        <v/>
      </c>
      <c r="F45" s="244">
        <f>C45-D45</f>
        <v/>
      </c>
    </row>
    <row r="46">
      <c r="B46" s="135">
        <f>B45+1</f>
        <v/>
      </c>
      <c r="C46" s="244">
        <f>F45</f>
        <v/>
      </c>
      <c r="D46" s="244">
        <f>PPMT(LoanRate/12,$B46,LoanAmortization*12,-LoanAmount)</f>
        <v/>
      </c>
      <c r="E46" s="244">
        <f>IPMT(LoanRate/12,$B46,LoanAmortization*12,-LoanAmount)</f>
        <v/>
      </c>
      <c r="F46" s="244">
        <f>C46-D46</f>
        <v/>
      </c>
    </row>
    <row r="47">
      <c r="B47" s="135">
        <f>B46+1</f>
        <v/>
      </c>
      <c r="C47" s="244">
        <f>F46</f>
        <v/>
      </c>
      <c r="D47" s="244">
        <f>PPMT(LoanRate/12,$B47,LoanAmortization*12,-LoanAmount)</f>
        <v/>
      </c>
      <c r="E47" s="244">
        <f>IPMT(LoanRate/12,$B47,LoanAmortization*12,-LoanAmount)</f>
        <v/>
      </c>
      <c r="F47" s="244">
        <f>C47-D47</f>
        <v/>
      </c>
    </row>
    <row r="48">
      <c r="B48" s="135">
        <f>B47+1</f>
        <v/>
      </c>
      <c r="C48" s="244">
        <f>F47</f>
        <v/>
      </c>
      <c r="D48" s="244">
        <f>PPMT(LoanRate/12,$B48,LoanAmortization*12,-LoanAmount)</f>
        <v/>
      </c>
      <c r="E48" s="244">
        <f>IPMT(LoanRate/12,$B48,LoanAmortization*12,-LoanAmount)</f>
        <v/>
      </c>
      <c r="F48" s="244">
        <f>C48-D48</f>
        <v/>
      </c>
    </row>
    <row r="49">
      <c r="B49" s="135">
        <f>B48+1</f>
        <v/>
      </c>
      <c r="C49" s="244">
        <f>F48</f>
        <v/>
      </c>
      <c r="D49" s="244">
        <f>PPMT(LoanRate/12,$B49,LoanAmortization*12,-LoanAmount)</f>
        <v/>
      </c>
      <c r="E49" s="244">
        <f>IPMT(LoanRate/12,$B49,LoanAmortization*12,-LoanAmount)</f>
        <v/>
      </c>
      <c r="F49" s="244">
        <f>C49-D49</f>
        <v/>
      </c>
    </row>
    <row r="50">
      <c r="B50" s="135">
        <f>B49+1</f>
        <v/>
      </c>
      <c r="C50" s="244">
        <f>F49</f>
        <v/>
      </c>
      <c r="D50" s="244">
        <f>PPMT(LoanRate/12,$B50,LoanAmortization*12,-LoanAmount)</f>
        <v/>
      </c>
      <c r="E50" s="244">
        <f>IPMT(LoanRate/12,$B50,LoanAmortization*12,-LoanAmount)</f>
        <v/>
      </c>
      <c r="F50" s="244">
        <f>C50-D50</f>
        <v/>
      </c>
    </row>
    <row r="51">
      <c r="B51" s="135">
        <f>B50+1</f>
        <v/>
      </c>
      <c r="C51" s="244">
        <f>F50</f>
        <v/>
      </c>
      <c r="D51" s="244">
        <f>PPMT(LoanRate/12,$B51,LoanAmortization*12,-LoanAmount)</f>
        <v/>
      </c>
      <c r="E51" s="244">
        <f>IPMT(LoanRate/12,$B51,LoanAmortization*12,-LoanAmount)</f>
        <v/>
      </c>
      <c r="F51" s="244">
        <f>C51-D51</f>
        <v/>
      </c>
    </row>
    <row r="52">
      <c r="B52" s="135">
        <f>B51+1</f>
        <v/>
      </c>
      <c r="C52" s="244">
        <f>F51</f>
        <v/>
      </c>
      <c r="D52" s="244">
        <f>PPMT(LoanRate/12,$B52,LoanAmortization*12,-LoanAmount)</f>
        <v/>
      </c>
      <c r="E52" s="244">
        <f>IPMT(LoanRate/12,$B52,LoanAmortization*12,-LoanAmount)</f>
        <v/>
      </c>
      <c r="F52" s="244">
        <f>C52-D52</f>
        <v/>
      </c>
    </row>
    <row r="53">
      <c r="B53" s="135">
        <f>B52+1</f>
        <v/>
      </c>
      <c r="C53" s="244">
        <f>F52</f>
        <v/>
      </c>
      <c r="D53" s="244">
        <f>PPMT(LoanRate/12,$B53,LoanAmortization*12,-LoanAmount)</f>
        <v/>
      </c>
      <c r="E53" s="244">
        <f>IPMT(LoanRate/12,$B53,LoanAmortization*12,-LoanAmount)</f>
        <v/>
      </c>
      <c r="F53" s="244">
        <f>C53-D53</f>
        <v/>
      </c>
    </row>
    <row r="54">
      <c r="B54" s="135">
        <f>B53+1</f>
        <v/>
      </c>
      <c r="C54" s="244">
        <f>F53</f>
        <v/>
      </c>
      <c r="D54" s="244">
        <f>PPMT(LoanRate/12,$B54,LoanAmortization*12,-LoanAmount)</f>
        <v/>
      </c>
      <c r="E54" s="244">
        <f>IPMT(LoanRate/12,$B54,LoanAmortization*12,-LoanAmount)</f>
        <v/>
      </c>
      <c r="F54" s="244">
        <f>C54-D54</f>
        <v/>
      </c>
    </row>
    <row r="55">
      <c r="B55" s="135">
        <f>B54+1</f>
        <v/>
      </c>
      <c r="C55" s="244">
        <f>F54</f>
        <v/>
      </c>
      <c r="D55" s="244">
        <f>PPMT(LoanRate/12,$B55,LoanAmortization*12,-LoanAmount)</f>
        <v/>
      </c>
      <c r="E55" s="244">
        <f>IPMT(LoanRate/12,$B55,LoanAmortization*12,-LoanAmount)</f>
        <v/>
      </c>
      <c r="F55" s="244">
        <f>C55-D55</f>
        <v/>
      </c>
    </row>
    <row r="56">
      <c r="B56" s="135">
        <f>B55+1</f>
        <v/>
      </c>
      <c r="C56" s="244">
        <f>F55</f>
        <v/>
      </c>
      <c r="D56" s="244">
        <f>PPMT(LoanRate/12,$B56,LoanAmortization*12,-LoanAmount)</f>
        <v/>
      </c>
      <c r="E56" s="244">
        <f>IPMT(LoanRate/12,$B56,LoanAmortization*12,-LoanAmount)</f>
        <v/>
      </c>
      <c r="F56" s="244">
        <f>C56-D56</f>
        <v/>
      </c>
    </row>
    <row r="57">
      <c r="B57" s="135">
        <f>B56+1</f>
        <v/>
      </c>
      <c r="C57" s="244">
        <f>F56</f>
        <v/>
      </c>
      <c r="D57" s="244">
        <f>PPMT(LoanRate/12,$B57,LoanAmortization*12,-LoanAmount)</f>
        <v/>
      </c>
      <c r="E57" s="244">
        <f>IPMT(LoanRate/12,$B57,LoanAmortization*12,-LoanAmount)</f>
        <v/>
      </c>
      <c r="F57" s="244">
        <f>C57-D57</f>
        <v/>
      </c>
    </row>
    <row r="58">
      <c r="B58" s="135">
        <f>B57+1</f>
        <v/>
      </c>
      <c r="C58" s="244">
        <f>F57</f>
        <v/>
      </c>
      <c r="D58" s="244">
        <f>PPMT(LoanRate/12,$B58,LoanAmortization*12,-LoanAmount)</f>
        <v/>
      </c>
      <c r="E58" s="244">
        <f>IPMT(LoanRate/12,$B58,LoanAmortization*12,-LoanAmount)</f>
        <v/>
      </c>
      <c r="F58" s="244">
        <f>C58-D58</f>
        <v/>
      </c>
    </row>
    <row r="59">
      <c r="B59" s="135">
        <f>B58+1</f>
        <v/>
      </c>
      <c r="C59" s="244">
        <f>F58</f>
        <v/>
      </c>
      <c r="D59" s="244">
        <f>PPMT(LoanRate/12,$B59,LoanAmortization*12,-LoanAmount)</f>
        <v/>
      </c>
      <c r="E59" s="244">
        <f>IPMT(LoanRate/12,$B59,LoanAmortization*12,-LoanAmount)</f>
        <v/>
      </c>
      <c r="F59" s="244">
        <f>C59-D59</f>
        <v/>
      </c>
    </row>
    <row r="60">
      <c r="B60" s="135">
        <f>B59+1</f>
        <v/>
      </c>
      <c r="C60" s="244">
        <f>F59</f>
        <v/>
      </c>
      <c r="D60" s="244">
        <f>PPMT(LoanRate/12,$B60,LoanAmortization*12,-LoanAmount)</f>
        <v/>
      </c>
      <c r="E60" s="244">
        <f>IPMT(LoanRate/12,$B60,LoanAmortization*12,-LoanAmount)</f>
        <v/>
      </c>
      <c r="F60" s="244">
        <f>C60-D60</f>
        <v/>
      </c>
    </row>
    <row r="61">
      <c r="B61" s="135">
        <f>B60+1</f>
        <v/>
      </c>
      <c r="C61" s="244">
        <f>F60</f>
        <v/>
      </c>
      <c r="D61" s="244">
        <f>PPMT(LoanRate/12,$B61,LoanAmortization*12,-LoanAmount)</f>
        <v/>
      </c>
      <c r="E61" s="244">
        <f>IPMT(LoanRate/12,$B61,LoanAmortization*12,-LoanAmount)</f>
        <v/>
      </c>
      <c r="F61" s="244">
        <f>C61-D61</f>
        <v/>
      </c>
    </row>
    <row r="62">
      <c r="B62" s="135">
        <f>B61+1</f>
        <v/>
      </c>
      <c r="C62" s="244">
        <f>F61</f>
        <v/>
      </c>
      <c r="D62" s="244">
        <f>PPMT(LoanRate/12,$B62,LoanAmortization*12,-LoanAmount)</f>
        <v/>
      </c>
      <c r="E62" s="244">
        <f>IPMT(LoanRate/12,$B62,LoanAmortization*12,-LoanAmount)</f>
        <v/>
      </c>
      <c r="F62" s="244">
        <f>C62-D62</f>
        <v/>
      </c>
    </row>
    <row r="63">
      <c r="B63" s="135">
        <f>B62+1</f>
        <v/>
      </c>
      <c r="C63" s="244">
        <f>F62</f>
        <v/>
      </c>
      <c r="D63" s="244">
        <f>PPMT(LoanRate/12,$B63,LoanAmortization*12,-LoanAmount)</f>
        <v/>
      </c>
      <c r="E63" s="244">
        <f>IPMT(LoanRate/12,$B63,LoanAmortization*12,-LoanAmount)</f>
        <v/>
      </c>
      <c r="F63" s="244">
        <f>C63-D63</f>
        <v/>
      </c>
    </row>
    <row r="64">
      <c r="B64" s="135">
        <f>B63+1</f>
        <v/>
      </c>
      <c r="C64" s="244">
        <f>F63</f>
        <v/>
      </c>
      <c r="D64" s="244">
        <f>PPMT(LoanRate/12,$B64,LoanAmortization*12,-LoanAmount)</f>
        <v/>
      </c>
      <c r="E64" s="244">
        <f>IPMT(LoanRate/12,$B64,LoanAmortization*12,-LoanAmount)</f>
        <v/>
      </c>
      <c r="F64" s="244">
        <f>C64-D64</f>
        <v/>
      </c>
    </row>
    <row r="65">
      <c r="B65" s="135">
        <f>B64+1</f>
        <v/>
      </c>
      <c r="C65" s="244">
        <f>F64</f>
        <v/>
      </c>
      <c r="D65" s="244">
        <f>PPMT(LoanRate/12,$B65,LoanAmortization*12,-LoanAmount)</f>
        <v/>
      </c>
      <c r="E65" s="244">
        <f>IPMT(LoanRate/12,$B65,LoanAmortization*12,-LoanAmount)</f>
        <v/>
      </c>
      <c r="F65" s="244">
        <f>C65-D65</f>
        <v/>
      </c>
    </row>
    <row r="66">
      <c r="B66" s="135">
        <f>B65+1</f>
        <v/>
      </c>
      <c r="C66" s="244">
        <f>F65</f>
        <v/>
      </c>
      <c r="D66" s="244">
        <f>PPMT(LoanRate/12,$B66,LoanAmortization*12,-LoanAmount)</f>
        <v/>
      </c>
      <c r="E66" s="244">
        <f>IPMT(LoanRate/12,$B66,LoanAmortization*12,-LoanAmount)</f>
        <v/>
      </c>
      <c r="F66" s="244">
        <f>C66-D66</f>
        <v/>
      </c>
    </row>
    <row r="67">
      <c r="B67" s="135">
        <f>B66+1</f>
        <v/>
      </c>
      <c r="C67" s="244">
        <f>F66</f>
        <v/>
      </c>
      <c r="D67" s="244">
        <f>PPMT(LoanRate/12,$B67,LoanAmortization*12,-LoanAmount)</f>
        <v/>
      </c>
      <c r="E67" s="244">
        <f>IPMT(LoanRate/12,$B67,LoanAmortization*12,-LoanAmount)</f>
        <v/>
      </c>
      <c r="F67" s="244">
        <f>C67-D67</f>
        <v/>
      </c>
    </row>
    <row r="68">
      <c r="B68" s="135">
        <f>B67+1</f>
        <v/>
      </c>
      <c r="C68" s="244">
        <f>F67</f>
        <v/>
      </c>
      <c r="D68" s="244">
        <f>PPMT(LoanRate/12,$B68,LoanAmortization*12,-LoanAmount)</f>
        <v/>
      </c>
      <c r="E68" s="244">
        <f>IPMT(LoanRate/12,$B68,LoanAmortization*12,-LoanAmount)</f>
        <v/>
      </c>
      <c r="F68" s="244">
        <f>C68-D68</f>
        <v/>
      </c>
    </row>
    <row r="69">
      <c r="B69" s="135">
        <f>B68+1</f>
        <v/>
      </c>
      <c r="C69" s="244">
        <f>F68</f>
        <v/>
      </c>
      <c r="D69" s="244">
        <f>PPMT(LoanRate/12,$B69,LoanAmortization*12,-LoanAmount)</f>
        <v/>
      </c>
      <c r="E69" s="244">
        <f>IPMT(LoanRate/12,$B69,LoanAmortization*12,-LoanAmount)</f>
        <v/>
      </c>
      <c r="F69" s="244">
        <f>C69-D69</f>
        <v/>
      </c>
    </row>
    <row r="70">
      <c r="B70" s="135">
        <f>B69+1</f>
        <v/>
      </c>
      <c r="C70" s="244">
        <f>F69</f>
        <v/>
      </c>
      <c r="D70" s="244">
        <f>PPMT(LoanRate/12,$B70,LoanAmortization*12,-LoanAmount)</f>
        <v/>
      </c>
      <c r="E70" s="244">
        <f>IPMT(LoanRate/12,$B70,LoanAmortization*12,-LoanAmount)</f>
        <v/>
      </c>
      <c r="F70" s="244">
        <f>C70-D70</f>
        <v/>
      </c>
    </row>
    <row r="71">
      <c r="B71" s="135">
        <f>B70+1</f>
        <v/>
      </c>
      <c r="C71" s="244">
        <f>F70</f>
        <v/>
      </c>
      <c r="D71" s="244">
        <f>PPMT(LoanRate/12,$B71,LoanAmortization*12,-LoanAmount)</f>
        <v/>
      </c>
      <c r="E71" s="244">
        <f>IPMT(LoanRate/12,$B71,LoanAmortization*12,-LoanAmount)</f>
        <v/>
      </c>
      <c r="F71" s="244">
        <f>C71-D71</f>
        <v/>
      </c>
    </row>
    <row r="72">
      <c r="B72" s="135">
        <f>B71+1</f>
        <v/>
      </c>
      <c r="C72" s="244">
        <f>F71</f>
        <v/>
      </c>
      <c r="D72" s="244">
        <f>PPMT(LoanRate/12,$B72,LoanAmortization*12,-LoanAmount)</f>
        <v/>
      </c>
      <c r="E72" s="244">
        <f>IPMT(LoanRate/12,$B72,LoanAmortization*12,-LoanAmount)</f>
        <v/>
      </c>
      <c r="F72" s="244">
        <f>C72-D72</f>
        <v/>
      </c>
    </row>
    <row r="73">
      <c r="B73" s="135">
        <f>B72+1</f>
        <v/>
      </c>
      <c r="C73" s="244">
        <f>F72</f>
        <v/>
      </c>
      <c r="D73" s="244">
        <f>PPMT(LoanRate/12,$B73,LoanAmortization*12,-LoanAmount)</f>
        <v/>
      </c>
      <c r="E73" s="244">
        <f>IPMT(LoanRate/12,$B73,LoanAmortization*12,-LoanAmount)</f>
        <v/>
      </c>
      <c r="F73" s="244">
        <f>C73-D73</f>
        <v/>
      </c>
    </row>
    <row r="74">
      <c r="B74" s="135">
        <f>B73+1</f>
        <v/>
      </c>
      <c r="C74" s="244">
        <f>F73</f>
        <v/>
      </c>
      <c r="D74" s="244">
        <f>PPMT(LoanRate/12,$B74,LoanAmortization*12,-LoanAmount)</f>
        <v/>
      </c>
      <c r="E74" s="244">
        <f>IPMT(LoanRate/12,$B74,LoanAmortization*12,-LoanAmount)</f>
        <v/>
      </c>
      <c r="F74" s="244">
        <f>C74-D74</f>
        <v/>
      </c>
    </row>
    <row r="75">
      <c r="B75" s="135">
        <f>B74+1</f>
        <v/>
      </c>
      <c r="C75" s="244">
        <f>F74</f>
        <v/>
      </c>
      <c r="D75" s="244">
        <f>PPMT(LoanRate/12,$B75,LoanAmortization*12,-LoanAmount)</f>
        <v/>
      </c>
      <c r="E75" s="244">
        <f>IPMT(LoanRate/12,$B75,LoanAmortization*12,-LoanAmount)</f>
        <v/>
      </c>
      <c r="F75" s="244">
        <f>C75-D75</f>
        <v/>
      </c>
    </row>
    <row r="76">
      <c r="B76" s="135">
        <f>B75+1</f>
        <v/>
      </c>
      <c r="C76" s="244">
        <f>F75</f>
        <v/>
      </c>
      <c r="D76" s="244">
        <f>PPMT(LoanRate/12,$B76,LoanAmortization*12,-LoanAmount)</f>
        <v/>
      </c>
      <c r="E76" s="244">
        <f>IPMT(LoanRate/12,$B76,LoanAmortization*12,-LoanAmount)</f>
        <v/>
      </c>
      <c r="F76" s="244">
        <f>C76-D76</f>
        <v/>
      </c>
    </row>
    <row r="77">
      <c r="B77" s="135">
        <f>B76+1</f>
        <v/>
      </c>
      <c r="C77" s="244">
        <f>F76</f>
        <v/>
      </c>
      <c r="D77" s="244">
        <f>PPMT(LoanRate/12,$B77,LoanAmortization*12,-LoanAmount)</f>
        <v/>
      </c>
      <c r="E77" s="244">
        <f>IPMT(LoanRate/12,$B77,LoanAmortization*12,-LoanAmount)</f>
        <v/>
      </c>
      <c r="F77" s="244">
        <f>C77-D77</f>
        <v/>
      </c>
    </row>
    <row r="78">
      <c r="B78" s="135">
        <f>B77+1</f>
        <v/>
      </c>
      <c r="C78" s="244">
        <f>F77</f>
        <v/>
      </c>
      <c r="D78" s="244">
        <f>PPMT(LoanRate/12,$B78,LoanAmortization*12,-LoanAmount)</f>
        <v/>
      </c>
      <c r="E78" s="244">
        <f>IPMT(LoanRate/12,$B78,LoanAmortization*12,-LoanAmount)</f>
        <v/>
      </c>
      <c r="F78" s="244">
        <f>C78-D78</f>
        <v/>
      </c>
    </row>
    <row r="79">
      <c r="B79" s="135">
        <f>B78+1</f>
        <v/>
      </c>
      <c r="C79" s="244">
        <f>F78</f>
        <v/>
      </c>
      <c r="D79" s="244">
        <f>PPMT(LoanRate/12,$B79,LoanAmortization*12,-LoanAmount)</f>
        <v/>
      </c>
      <c r="E79" s="244">
        <f>IPMT(LoanRate/12,$B79,LoanAmortization*12,-LoanAmount)</f>
        <v/>
      </c>
      <c r="F79" s="244">
        <f>C79-D79</f>
        <v/>
      </c>
    </row>
    <row r="80">
      <c r="B80" s="135">
        <f>B79+1</f>
        <v/>
      </c>
      <c r="C80" s="244">
        <f>F79</f>
        <v/>
      </c>
      <c r="D80" s="244">
        <f>PPMT(LoanRate/12,$B80,LoanAmortization*12,-LoanAmount)</f>
        <v/>
      </c>
      <c r="E80" s="244">
        <f>IPMT(LoanRate/12,$B80,LoanAmortization*12,-LoanAmount)</f>
        <v/>
      </c>
      <c r="F80" s="244">
        <f>C80-D80</f>
        <v/>
      </c>
    </row>
    <row r="81">
      <c r="B81" s="135">
        <f>B80+1</f>
        <v/>
      </c>
      <c r="C81" s="244">
        <f>F80</f>
        <v/>
      </c>
      <c r="D81" s="244">
        <f>PPMT(LoanRate/12,$B81,LoanAmortization*12,-LoanAmount)</f>
        <v/>
      </c>
      <c r="E81" s="244">
        <f>IPMT(LoanRate/12,$B81,LoanAmortization*12,-LoanAmount)</f>
        <v/>
      </c>
      <c r="F81" s="244">
        <f>C81-D81</f>
        <v/>
      </c>
    </row>
    <row r="82">
      <c r="B82" s="135">
        <f>B81+1</f>
        <v/>
      </c>
      <c r="C82" s="244">
        <f>F81</f>
        <v/>
      </c>
      <c r="D82" s="244">
        <f>PPMT(LoanRate/12,$B82,LoanAmortization*12,-LoanAmount)</f>
        <v/>
      </c>
      <c r="E82" s="244">
        <f>IPMT(LoanRate/12,$B82,LoanAmortization*12,-LoanAmount)</f>
        <v/>
      </c>
      <c r="F82" s="244">
        <f>C82-D82</f>
        <v/>
      </c>
    </row>
    <row r="83">
      <c r="B83" s="135">
        <f>B82+1</f>
        <v/>
      </c>
      <c r="C83" s="244">
        <f>F82</f>
        <v/>
      </c>
      <c r="D83" s="244">
        <f>PPMT(LoanRate/12,$B83,LoanAmortization*12,-LoanAmount)</f>
        <v/>
      </c>
      <c r="E83" s="244">
        <f>IPMT(LoanRate/12,$B83,LoanAmortization*12,-LoanAmount)</f>
        <v/>
      </c>
      <c r="F83" s="244">
        <f>C83-D83</f>
        <v/>
      </c>
    </row>
    <row r="84">
      <c r="B84" s="135">
        <f>B83+1</f>
        <v/>
      </c>
      <c r="C84" s="244">
        <f>F83</f>
        <v/>
      </c>
      <c r="D84" s="244">
        <f>PPMT(LoanRate/12,$B84,LoanAmortization*12,-LoanAmount)</f>
        <v/>
      </c>
      <c r="E84" s="244">
        <f>IPMT(LoanRate/12,$B84,LoanAmortization*12,-LoanAmount)</f>
        <v/>
      </c>
      <c r="F84" s="244">
        <f>C84-D84</f>
        <v/>
      </c>
    </row>
    <row r="85">
      <c r="B85" s="135">
        <f>B84+1</f>
        <v/>
      </c>
      <c r="C85" s="244">
        <f>F84</f>
        <v/>
      </c>
      <c r="D85" s="244">
        <f>PPMT(LoanRate/12,$B85,LoanAmortization*12,-LoanAmount)</f>
        <v/>
      </c>
      <c r="E85" s="244">
        <f>IPMT(LoanRate/12,$B85,LoanAmortization*12,-LoanAmount)</f>
        <v/>
      </c>
      <c r="F85" s="244">
        <f>C85-D85</f>
        <v/>
      </c>
    </row>
    <row r="86">
      <c r="B86" s="135">
        <f>B85+1</f>
        <v/>
      </c>
      <c r="C86" s="244">
        <f>F85</f>
        <v/>
      </c>
      <c r="D86" s="244">
        <f>PPMT(LoanRate/12,$B86,LoanAmortization*12,-LoanAmount)</f>
        <v/>
      </c>
      <c r="E86" s="244">
        <f>IPMT(LoanRate/12,$B86,LoanAmortization*12,-LoanAmount)</f>
        <v/>
      </c>
      <c r="F86" s="244">
        <f>C86-D86</f>
        <v/>
      </c>
    </row>
    <row r="87">
      <c r="B87" s="135">
        <f>B86+1</f>
        <v/>
      </c>
      <c r="C87" s="244">
        <f>F86</f>
        <v/>
      </c>
      <c r="D87" s="244">
        <f>PPMT(LoanRate/12,$B87,LoanAmortization*12,-LoanAmount)</f>
        <v/>
      </c>
      <c r="E87" s="244">
        <f>IPMT(LoanRate/12,$B87,LoanAmortization*12,-LoanAmount)</f>
        <v/>
      </c>
      <c r="F87" s="244">
        <f>C87-D87</f>
        <v/>
      </c>
    </row>
    <row r="88">
      <c r="B88" s="135">
        <f>B87+1</f>
        <v/>
      </c>
      <c r="C88" s="244">
        <f>F87</f>
        <v/>
      </c>
      <c r="D88" s="244">
        <f>PPMT(LoanRate/12,$B88,LoanAmortization*12,-LoanAmount)</f>
        <v/>
      </c>
      <c r="E88" s="244">
        <f>IPMT(LoanRate/12,$B88,LoanAmortization*12,-LoanAmount)</f>
        <v/>
      </c>
      <c r="F88" s="244">
        <f>C88-D88</f>
        <v/>
      </c>
    </row>
    <row r="89">
      <c r="B89" s="135">
        <f>B88+1</f>
        <v/>
      </c>
      <c r="C89" s="244">
        <f>F88</f>
        <v/>
      </c>
      <c r="D89" s="244">
        <f>PPMT(LoanRate/12,$B89,LoanAmortization*12,-LoanAmount)</f>
        <v/>
      </c>
      <c r="E89" s="244">
        <f>IPMT(LoanRate/12,$B89,LoanAmortization*12,-LoanAmount)</f>
        <v/>
      </c>
      <c r="F89" s="244">
        <f>C89-D89</f>
        <v/>
      </c>
    </row>
    <row r="90">
      <c r="B90" s="135">
        <f>B89+1</f>
        <v/>
      </c>
      <c r="C90" s="244">
        <f>F89</f>
        <v/>
      </c>
      <c r="D90" s="244">
        <f>PPMT(LoanRate/12,$B90,LoanAmortization*12,-LoanAmount)</f>
        <v/>
      </c>
      <c r="E90" s="244">
        <f>IPMT(LoanRate/12,$B90,LoanAmortization*12,-LoanAmount)</f>
        <v/>
      </c>
      <c r="F90" s="244">
        <f>C90-D90</f>
        <v/>
      </c>
    </row>
    <row r="91">
      <c r="B91" s="135">
        <f>B90+1</f>
        <v/>
      </c>
      <c r="C91" s="244">
        <f>F90</f>
        <v/>
      </c>
      <c r="D91" s="244">
        <f>PPMT(LoanRate/12,$B91,LoanAmortization*12,-LoanAmount)</f>
        <v/>
      </c>
      <c r="E91" s="244">
        <f>IPMT(LoanRate/12,$B91,LoanAmortization*12,-LoanAmount)</f>
        <v/>
      </c>
      <c r="F91" s="244">
        <f>C91-D91</f>
        <v/>
      </c>
    </row>
    <row r="92">
      <c r="B92" s="135">
        <f>B91+1</f>
        <v/>
      </c>
      <c r="C92" s="244">
        <f>F91</f>
        <v/>
      </c>
      <c r="D92" s="244">
        <f>PPMT(LoanRate/12,$B92,LoanAmortization*12,-LoanAmount)</f>
        <v/>
      </c>
      <c r="E92" s="244">
        <f>IPMT(LoanRate/12,$B92,LoanAmortization*12,-LoanAmount)</f>
        <v/>
      </c>
      <c r="F92" s="244">
        <f>C92-D92</f>
        <v/>
      </c>
    </row>
    <row r="93">
      <c r="B93" s="135">
        <f>B92+1</f>
        <v/>
      </c>
      <c r="C93" s="244">
        <f>F92</f>
        <v/>
      </c>
      <c r="D93" s="244">
        <f>PPMT(LoanRate/12,$B93,LoanAmortization*12,-LoanAmount)</f>
        <v/>
      </c>
      <c r="E93" s="244">
        <f>IPMT(LoanRate/12,$B93,LoanAmortization*12,-LoanAmount)</f>
        <v/>
      </c>
      <c r="F93" s="244">
        <f>C93-D93</f>
        <v/>
      </c>
    </row>
    <row r="94">
      <c r="B94" s="135">
        <f>B93+1</f>
        <v/>
      </c>
      <c r="C94" s="244">
        <f>F93</f>
        <v/>
      </c>
      <c r="D94" s="244">
        <f>PPMT(LoanRate/12,$B94,LoanAmortization*12,-LoanAmount)</f>
        <v/>
      </c>
      <c r="E94" s="244">
        <f>IPMT(LoanRate/12,$B94,LoanAmortization*12,-LoanAmount)</f>
        <v/>
      </c>
      <c r="F94" s="244">
        <f>C94-D94</f>
        <v/>
      </c>
    </row>
    <row r="95">
      <c r="B95" s="135">
        <f>B94+1</f>
        <v/>
      </c>
      <c r="C95" s="244">
        <f>F94</f>
        <v/>
      </c>
      <c r="D95" s="244">
        <f>PPMT(LoanRate/12,$B95,LoanAmortization*12,-LoanAmount)</f>
        <v/>
      </c>
      <c r="E95" s="244">
        <f>IPMT(LoanRate/12,$B95,LoanAmortization*12,-LoanAmount)</f>
        <v/>
      </c>
      <c r="F95" s="244">
        <f>C95-D95</f>
        <v/>
      </c>
    </row>
    <row r="96">
      <c r="B96" s="135">
        <f>B95+1</f>
        <v/>
      </c>
      <c r="C96" s="244">
        <f>F95</f>
        <v/>
      </c>
      <c r="D96" s="244">
        <f>PPMT(LoanRate/12,$B96,LoanAmortization*12,-LoanAmount)</f>
        <v/>
      </c>
      <c r="E96" s="244">
        <f>IPMT(LoanRate/12,$B96,LoanAmortization*12,-LoanAmount)</f>
        <v/>
      </c>
      <c r="F96" s="244">
        <f>C96-D96</f>
        <v/>
      </c>
    </row>
    <row r="97">
      <c r="B97" s="135">
        <f>B96+1</f>
        <v/>
      </c>
      <c r="C97" s="244">
        <f>F96</f>
        <v/>
      </c>
      <c r="D97" s="244">
        <f>PPMT(LoanRate/12,$B97,LoanAmortization*12,-LoanAmount)</f>
        <v/>
      </c>
      <c r="E97" s="244">
        <f>IPMT(LoanRate/12,$B97,LoanAmortization*12,-LoanAmount)</f>
        <v/>
      </c>
      <c r="F97" s="244">
        <f>C97-D97</f>
        <v/>
      </c>
    </row>
    <row r="98">
      <c r="B98" s="135">
        <f>B97+1</f>
        <v/>
      </c>
      <c r="C98" s="244">
        <f>F97</f>
        <v/>
      </c>
      <c r="D98" s="244">
        <f>PPMT(LoanRate/12,$B98,LoanAmortization*12,-LoanAmount)</f>
        <v/>
      </c>
      <c r="E98" s="244">
        <f>IPMT(LoanRate/12,$B98,LoanAmortization*12,-LoanAmount)</f>
        <v/>
      </c>
      <c r="F98" s="244">
        <f>C98-D98</f>
        <v/>
      </c>
    </row>
    <row r="99">
      <c r="B99" s="135">
        <f>B98+1</f>
        <v/>
      </c>
      <c r="C99" s="244">
        <f>F98</f>
        <v/>
      </c>
      <c r="D99" s="244">
        <f>PPMT(LoanRate/12,$B99,LoanAmortization*12,-LoanAmount)</f>
        <v/>
      </c>
      <c r="E99" s="244">
        <f>IPMT(LoanRate/12,$B99,LoanAmortization*12,-LoanAmount)</f>
        <v/>
      </c>
      <c r="F99" s="244">
        <f>C99-D99</f>
        <v/>
      </c>
    </row>
    <row r="100">
      <c r="B100" s="135">
        <f>B99+1</f>
        <v/>
      </c>
      <c r="C100" s="244">
        <f>F99</f>
        <v/>
      </c>
      <c r="D100" s="244">
        <f>PPMT(LoanRate/12,$B100,LoanAmortization*12,-LoanAmount)</f>
        <v/>
      </c>
      <c r="E100" s="244">
        <f>IPMT(LoanRate/12,$B100,LoanAmortization*12,-LoanAmount)</f>
        <v/>
      </c>
      <c r="F100" s="244">
        <f>C100-D100</f>
        <v/>
      </c>
    </row>
    <row r="101">
      <c r="B101" s="135">
        <f>B100+1</f>
        <v/>
      </c>
      <c r="C101" s="244">
        <f>F100</f>
        <v/>
      </c>
      <c r="D101" s="244">
        <f>PPMT(LoanRate/12,$B101,LoanAmortization*12,-LoanAmount)</f>
        <v/>
      </c>
      <c r="E101" s="244">
        <f>IPMT(LoanRate/12,$B101,LoanAmortization*12,-LoanAmount)</f>
        <v/>
      </c>
      <c r="F101" s="244">
        <f>C101-D101</f>
        <v/>
      </c>
    </row>
    <row r="102">
      <c r="B102" s="135">
        <f>B101+1</f>
        <v/>
      </c>
      <c r="C102" s="244">
        <f>F101</f>
        <v/>
      </c>
      <c r="D102" s="244">
        <f>PPMT(LoanRate/12,$B102,LoanAmortization*12,-LoanAmount)</f>
        <v/>
      </c>
      <c r="E102" s="244">
        <f>IPMT(LoanRate/12,$B102,LoanAmortization*12,-LoanAmount)</f>
        <v/>
      </c>
      <c r="F102" s="244">
        <f>C102-D102</f>
        <v/>
      </c>
    </row>
    <row r="103">
      <c r="B103" s="135">
        <f>B102+1</f>
        <v/>
      </c>
      <c r="C103" s="244">
        <f>F102</f>
        <v/>
      </c>
      <c r="D103" s="244">
        <f>PPMT(LoanRate/12,$B103,LoanAmortization*12,-LoanAmount)</f>
        <v/>
      </c>
      <c r="E103" s="244">
        <f>IPMT(LoanRate/12,$B103,LoanAmortization*12,-LoanAmount)</f>
        <v/>
      </c>
      <c r="F103" s="244">
        <f>C103-D103</f>
        <v/>
      </c>
    </row>
    <row r="104">
      <c r="B104" s="135">
        <f>B103+1</f>
        <v/>
      </c>
      <c r="C104" s="244">
        <f>F103</f>
        <v/>
      </c>
      <c r="D104" s="244">
        <f>PPMT(LoanRate/12,$B104,LoanAmortization*12,-LoanAmount)</f>
        <v/>
      </c>
      <c r="E104" s="244">
        <f>IPMT(LoanRate/12,$B104,LoanAmortization*12,-LoanAmount)</f>
        <v/>
      </c>
      <c r="F104" s="244">
        <f>C104-D104</f>
        <v/>
      </c>
    </row>
    <row r="105">
      <c r="B105" s="135">
        <f>B104+1</f>
        <v/>
      </c>
      <c r="C105" s="244">
        <f>F104</f>
        <v/>
      </c>
      <c r="D105" s="244">
        <f>PPMT(LoanRate/12,$B105,LoanAmortization*12,-LoanAmount)</f>
        <v/>
      </c>
      <c r="E105" s="244">
        <f>IPMT(LoanRate/12,$B105,LoanAmortization*12,-LoanAmount)</f>
        <v/>
      </c>
      <c r="F105" s="244">
        <f>C105-D105</f>
        <v/>
      </c>
    </row>
    <row r="106">
      <c r="B106" s="135">
        <f>B105+1</f>
        <v/>
      </c>
      <c r="C106" s="244">
        <f>F105</f>
        <v/>
      </c>
      <c r="D106" s="244">
        <f>PPMT(LoanRate/12,$B106,LoanAmortization*12,-LoanAmount)</f>
        <v/>
      </c>
      <c r="E106" s="244">
        <f>IPMT(LoanRate/12,$B106,LoanAmortization*12,-LoanAmount)</f>
        <v/>
      </c>
      <c r="F106" s="244">
        <f>C106-D106</f>
        <v/>
      </c>
    </row>
    <row r="107">
      <c r="B107" s="135">
        <f>B106+1</f>
        <v/>
      </c>
      <c r="C107" s="244">
        <f>F106</f>
        <v/>
      </c>
      <c r="D107" s="244">
        <f>PPMT(LoanRate/12,$B107,LoanAmortization*12,-LoanAmount)</f>
        <v/>
      </c>
      <c r="E107" s="244">
        <f>IPMT(LoanRate/12,$B107,LoanAmortization*12,-LoanAmount)</f>
        <v/>
      </c>
      <c r="F107" s="244">
        <f>C107-D107</f>
        <v/>
      </c>
    </row>
    <row r="108">
      <c r="B108" s="135">
        <f>B107+1</f>
        <v/>
      </c>
      <c r="C108" s="244">
        <f>F107</f>
        <v/>
      </c>
      <c r="D108" s="244">
        <f>PPMT(LoanRate/12,$B108,LoanAmortization*12,-LoanAmount)</f>
        <v/>
      </c>
      <c r="E108" s="244">
        <f>IPMT(LoanRate/12,$B108,LoanAmortization*12,-LoanAmount)</f>
        <v/>
      </c>
      <c r="F108" s="244">
        <f>C108-D108</f>
        <v/>
      </c>
    </row>
    <row r="109">
      <c r="B109" s="135">
        <f>B108+1</f>
        <v/>
      </c>
      <c r="C109" s="244">
        <f>F108</f>
        <v/>
      </c>
      <c r="D109" s="244">
        <f>PPMT(LoanRate/12,$B109,LoanAmortization*12,-LoanAmount)</f>
        <v/>
      </c>
      <c r="E109" s="244">
        <f>IPMT(LoanRate/12,$B109,LoanAmortization*12,-LoanAmount)</f>
        <v/>
      </c>
      <c r="F109" s="244">
        <f>C109-D109</f>
        <v/>
      </c>
    </row>
    <row r="110">
      <c r="B110" s="135">
        <f>B109+1</f>
        <v/>
      </c>
      <c r="C110" s="244">
        <f>F109</f>
        <v/>
      </c>
      <c r="D110" s="244">
        <f>PPMT(LoanRate/12,$B110,LoanAmortization*12,-LoanAmount)</f>
        <v/>
      </c>
      <c r="E110" s="244">
        <f>IPMT(LoanRate/12,$B110,LoanAmortization*12,-LoanAmount)</f>
        <v/>
      </c>
      <c r="F110" s="244">
        <f>C110-D110</f>
        <v/>
      </c>
    </row>
    <row r="111">
      <c r="B111" s="135">
        <f>B110+1</f>
        <v/>
      </c>
      <c r="C111" s="244">
        <f>F110</f>
        <v/>
      </c>
      <c r="D111" s="244">
        <f>PPMT(LoanRate/12,$B111,LoanAmortization*12,-LoanAmount)</f>
        <v/>
      </c>
      <c r="E111" s="244">
        <f>IPMT(LoanRate/12,$B111,LoanAmortization*12,-LoanAmount)</f>
        <v/>
      </c>
      <c r="F111" s="244">
        <f>C111-D111</f>
        <v/>
      </c>
    </row>
    <row r="112">
      <c r="B112" s="135">
        <f>B111+1</f>
        <v/>
      </c>
      <c r="C112" s="244">
        <f>F111</f>
        <v/>
      </c>
      <c r="D112" s="244">
        <f>PPMT(LoanRate/12,$B112,LoanAmortization*12,-LoanAmount)</f>
        <v/>
      </c>
      <c r="E112" s="244">
        <f>IPMT(LoanRate/12,$B112,LoanAmortization*12,-LoanAmount)</f>
        <v/>
      </c>
      <c r="F112" s="244">
        <f>C112-D112</f>
        <v/>
      </c>
    </row>
    <row r="113">
      <c r="B113" s="135">
        <f>B112+1</f>
        <v/>
      </c>
      <c r="C113" s="244">
        <f>F112</f>
        <v/>
      </c>
      <c r="D113" s="244">
        <f>PPMT(LoanRate/12,$B113,LoanAmortization*12,-LoanAmount)</f>
        <v/>
      </c>
      <c r="E113" s="244">
        <f>IPMT(LoanRate/12,$B113,LoanAmortization*12,-LoanAmount)</f>
        <v/>
      </c>
      <c r="F113" s="244">
        <f>C113-D113</f>
        <v/>
      </c>
    </row>
    <row r="114">
      <c r="B114" s="135">
        <f>B113+1</f>
        <v/>
      </c>
      <c r="C114" s="244">
        <f>F113</f>
        <v/>
      </c>
      <c r="D114" s="244">
        <f>PPMT(LoanRate/12,$B114,LoanAmortization*12,-LoanAmount)</f>
        <v/>
      </c>
      <c r="E114" s="244">
        <f>IPMT(LoanRate/12,$B114,LoanAmortization*12,-LoanAmount)</f>
        <v/>
      </c>
      <c r="F114" s="244">
        <f>C114-D114</f>
        <v/>
      </c>
    </row>
    <row r="115">
      <c r="B115" s="135">
        <f>B114+1</f>
        <v/>
      </c>
      <c r="C115" s="244">
        <f>F114</f>
        <v/>
      </c>
      <c r="D115" s="244">
        <f>PPMT(LoanRate/12,$B115,LoanAmortization*12,-LoanAmount)</f>
        <v/>
      </c>
      <c r="E115" s="244">
        <f>IPMT(LoanRate/12,$B115,LoanAmortization*12,-LoanAmount)</f>
        <v/>
      </c>
      <c r="F115" s="244">
        <f>C115-D115</f>
        <v/>
      </c>
    </row>
    <row r="116">
      <c r="B116" s="135">
        <f>B115+1</f>
        <v/>
      </c>
      <c r="C116" s="244">
        <f>F115</f>
        <v/>
      </c>
      <c r="D116" s="244">
        <f>PPMT(LoanRate/12,$B116,LoanAmortization*12,-LoanAmount)</f>
        <v/>
      </c>
      <c r="E116" s="244">
        <f>IPMT(LoanRate/12,$B116,LoanAmortization*12,-LoanAmount)</f>
        <v/>
      </c>
      <c r="F116" s="244">
        <f>C116-D116</f>
        <v/>
      </c>
    </row>
    <row r="117">
      <c r="B117" s="135">
        <f>B116+1</f>
        <v/>
      </c>
      <c r="C117" s="244">
        <f>F116</f>
        <v/>
      </c>
      <c r="D117" s="244">
        <f>PPMT(LoanRate/12,$B117,LoanAmortization*12,-LoanAmount)</f>
        <v/>
      </c>
      <c r="E117" s="244">
        <f>IPMT(LoanRate/12,$B117,LoanAmortization*12,-LoanAmount)</f>
        <v/>
      </c>
      <c r="F117" s="244">
        <f>C117-D117</f>
        <v/>
      </c>
    </row>
    <row r="118">
      <c r="B118" s="135">
        <f>B117+1</f>
        <v/>
      </c>
      <c r="C118" s="244">
        <f>F117</f>
        <v/>
      </c>
      <c r="D118" s="244">
        <f>PPMT(LoanRate/12,$B118,LoanAmortization*12,-LoanAmount)</f>
        <v/>
      </c>
      <c r="E118" s="244">
        <f>IPMT(LoanRate/12,$B118,LoanAmortization*12,-LoanAmount)</f>
        <v/>
      </c>
      <c r="F118" s="244">
        <f>C118-D118</f>
        <v/>
      </c>
    </row>
    <row r="119">
      <c r="B119" s="135">
        <f>B118+1</f>
        <v/>
      </c>
      <c r="C119" s="244">
        <f>F118</f>
        <v/>
      </c>
      <c r="D119" s="244">
        <f>PPMT(LoanRate/12,$B119,LoanAmortization*12,-LoanAmount)</f>
        <v/>
      </c>
      <c r="E119" s="244">
        <f>IPMT(LoanRate/12,$B119,LoanAmortization*12,-LoanAmount)</f>
        <v/>
      </c>
      <c r="F119" s="244">
        <f>C119-D119</f>
        <v/>
      </c>
    </row>
    <row r="120">
      <c r="B120" s="135">
        <f>B119+1</f>
        <v/>
      </c>
      <c r="C120" s="244">
        <f>F119</f>
        <v/>
      </c>
      <c r="D120" s="244">
        <f>PPMT(LoanRate/12,$B120,LoanAmortization*12,-LoanAmount)</f>
        <v/>
      </c>
      <c r="E120" s="244">
        <f>IPMT(LoanRate/12,$B120,LoanAmortization*12,-LoanAmount)</f>
        <v/>
      </c>
      <c r="F120" s="244">
        <f>C120-D120</f>
        <v/>
      </c>
    </row>
    <row r="121">
      <c r="B121" s="135">
        <f>B120+1</f>
        <v/>
      </c>
      <c r="C121" s="244">
        <f>F120</f>
        <v/>
      </c>
      <c r="D121" s="244">
        <f>PPMT(LoanRate/12,$B121,LoanAmortization*12,-LoanAmount)</f>
        <v/>
      </c>
      <c r="E121" s="244">
        <f>IPMT(LoanRate/12,$B121,LoanAmortization*12,-LoanAmount)</f>
        <v/>
      </c>
      <c r="F121" s="244">
        <f>C121-D121</f>
        <v/>
      </c>
    </row>
    <row r="122">
      <c r="B122" s="135">
        <f>B121+1</f>
        <v/>
      </c>
      <c r="C122" s="244">
        <f>F121</f>
        <v/>
      </c>
      <c r="D122" s="244">
        <f>PPMT(LoanRate/12,$B122,LoanAmortization*12,-LoanAmount)</f>
        <v/>
      </c>
      <c r="E122" s="244">
        <f>IPMT(LoanRate/12,$B122,LoanAmortization*12,-LoanAmount)</f>
        <v/>
      </c>
      <c r="F122" s="244">
        <f>C122-D122</f>
        <v/>
      </c>
    </row>
    <row r="123">
      <c r="B123" s="135">
        <f>B122+1</f>
        <v/>
      </c>
      <c r="C123" s="244">
        <f>F122</f>
        <v/>
      </c>
      <c r="D123" s="244">
        <f>PPMT(LoanRate/12,$B123,LoanAmortization*12,-LoanAmount)</f>
        <v/>
      </c>
      <c r="E123" s="244">
        <f>IPMT(LoanRate/12,$B123,LoanAmortization*12,-LoanAmount)</f>
        <v/>
      </c>
      <c r="F123" s="244">
        <f>C123-D123</f>
        <v/>
      </c>
    </row>
    <row r="124">
      <c r="B124" s="135">
        <f>B123+1</f>
        <v/>
      </c>
      <c r="C124" s="244">
        <f>F123</f>
        <v/>
      </c>
      <c r="D124" s="244">
        <f>PPMT(LoanRate/12,$B124,LoanAmortization*12,-LoanAmount)</f>
        <v/>
      </c>
      <c r="E124" s="244">
        <f>IPMT(LoanRate/12,$B124,LoanAmortization*12,-LoanAmount)</f>
        <v/>
      </c>
      <c r="F124" s="244">
        <f>C124-D124</f>
        <v/>
      </c>
    </row>
    <row r="125">
      <c r="B125" s="135">
        <f>B124+1</f>
        <v/>
      </c>
      <c r="C125" s="244">
        <f>F124</f>
        <v/>
      </c>
      <c r="D125" s="244">
        <f>PPMT(LoanRate/12,$B125,LoanAmortization*12,-LoanAmount)</f>
        <v/>
      </c>
      <c r="E125" s="244">
        <f>IPMT(LoanRate/12,$B125,LoanAmortization*12,-LoanAmount)</f>
        <v/>
      </c>
      <c r="F125" s="244">
        <f>C125-D125</f>
        <v/>
      </c>
    </row>
    <row r="126">
      <c r="B126" s="135">
        <f>B125+1</f>
        <v/>
      </c>
      <c r="C126" s="244">
        <f>F125</f>
        <v/>
      </c>
      <c r="D126" s="244">
        <f>PPMT(LoanRate/12,$B126,LoanAmortization*12,-LoanAmount)</f>
        <v/>
      </c>
      <c r="E126" s="244">
        <f>IPMT(LoanRate/12,$B126,LoanAmortization*12,-LoanAmount)</f>
        <v/>
      </c>
      <c r="F126" s="244">
        <f>C126-D126</f>
        <v/>
      </c>
    </row>
    <row r="127">
      <c r="B127" s="135">
        <f>B126+1</f>
        <v/>
      </c>
      <c r="C127" s="244">
        <f>F126</f>
        <v/>
      </c>
      <c r="D127" s="244">
        <f>PPMT(LoanRate/12,$B127,LoanAmortization*12,-LoanAmount)</f>
        <v/>
      </c>
      <c r="E127" s="244">
        <f>IPMT(LoanRate/12,$B127,LoanAmortization*12,-LoanAmount)</f>
        <v/>
      </c>
      <c r="F127" s="244">
        <f>C127-D127</f>
        <v/>
      </c>
    </row>
    <row r="128">
      <c r="B128" s="135">
        <f>B127+1</f>
        <v/>
      </c>
      <c r="C128" s="244">
        <f>F127</f>
        <v/>
      </c>
      <c r="D128" s="244">
        <f>PPMT(LoanRate/12,$B128,LoanAmortization*12,-LoanAmount)</f>
        <v/>
      </c>
      <c r="E128" s="244">
        <f>IPMT(LoanRate/12,$B128,LoanAmortization*12,-LoanAmount)</f>
        <v/>
      </c>
      <c r="F128" s="244">
        <f>C128-D128</f>
        <v/>
      </c>
    </row>
    <row r="129">
      <c r="B129" s="135">
        <f>B128+1</f>
        <v/>
      </c>
      <c r="C129" s="244">
        <f>F128</f>
        <v/>
      </c>
      <c r="D129" s="244">
        <f>PPMT(LoanRate/12,$B129,LoanAmortization*12,-LoanAmount)</f>
        <v/>
      </c>
      <c r="E129" s="244">
        <f>IPMT(LoanRate/12,$B129,LoanAmortization*12,-LoanAmount)</f>
        <v/>
      </c>
      <c r="F129" s="244">
        <f>C129-D129</f>
        <v/>
      </c>
    </row>
    <row r="130">
      <c r="B130" s="135">
        <f>B129+1</f>
        <v/>
      </c>
      <c r="C130" s="244">
        <f>F129</f>
        <v/>
      </c>
      <c r="D130" s="244">
        <f>PPMT(LoanRate/12,$B130,LoanAmortization*12,-LoanAmount)</f>
        <v/>
      </c>
      <c r="E130" s="244">
        <f>IPMT(LoanRate/12,$B130,LoanAmortization*12,-LoanAmount)</f>
        <v/>
      </c>
      <c r="F130" s="244">
        <f>C130-D130</f>
        <v/>
      </c>
    </row>
    <row r="131">
      <c r="B131" s="135">
        <f>B130+1</f>
        <v/>
      </c>
      <c r="C131" s="244">
        <f>F130</f>
        <v/>
      </c>
      <c r="D131" s="244">
        <f>PPMT(LoanRate/12,$B131,LoanAmortization*12,-LoanAmount)</f>
        <v/>
      </c>
      <c r="E131" s="244">
        <f>IPMT(LoanRate/12,$B131,LoanAmortization*12,-LoanAmount)</f>
        <v/>
      </c>
      <c r="F131" s="244">
        <f>C131-D131</f>
        <v/>
      </c>
    </row>
    <row r="132">
      <c r="B132" s="135">
        <f>B131+1</f>
        <v/>
      </c>
      <c r="C132" s="244">
        <f>F131</f>
        <v/>
      </c>
      <c r="D132" s="244">
        <f>PPMT(LoanRate/12,$B132,LoanAmortization*12,-LoanAmount)</f>
        <v/>
      </c>
      <c r="E132" s="244">
        <f>IPMT(LoanRate/12,$B132,LoanAmortization*12,-LoanAmount)</f>
        <v/>
      </c>
      <c r="F132" s="244">
        <f>C132-D132</f>
        <v/>
      </c>
    </row>
    <row r="133">
      <c r="B133" s="135">
        <f>B132+1</f>
        <v/>
      </c>
      <c r="C133" s="244">
        <f>F132</f>
        <v/>
      </c>
      <c r="D133" s="244">
        <f>PPMT(LoanRate/12,$B133,LoanAmortization*12,-LoanAmount)</f>
        <v/>
      </c>
      <c r="E133" s="244">
        <f>IPMT(LoanRate/12,$B133,LoanAmortization*12,-LoanAmount)</f>
        <v/>
      </c>
      <c r="F133" s="244">
        <f>C133-D133</f>
        <v/>
      </c>
    </row>
    <row r="134">
      <c r="B134" s="135">
        <f>B133+1</f>
        <v/>
      </c>
      <c r="C134" s="244">
        <f>F133</f>
        <v/>
      </c>
      <c r="D134" s="244">
        <f>PPMT(LoanRate/12,$B134,LoanAmortization*12,-LoanAmount)</f>
        <v/>
      </c>
      <c r="E134" s="244">
        <f>IPMT(LoanRate/12,$B134,LoanAmortization*12,-LoanAmount)</f>
        <v/>
      </c>
      <c r="F134" s="244">
        <f>C134-D134</f>
        <v/>
      </c>
    </row>
    <row r="135">
      <c r="B135" s="135">
        <f>B134+1</f>
        <v/>
      </c>
      <c r="C135" s="244">
        <f>F134</f>
        <v/>
      </c>
      <c r="D135" s="244">
        <f>PPMT(LoanRate/12,$B135,LoanAmortization*12,-LoanAmount)</f>
        <v/>
      </c>
      <c r="E135" s="244">
        <f>IPMT(LoanRate/12,$B135,LoanAmortization*12,-LoanAmount)</f>
        <v/>
      </c>
      <c r="F135" s="244">
        <f>C135-D135</f>
        <v/>
      </c>
    </row>
    <row r="136">
      <c r="B136" s="135">
        <f>B135+1</f>
        <v/>
      </c>
      <c r="C136" s="244">
        <f>F135</f>
        <v/>
      </c>
      <c r="D136" s="244">
        <f>PPMT(LoanRate/12,$B136,LoanAmortization*12,-LoanAmount)</f>
        <v/>
      </c>
      <c r="E136" s="244">
        <f>IPMT(LoanRate/12,$B136,LoanAmortization*12,-LoanAmount)</f>
        <v/>
      </c>
      <c r="F136" s="244">
        <f>C136-D136</f>
        <v/>
      </c>
    </row>
    <row r="137">
      <c r="B137" s="135">
        <f>B136+1</f>
        <v/>
      </c>
      <c r="C137" s="244">
        <f>F136</f>
        <v/>
      </c>
      <c r="D137" s="244">
        <f>PPMT(LoanRate/12,$B137,LoanAmortization*12,-LoanAmount)</f>
        <v/>
      </c>
      <c r="E137" s="244">
        <f>IPMT(LoanRate/12,$B137,LoanAmortization*12,-LoanAmount)</f>
        <v/>
      </c>
      <c r="F137" s="244">
        <f>C137-D137</f>
        <v/>
      </c>
    </row>
    <row r="138">
      <c r="B138" s="135">
        <f>B137+1</f>
        <v/>
      </c>
      <c r="C138" s="244">
        <f>F137</f>
        <v/>
      </c>
      <c r="D138" s="244">
        <f>PPMT(LoanRate/12,$B138,LoanAmortization*12,-LoanAmount)</f>
        <v/>
      </c>
      <c r="E138" s="244">
        <f>IPMT(LoanRate/12,$B138,LoanAmortization*12,-LoanAmount)</f>
        <v/>
      </c>
      <c r="F138" s="244">
        <f>C138-D138</f>
        <v/>
      </c>
    </row>
    <row r="139">
      <c r="B139" s="135">
        <f>B138+1</f>
        <v/>
      </c>
      <c r="C139" s="244">
        <f>F138</f>
        <v/>
      </c>
      <c r="D139" s="244">
        <f>PPMT(LoanRate/12,$B139,LoanAmortization*12,-LoanAmount)</f>
        <v/>
      </c>
      <c r="E139" s="244">
        <f>IPMT(LoanRate/12,$B139,LoanAmortization*12,-LoanAmount)</f>
        <v/>
      </c>
      <c r="F139" s="244">
        <f>C139-D139</f>
        <v/>
      </c>
    </row>
    <row r="140">
      <c r="B140" s="135">
        <f>B139+1</f>
        <v/>
      </c>
      <c r="C140" s="244">
        <f>F139</f>
        <v/>
      </c>
      <c r="D140" s="244">
        <f>PPMT(LoanRate/12,$B140,LoanAmortization*12,-LoanAmount)</f>
        <v/>
      </c>
      <c r="E140" s="244">
        <f>IPMT(LoanRate/12,$B140,LoanAmortization*12,-LoanAmount)</f>
        <v/>
      </c>
      <c r="F140" s="244">
        <f>C140-D140</f>
        <v/>
      </c>
    </row>
    <row r="141">
      <c r="B141" s="135">
        <f>B140+1</f>
        <v/>
      </c>
      <c r="C141" s="244">
        <f>F140</f>
        <v/>
      </c>
      <c r="D141" s="244">
        <f>PPMT(LoanRate/12,$B141,LoanAmortization*12,-LoanAmount)</f>
        <v/>
      </c>
      <c r="E141" s="244">
        <f>IPMT(LoanRate/12,$B141,LoanAmortization*12,-LoanAmount)</f>
        <v/>
      </c>
      <c r="F141" s="244">
        <f>C141-D141</f>
        <v/>
      </c>
    </row>
    <row r="142">
      <c r="B142" s="135">
        <f>B141+1</f>
        <v/>
      </c>
      <c r="C142" s="244">
        <f>F141</f>
        <v/>
      </c>
      <c r="D142" s="244">
        <f>PPMT(LoanRate/12,$B142,LoanAmortization*12,-LoanAmount)</f>
        <v/>
      </c>
      <c r="E142" s="244">
        <f>IPMT(LoanRate/12,$B142,LoanAmortization*12,-LoanAmount)</f>
        <v/>
      </c>
      <c r="F142" s="244">
        <f>C142-D142</f>
        <v/>
      </c>
    </row>
    <row r="143">
      <c r="B143" s="135">
        <f>B142+1</f>
        <v/>
      </c>
      <c r="C143" s="244">
        <f>F142</f>
        <v/>
      </c>
      <c r="D143" s="244">
        <f>PPMT(LoanRate/12,$B143,LoanAmortization*12,-LoanAmount)</f>
        <v/>
      </c>
      <c r="E143" s="244">
        <f>IPMT(LoanRate/12,$B143,LoanAmortization*12,-LoanAmount)</f>
        <v/>
      </c>
      <c r="F143" s="244">
        <f>C143-D143</f>
        <v/>
      </c>
    </row>
    <row r="144">
      <c r="B144" s="135">
        <f>B143+1</f>
        <v/>
      </c>
      <c r="C144" s="244">
        <f>F143</f>
        <v/>
      </c>
      <c r="D144" s="244">
        <f>PPMT(LoanRate/12,$B144,LoanAmortization*12,-LoanAmount)</f>
        <v/>
      </c>
      <c r="E144" s="244">
        <f>IPMT(LoanRate/12,$B144,LoanAmortization*12,-LoanAmount)</f>
        <v/>
      </c>
      <c r="F144" s="244">
        <f>C144-D144</f>
        <v/>
      </c>
    </row>
    <row r="145">
      <c r="B145" s="135">
        <f>B144+1</f>
        <v/>
      </c>
      <c r="C145" s="244">
        <f>F144</f>
        <v/>
      </c>
      <c r="D145" s="244">
        <f>PPMT(LoanRate/12,$B145,LoanAmortization*12,-LoanAmount)</f>
        <v/>
      </c>
      <c r="E145" s="244">
        <f>IPMT(LoanRate/12,$B145,LoanAmortization*12,-LoanAmount)</f>
        <v/>
      </c>
      <c r="F145" s="244">
        <f>C145-D145</f>
        <v/>
      </c>
    </row>
    <row r="146">
      <c r="B146" s="135">
        <f>B145+1</f>
        <v/>
      </c>
      <c r="C146" s="244">
        <f>F145</f>
        <v/>
      </c>
      <c r="D146" s="244">
        <f>PPMT(LoanRate/12,$B146,LoanAmortization*12,-LoanAmount)</f>
        <v/>
      </c>
      <c r="E146" s="244">
        <f>IPMT(LoanRate/12,$B146,LoanAmortization*12,-LoanAmount)</f>
        <v/>
      </c>
      <c r="F146" s="244">
        <f>C146-D146</f>
        <v/>
      </c>
    </row>
    <row r="147">
      <c r="B147" s="135">
        <f>B146+1</f>
        <v/>
      </c>
      <c r="C147" s="244">
        <f>F146</f>
        <v/>
      </c>
      <c r="D147" s="244">
        <f>PPMT(LoanRate/12,$B147,LoanAmortization*12,-LoanAmount)</f>
        <v/>
      </c>
      <c r="E147" s="244">
        <f>IPMT(LoanRate/12,$B147,LoanAmortization*12,-LoanAmount)</f>
        <v/>
      </c>
      <c r="F147" s="244">
        <f>C147-D147</f>
        <v/>
      </c>
    </row>
    <row r="148">
      <c r="B148" s="135">
        <f>B147+1</f>
        <v/>
      </c>
      <c r="C148" s="244">
        <f>F147</f>
        <v/>
      </c>
      <c r="D148" s="244">
        <f>PPMT(LoanRate/12,$B148,LoanAmortization*12,-LoanAmount)</f>
        <v/>
      </c>
      <c r="E148" s="244">
        <f>IPMT(LoanRate/12,$B148,LoanAmortization*12,-LoanAmount)</f>
        <v/>
      </c>
      <c r="F148" s="244">
        <f>C148-D148</f>
        <v/>
      </c>
    </row>
    <row r="149">
      <c r="B149" s="135">
        <f>B148+1</f>
        <v/>
      </c>
      <c r="C149" s="244">
        <f>F148</f>
        <v/>
      </c>
      <c r="D149" s="244">
        <f>PPMT(LoanRate/12,$B149,LoanAmortization*12,-LoanAmount)</f>
        <v/>
      </c>
      <c r="E149" s="244">
        <f>IPMT(LoanRate/12,$B149,LoanAmortization*12,-LoanAmount)</f>
        <v/>
      </c>
      <c r="F149" s="244">
        <f>C149-D149</f>
        <v/>
      </c>
    </row>
    <row r="150">
      <c r="B150" s="135">
        <f>B149+1</f>
        <v/>
      </c>
      <c r="C150" s="244">
        <f>F149</f>
        <v/>
      </c>
      <c r="D150" s="244">
        <f>PPMT(LoanRate/12,$B150,LoanAmortization*12,-LoanAmount)</f>
        <v/>
      </c>
      <c r="E150" s="244">
        <f>IPMT(LoanRate/12,$B150,LoanAmortization*12,-LoanAmount)</f>
        <v/>
      </c>
      <c r="F150" s="244">
        <f>C150-D150</f>
        <v/>
      </c>
    </row>
    <row r="151">
      <c r="B151" s="135">
        <f>B150+1</f>
        <v/>
      </c>
      <c r="C151" s="244">
        <f>F150</f>
        <v/>
      </c>
      <c r="D151" s="244">
        <f>PPMT(LoanRate/12,$B151,LoanAmortization*12,-LoanAmount)</f>
        <v/>
      </c>
      <c r="E151" s="244">
        <f>IPMT(LoanRate/12,$B151,LoanAmortization*12,-LoanAmount)</f>
        <v/>
      </c>
      <c r="F151" s="244">
        <f>C151-D151</f>
        <v/>
      </c>
    </row>
    <row r="152">
      <c r="B152" s="135">
        <f>B151+1</f>
        <v/>
      </c>
      <c r="C152" s="244">
        <f>F151</f>
        <v/>
      </c>
      <c r="D152" s="244">
        <f>PPMT(LoanRate/12,$B152,LoanAmortization*12,-LoanAmount)</f>
        <v/>
      </c>
      <c r="E152" s="244">
        <f>IPMT(LoanRate/12,$B152,LoanAmortization*12,-LoanAmount)</f>
        <v/>
      </c>
      <c r="F152" s="244">
        <f>C152-D152</f>
        <v/>
      </c>
    </row>
    <row r="153">
      <c r="B153" s="135">
        <f>B152+1</f>
        <v/>
      </c>
      <c r="C153" s="244">
        <f>F152</f>
        <v/>
      </c>
      <c r="D153" s="244">
        <f>PPMT(LoanRate/12,$B153,LoanAmortization*12,-LoanAmount)</f>
        <v/>
      </c>
      <c r="E153" s="244">
        <f>IPMT(LoanRate/12,$B153,LoanAmortization*12,-LoanAmount)</f>
        <v/>
      </c>
      <c r="F153" s="244">
        <f>C153-D153</f>
        <v/>
      </c>
    </row>
    <row r="154">
      <c r="B154" s="135">
        <f>B153+1</f>
        <v/>
      </c>
      <c r="C154" s="244">
        <f>F153</f>
        <v/>
      </c>
      <c r="D154" s="244">
        <f>PPMT(LoanRate/12,$B154,LoanAmortization*12,-LoanAmount)</f>
        <v/>
      </c>
      <c r="E154" s="244">
        <f>IPMT(LoanRate/12,$B154,LoanAmortization*12,-LoanAmount)</f>
        <v/>
      </c>
      <c r="F154" s="244">
        <f>C154-D154</f>
        <v/>
      </c>
    </row>
    <row r="155">
      <c r="B155" s="135">
        <f>B154+1</f>
        <v/>
      </c>
      <c r="C155" s="244">
        <f>F154</f>
        <v/>
      </c>
      <c r="D155" s="244">
        <f>PPMT(LoanRate/12,$B155,LoanAmortization*12,-LoanAmount)</f>
        <v/>
      </c>
      <c r="E155" s="244">
        <f>IPMT(LoanRate/12,$B155,LoanAmortization*12,-LoanAmount)</f>
        <v/>
      </c>
      <c r="F155" s="244">
        <f>C155-D155</f>
        <v/>
      </c>
    </row>
    <row r="156">
      <c r="B156" s="135">
        <f>B155+1</f>
        <v/>
      </c>
      <c r="C156" s="244">
        <f>F155</f>
        <v/>
      </c>
      <c r="D156" s="244">
        <f>PPMT(LoanRate/12,$B156,LoanAmortization*12,-LoanAmount)</f>
        <v/>
      </c>
      <c r="E156" s="244">
        <f>IPMT(LoanRate/12,$B156,LoanAmortization*12,-LoanAmount)</f>
        <v/>
      </c>
      <c r="F156" s="244">
        <f>C156-D156</f>
        <v/>
      </c>
    </row>
    <row r="157">
      <c r="B157" s="135">
        <f>B156+1</f>
        <v/>
      </c>
      <c r="C157" s="244">
        <f>F156</f>
        <v/>
      </c>
      <c r="D157" s="244">
        <f>PPMT(LoanRate/12,$B157,LoanAmortization*12,-LoanAmount)</f>
        <v/>
      </c>
      <c r="E157" s="244">
        <f>IPMT(LoanRate/12,$B157,LoanAmortization*12,-LoanAmount)</f>
        <v/>
      </c>
      <c r="F157" s="244">
        <f>C157-D157</f>
        <v/>
      </c>
    </row>
    <row r="158">
      <c r="B158" s="135">
        <f>B157+1</f>
        <v/>
      </c>
      <c r="C158" s="244">
        <f>F157</f>
        <v/>
      </c>
      <c r="D158" s="244">
        <f>PPMT(LoanRate/12,$B158,LoanAmortization*12,-LoanAmount)</f>
        <v/>
      </c>
      <c r="E158" s="244">
        <f>IPMT(LoanRate/12,$B158,LoanAmortization*12,-LoanAmount)</f>
        <v/>
      </c>
      <c r="F158" s="244">
        <f>C158-D158</f>
        <v/>
      </c>
    </row>
    <row r="159">
      <c r="B159" s="135">
        <f>B158+1</f>
        <v/>
      </c>
      <c r="C159" s="244">
        <f>F158</f>
        <v/>
      </c>
      <c r="D159" s="244">
        <f>PPMT(LoanRate/12,$B159,LoanAmortization*12,-LoanAmount)</f>
        <v/>
      </c>
      <c r="E159" s="244">
        <f>IPMT(LoanRate/12,$B159,LoanAmortization*12,-LoanAmount)</f>
        <v/>
      </c>
      <c r="F159" s="244">
        <f>C159-D159</f>
        <v/>
      </c>
    </row>
    <row r="160">
      <c r="B160" s="135">
        <f>B159+1</f>
        <v/>
      </c>
      <c r="C160" s="244">
        <f>F159</f>
        <v/>
      </c>
      <c r="D160" s="244">
        <f>PPMT(LoanRate/12,$B160,LoanAmortization*12,-LoanAmount)</f>
        <v/>
      </c>
      <c r="E160" s="244">
        <f>IPMT(LoanRate/12,$B160,LoanAmortization*12,-LoanAmount)</f>
        <v/>
      </c>
      <c r="F160" s="244">
        <f>C160-D160</f>
        <v/>
      </c>
    </row>
    <row r="161">
      <c r="B161" s="135">
        <f>B160+1</f>
        <v/>
      </c>
      <c r="C161" s="244">
        <f>F160</f>
        <v/>
      </c>
      <c r="D161" s="244">
        <f>PPMT(LoanRate/12,$B161,LoanAmortization*12,-LoanAmount)</f>
        <v/>
      </c>
      <c r="E161" s="244">
        <f>IPMT(LoanRate/12,$B161,LoanAmortization*12,-LoanAmount)</f>
        <v/>
      </c>
      <c r="F161" s="244">
        <f>C161-D161</f>
        <v/>
      </c>
    </row>
    <row r="162">
      <c r="B162" s="135">
        <f>B161+1</f>
        <v/>
      </c>
      <c r="C162" s="244">
        <f>F161</f>
        <v/>
      </c>
      <c r="D162" s="244">
        <f>PPMT(LoanRate/12,$B162,LoanAmortization*12,-LoanAmount)</f>
        <v/>
      </c>
      <c r="E162" s="244">
        <f>IPMT(LoanRate/12,$B162,LoanAmortization*12,-LoanAmount)</f>
        <v/>
      </c>
      <c r="F162" s="244">
        <f>C162-D162</f>
        <v/>
      </c>
    </row>
    <row r="163">
      <c r="B163" s="135">
        <f>B162+1</f>
        <v/>
      </c>
      <c r="C163" s="244">
        <f>F162</f>
        <v/>
      </c>
      <c r="D163" s="244">
        <f>PPMT(LoanRate/12,$B163,LoanAmortization*12,-LoanAmount)</f>
        <v/>
      </c>
      <c r="E163" s="244">
        <f>IPMT(LoanRate/12,$B163,LoanAmortization*12,-LoanAmount)</f>
        <v/>
      </c>
      <c r="F163" s="244">
        <f>C163-D163</f>
        <v/>
      </c>
    </row>
    <row r="164">
      <c r="B164" s="135">
        <f>B163+1</f>
        <v/>
      </c>
      <c r="C164" s="244">
        <f>F163</f>
        <v/>
      </c>
      <c r="D164" s="244">
        <f>PPMT(LoanRate/12,$B164,LoanAmortization*12,-LoanAmount)</f>
        <v/>
      </c>
      <c r="E164" s="244">
        <f>IPMT(LoanRate/12,$B164,LoanAmortization*12,-LoanAmount)</f>
        <v/>
      </c>
      <c r="F164" s="244">
        <f>C164-D164</f>
        <v/>
      </c>
    </row>
    <row r="165">
      <c r="B165" s="135">
        <f>B164+1</f>
        <v/>
      </c>
      <c r="C165" s="244">
        <f>F164</f>
        <v/>
      </c>
      <c r="D165" s="244">
        <f>PPMT(LoanRate/12,$B165,LoanAmortization*12,-LoanAmount)</f>
        <v/>
      </c>
      <c r="E165" s="244">
        <f>IPMT(LoanRate/12,$B165,LoanAmortization*12,-LoanAmount)</f>
        <v/>
      </c>
      <c r="F165" s="244">
        <f>C165-D165</f>
        <v/>
      </c>
    </row>
    <row r="166">
      <c r="B166" s="135">
        <f>B165+1</f>
        <v/>
      </c>
      <c r="C166" s="244">
        <f>F165</f>
        <v/>
      </c>
      <c r="D166" s="244">
        <f>PPMT(LoanRate/12,$B166,LoanAmortization*12,-LoanAmount)</f>
        <v/>
      </c>
      <c r="E166" s="244">
        <f>IPMT(LoanRate/12,$B166,LoanAmortization*12,-LoanAmount)</f>
        <v/>
      </c>
      <c r="F166" s="244">
        <f>C166-D166</f>
        <v/>
      </c>
    </row>
    <row r="167">
      <c r="B167" s="135">
        <f>B166+1</f>
        <v/>
      </c>
      <c r="C167" s="244">
        <f>F166</f>
        <v/>
      </c>
      <c r="D167" s="244">
        <f>PPMT(LoanRate/12,$B167,LoanAmortization*12,-LoanAmount)</f>
        <v/>
      </c>
      <c r="E167" s="244">
        <f>IPMT(LoanRate/12,$B167,LoanAmortization*12,-LoanAmount)</f>
        <v/>
      </c>
      <c r="F167" s="244">
        <f>C167-D167</f>
        <v/>
      </c>
    </row>
    <row r="168">
      <c r="B168" s="135">
        <f>B167+1</f>
        <v/>
      </c>
      <c r="C168" s="244">
        <f>F167</f>
        <v/>
      </c>
      <c r="D168" s="244">
        <f>PPMT(LoanRate/12,$B168,LoanAmortization*12,-LoanAmount)</f>
        <v/>
      </c>
      <c r="E168" s="244">
        <f>IPMT(LoanRate/12,$B168,LoanAmortization*12,-LoanAmount)</f>
        <v/>
      </c>
      <c r="F168" s="244">
        <f>C168-D168</f>
        <v/>
      </c>
    </row>
    <row r="169">
      <c r="B169" s="135">
        <f>B168+1</f>
        <v/>
      </c>
      <c r="C169" s="244">
        <f>F168</f>
        <v/>
      </c>
      <c r="D169" s="244">
        <f>PPMT(LoanRate/12,$B169,LoanAmortization*12,-LoanAmount)</f>
        <v/>
      </c>
      <c r="E169" s="244">
        <f>IPMT(LoanRate/12,$B169,LoanAmortization*12,-LoanAmount)</f>
        <v/>
      </c>
      <c r="F169" s="244">
        <f>C169-D169</f>
        <v/>
      </c>
    </row>
    <row r="170">
      <c r="B170" s="135">
        <f>B169+1</f>
        <v/>
      </c>
      <c r="C170" s="244">
        <f>F169</f>
        <v/>
      </c>
      <c r="D170" s="244">
        <f>PPMT(LoanRate/12,$B170,LoanAmortization*12,-LoanAmount)</f>
        <v/>
      </c>
      <c r="E170" s="244">
        <f>IPMT(LoanRate/12,$B170,LoanAmortization*12,-LoanAmount)</f>
        <v/>
      </c>
      <c r="F170" s="244">
        <f>C170-D170</f>
        <v/>
      </c>
    </row>
    <row r="171">
      <c r="B171" s="135">
        <f>B170+1</f>
        <v/>
      </c>
      <c r="C171" s="244">
        <f>F170</f>
        <v/>
      </c>
      <c r="D171" s="244">
        <f>PPMT(LoanRate/12,$B171,LoanAmortization*12,-LoanAmount)</f>
        <v/>
      </c>
      <c r="E171" s="244">
        <f>IPMT(LoanRate/12,$B171,LoanAmortization*12,-LoanAmount)</f>
        <v/>
      </c>
      <c r="F171" s="244">
        <f>C171-D171</f>
        <v/>
      </c>
    </row>
    <row r="172">
      <c r="B172" s="135">
        <f>B171+1</f>
        <v/>
      </c>
      <c r="C172" s="244">
        <f>F171</f>
        <v/>
      </c>
      <c r="D172" s="244">
        <f>PPMT(LoanRate/12,$B172,LoanAmortization*12,-LoanAmount)</f>
        <v/>
      </c>
      <c r="E172" s="244">
        <f>IPMT(LoanRate/12,$B172,LoanAmortization*12,-LoanAmount)</f>
        <v/>
      </c>
      <c r="F172" s="244">
        <f>C172-D172</f>
        <v/>
      </c>
    </row>
    <row r="173">
      <c r="B173" s="135">
        <f>B172+1</f>
        <v/>
      </c>
      <c r="C173" s="244">
        <f>F172</f>
        <v/>
      </c>
      <c r="D173" s="244">
        <f>PPMT(LoanRate/12,$B173,LoanAmortization*12,-LoanAmount)</f>
        <v/>
      </c>
      <c r="E173" s="244">
        <f>IPMT(LoanRate/12,$B173,LoanAmortization*12,-LoanAmount)</f>
        <v/>
      </c>
      <c r="F173" s="244">
        <f>C173-D173</f>
        <v/>
      </c>
    </row>
    <row r="174">
      <c r="B174" s="135">
        <f>B173+1</f>
        <v/>
      </c>
      <c r="C174" s="244">
        <f>F173</f>
        <v/>
      </c>
      <c r="D174" s="244">
        <f>PPMT(LoanRate/12,$B174,LoanAmortization*12,-LoanAmount)</f>
        <v/>
      </c>
      <c r="E174" s="244">
        <f>IPMT(LoanRate/12,$B174,LoanAmortization*12,-LoanAmount)</f>
        <v/>
      </c>
      <c r="F174" s="244">
        <f>C174-D174</f>
        <v/>
      </c>
    </row>
    <row r="175">
      <c r="B175" s="135">
        <f>B174+1</f>
        <v/>
      </c>
      <c r="C175" s="244">
        <f>F174</f>
        <v/>
      </c>
      <c r="D175" s="244">
        <f>PPMT(LoanRate/12,$B175,LoanAmortization*12,-LoanAmount)</f>
        <v/>
      </c>
      <c r="E175" s="244">
        <f>IPMT(LoanRate/12,$B175,LoanAmortization*12,-LoanAmount)</f>
        <v/>
      </c>
      <c r="F175" s="244">
        <f>C175-D175</f>
        <v/>
      </c>
    </row>
    <row r="176">
      <c r="B176" s="135">
        <f>B175+1</f>
        <v/>
      </c>
      <c r="C176" s="244">
        <f>F175</f>
        <v/>
      </c>
      <c r="D176" s="244">
        <f>PPMT(LoanRate/12,$B176,LoanAmortization*12,-LoanAmount)</f>
        <v/>
      </c>
      <c r="E176" s="244">
        <f>IPMT(LoanRate/12,$B176,LoanAmortization*12,-LoanAmount)</f>
        <v/>
      </c>
      <c r="F176" s="244">
        <f>C176-D176</f>
        <v/>
      </c>
    </row>
    <row r="177">
      <c r="B177" s="135">
        <f>B176+1</f>
        <v/>
      </c>
      <c r="C177" s="244">
        <f>F176</f>
        <v/>
      </c>
      <c r="D177" s="244">
        <f>PPMT(LoanRate/12,$B177,LoanAmortization*12,-LoanAmount)</f>
        <v/>
      </c>
      <c r="E177" s="244">
        <f>IPMT(LoanRate/12,$B177,LoanAmortization*12,-LoanAmount)</f>
        <v/>
      </c>
      <c r="F177" s="244">
        <f>C177-D177</f>
        <v/>
      </c>
    </row>
    <row r="178">
      <c r="B178" s="135">
        <f>B177+1</f>
        <v/>
      </c>
      <c r="C178" s="244">
        <f>F177</f>
        <v/>
      </c>
      <c r="D178" s="244">
        <f>PPMT(LoanRate/12,$B178,LoanAmortization*12,-LoanAmount)</f>
        <v/>
      </c>
      <c r="E178" s="244">
        <f>IPMT(LoanRate/12,$B178,LoanAmortization*12,-LoanAmount)</f>
        <v/>
      </c>
      <c r="F178" s="244">
        <f>C178-D178</f>
        <v/>
      </c>
    </row>
    <row r="179">
      <c r="B179" s="135">
        <f>B178+1</f>
        <v/>
      </c>
      <c r="C179" s="244">
        <f>F178</f>
        <v/>
      </c>
      <c r="D179" s="244">
        <f>PPMT(LoanRate/12,$B179,LoanAmortization*12,-LoanAmount)</f>
        <v/>
      </c>
      <c r="E179" s="244">
        <f>IPMT(LoanRate/12,$B179,LoanAmortization*12,-LoanAmount)</f>
        <v/>
      </c>
      <c r="F179" s="244">
        <f>C179-D179</f>
        <v/>
      </c>
    </row>
    <row r="180">
      <c r="B180" s="135">
        <f>B179+1</f>
        <v/>
      </c>
      <c r="C180" s="244">
        <f>F179</f>
        <v/>
      </c>
      <c r="D180" s="244">
        <f>PPMT(LoanRate/12,$B180,LoanAmortization*12,-LoanAmount)</f>
        <v/>
      </c>
      <c r="E180" s="244">
        <f>IPMT(LoanRate/12,$B180,LoanAmortization*12,-LoanAmount)</f>
        <v/>
      </c>
      <c r="F180" s="244">
        <f>C180-D180</f>
        <v/>
      </c>
    </row>
    <row r="181">
      <c r="B181" s="135">
        <f>B180+1</f>
        <v/>
      </c>
      <c r="C181" s="244">
        <f>F180</f>
        <v/>
      </c>
      <c r="D181" s="244">
        <f>PPMT(LoanRate/12,$B181,LoanAmortization*12,-LoanAmount)</f>
        <v/>
      </c>
      <c r="E181" s="244">
        <f>IPMT(LoanRate/12,$B181,LoanAmortization*12,-LoanAmount)</f>
        <v/>
      </c>
      <c r="F181" s="244">
        <f>C181-D181</f>
        <v/>
      </c>
    </row>
    <row r="182">
      <c r="B182" s="135">
        <f>B181+1</f>
        <v/>
      </c>
      <c r="C182" s="244">
        <f>F181</f>
        <v/>
      </c>
      <c r="D182" s="244">
        <f>PPMT(LoanRate/12,$B182,LoanAmortization*12,-LoanAmount)</f>
        <v/>
      </c>
      <c r="E182" s="244">
        <f>IPMT(LoanRate/12,$B182,LoanAmortization*12,-LoanAmount)</f>
        <v/>
      </c>
      <c r="F182" s="244">
        <f>C182-D182</f>
        <v/>
      </c>
    </row>
    <row r="183">
      <c r="B183" s="135">
        <f>B182+1</f>
        <v/>
      </c>
      <c r="C183" s="244">
        <f>F182</f>
        <v/>
      </c>
      <c r="D183" s="244">
        <f>PPMT(LoanRate/12,$B183,LoanAmortization*12,-LoanAmount)</f>
        <v/>
      </c>
      <c r="E183" s="244">
        <f>IPMT(LoanRate/12,$B183,LoanAmortization*12,-LoanAmount)</f>
        <v/>
      </c>
      <c r="F183" s="244">
        <f>C183-D183</f>
        <v/>
      </c>
    </row>
    <row r="184">
      <c r="B184" s="135">
        <f>B183+1</f>
        <v/>
      </c>
      <c r="C184" s="244">
        <f>F183</f>
        <v/>
      </c>
      <c r="D184" s="244">
        <f>PPMT(LoanRate/12,$B184,LoanAmortization*12,-LoanAmount)</f>
        <v/>
      </c>
      <c r="E184" s="244">
        <f>IPMT(LoanRate/12,$B184,LoanAmortization*12,-LoanAmount)</f>
        <v/>
      </c>
      <c r="F184" s="244">
        <f>C184-D184</f>
        <v/>
      </c>
    </row>
    <row r="185">
      <c r="B185" s="135">
        <f>B184+1</f>
        <v/>
      </c>
      <c r="C185" s="244">
        <f>F184</f>
        <v/>
      </c>
      <c r="D185" s="244">
        <f>PPMT(LoanRate/12,$B185,LoanAmortization*12,-LoanAmount)</f>
        <v/>
      </c>
      <c r="E185" s="244">
        <f>IPMT(LoanRate/12,$B185,LoanAmortization*12,-LoanAmount)</f>
        <v/>
      </c>
      <c r="F185" s="244">
        <f>C185-D185</f>
        <v/>
      </c>
    </row>
    <row r="186">
      <c r="B186" s="135">
        <f>B185+1</f>
        <v/>
      </c>
      <c r="C186" s="244">
        <f>F185</f>
        <v/>
      </c>
      <c r="D186" s="244">
        <f>PPMT(LoanRate/12,$B186,LoanAmortization*12,-LoanAmount)</f>
        <v/>
      </c>
      <c r="E186" s="244">
        <f>IPMT(LoanRate/12,$B186,LoanAmortization*12,-LoanAmount)</f>
        <v/>
      </c>
      <c r="F186" s="244">
        <f>C186-D186</f>
        <v/>
      </c>
    </row>
    <row r="187">
      <c r="B187" s="135">
        <f>B186+1</f>
        <v/>
      </c>
      <c r="C187" s="244">
        <f>F186</f>
        <v/>
      </c>
      <c r="D187" s="244">
        <f>PPMT(LoanRate/12,$B187,LoanAmortization*12,-LoanAmount)</f>
        <v/>
      </c>
      <c r="E187" s="244">
        <f>IPMT(LoanRate/12,$B187,LoanAmortization*12,-LoanAmount)</f>
        <v/>
      </c>
      <c r="F187" s="244">
        <f>C187-D187</f>
        <v/>
      </c>
    </row>
    <row r="188">
      <c r="B188" s="135">
        <f>B187+1</f>
        <v/>
      </c>
      <c r="C188" s="244">
        <f>F187</f>
        <v/>
      </c>
      <c r="D188" s="244">
        <f>PPMT(LoanRate/12,$B188,LoanAmortization*12,-LoanAmount)</f>
        <v/>
      </c>
      <c r="E188" s="244">
        <f>IPMT(LoanRate/12,$B188,LoanAmortization*12,-LoanAmount)</f>
        <v/>
      </c>
      <c r="F188" s="244">
        <f>C188-D188</f>
        <v/>
      </c>
    </row>
    <row r="189">
      <c r="B189" s="135">
        <f>B188+1</f>
        <v/>
      </c>
      <c r="C189" s="244">
        <f>F188</f>
        <v/>
      </c>
      <c r="D189" s="244">
        <f>PPMT(LoanRate/12,$B189,LoanAmortization*12,-LoanAmount)</f>
        <v/>
      </c>
      <c r="E189" s="244">
        <f>IPMT(LoanRate/12,$B189,LoanAmortization*12,-LoanAmount)</f>
        <v/>
      </c>
      <c r="F189" s="244">
        <f>C189-D189</f>
        <v/>
      </c>
    </row>
    <row r="190">
      <c r="B190" s="135">
        <f>B189+1</f>
        <v/>
      </c>
      <c r="C190" s="244">
        <f>F189</f>
        <v/>
      </c>
      <c r="D190" s="244">
        <f>PPMT(LoanRate/12,$B190,LoanAmortization*12,-LoanAmount)</f>
        <v/>
      </c>
      <c r="E190" s="244">
        <f>IPMT(LoanRate/12,$B190,LoanAmortization*12,-LoanAmount)</f>
        <v/>
      </c>
      <c r="F190" s="244">
        <f>C190-D190</f>
        <v/>
      </c>
    </row>
    <row r="191">
      <c r="B191" s="135">
        <f>B190+1</f>
        <v/>
      </c>
      <c r="C191" s="244">
        <f>F190</f>
        <v/>
      </c>
      <c r="D191" s="244">
        <f>PPMT(LoanRate/12,$B191,LoanAmortization*12,-LoanAmount)</f>
        <v/>
      </c>
      <c r="E191" s="244">
        <f>IPMT(LoanRate/12,$B191,LoanAmortization*12,-LoanAmount)</f>
        <v/>
      </c>
      <c r="F191" s="244">
        <f>C191-D191</f>
        <v/>
      </c>
    </row>
    <row r="192">
      <c r="B192" s="135">
        <f>B191+1</f>
        <v/>
      </c>
      <c r="C192" s="244">
        <f>F191</f>
        <v/>
      </c>
      <c r="D192" s="244">
        <f>PPMT(LoanRate/12,$B192,LoanAmortization*12,-LoanAmount)</f>
        <v/>
      </c>
      <c r="E192" s="244">
        <f>IPMT(LoanRate/12,$B192,LoanAmortization*12,-LoanAmount)</f>
        <v/>
      </c>
      <c r="F192" s="244">
        <f>C192-D192</f>
        <v/>
      </c>
    </row>
    <row r="193">
      <c r="B193" s="135">
        <f>B192+1</f>
        <v/>
      </c>
      <c r="C193" s="244">
        <f>F192</f>
        <v/>
      </c>
      <c r="D193" s="244">
        <f>PPMT(LoanRate/12,$B193,LoanAmortization*12,-LoanAmount)</f>
        <v/>
      </c>
      <c r="E193" s="244">
        <f>IPMT(LoanRate/12,$B193,LoanAmortization*12,-LoanAmount)</f>
        <v/>
      </c>
      <c r="F193" s="244">
        <f>C193-D193</f>
        <v/>
      </c>
    </row>
    <row r="194">
      <c r="B194" s="135">
        <f>B193+1</f>
        <v/>
      </c>
      <c r="C194" s="244">
        <f>F193</f>
        <v/>
      </c>
      <c r="D194" s="244">
        <f>PPMT(LoanRate/12,$B194,LoanAmortization*12,-LoanAmount)</f>
        <v/>
      </c>
      <c r="E194" s="244">
        <f>IPMT(LoanRate/12,$B194,LoanAmortization*12,-LoanAmount)</f>
        <v/>
      </c>
      <c r="F194" s="244">
        <f>C194-D194</f>
        <v/>
      </c>
    </row>
    <row r="195">
      <c r="B195" s="135">
        <f>B194+1</f>
        <v/>
      </c>
      <c r="C195" s="244">
        <f>F194</f>
        <v/>
      </c>
      <c r="D195" s="244">
        <f>PPMT(LoanRate/12,$B195,LoanAmortization*12,-LoanAmount)</f>
        <v/>
      </c>
      <c r="E195" s="244">
        <f>IPMT(LoanRate/12,$B195,LoanAmortization*12,-LoanAmount)</f>
        <v/>
      </c>
      <c r="F195" s="244">
        <f>C195-D195</f>
        <v/>
      </c>
    </row>
    <row r="196">
      <c r="B196" s="135">
        <f>B195+1</f>
        <v/>
      </c>
      <c r="C196" s="244">
        <f>F195</f>
        <v/>
      </c>
      <c r="D196" s="244">
        <f>PPMT(LoanRate/12,$B196,LoanAmortization*12,-LoanAmount)</f>
        <v/>
      </c>
      <c r="E196" s="244">
        <f>IPMT(LoanRate/12,$B196,LoanAmortization*12,-LoanAmount)</f>
        <v/>
      </c>
      <c r="F196" s="244">
        <f>C196-D196</f>
        <v/>
      </c>
    </row>
    <row r="197">
      <c r="B197" s="135">
        <f>B196+1</f>
        <v/>
      </c>
      <c r="C197" s="244">
        <f>F196</f>
        <v/>
      </c>
      <c r="D197" s="244">
        <f>PPMT(LoanRate/12,$B197,LoanAmortization*12,-LoanAmount)</f>
        <v/>
      </c>
      <c r="E197" s="244">
        <f>IPMT(LoanRate/12,$B197,LoanAmortization*12,-LoanAmount)</f>
        <v/>
      </c>
      <c r="F197" s="244">
        <f>C197-D197</f>
        <v/>
      </c>
    </row>
    <row r="198">
      <c r="B198" s="135">
        <f>B197+1</f>
        <v/>
      </c>
      <c r="C198" s="244">
        <f>F197</f>
        <v/>
      </c>
      <c r="D198" s="244">
        <f>PPMT(LoanRate/12,$B198,LoanAmortization*12,-LoanAmount)</f>
        <v/>
      </c>
      <c r="E198" s="244">
        <f>IPMT(LoanRate/12,$B198,LoanAmortization*12,-LoanAmount)</f>
        <v/>
      </c>
      <c r="F198" s="244">
        <f>C198-D198</f>
        <v/>
      </c>
    </row>
    <row r="199">
      <c r="B199" s="135">
        <f>B198+1</f>
        <v/>
      </c>
      <c r="C199" s="244">
        <f>F198</f>
        <v/>
      </c>
      <c r="D199" s="244">
        <f>PPMT(LoanRate/12,$B199,LoanAmortization*12,-LoanAmount)</f>
        <v/>
      </c>
      <c r="E199" s="244">
        <f>IPMT(LoanRate/12,$B199,LoanAmortization*12,-LoanAmount)</f>
        <v/>
      </c>
      <c r="F199" s="244">
        <f>C199-D199</f>
        <v/>
      </c>
    </row>
    <row r="200">
      <c r="B200" s="135">
        <f>B199+1</f>
        <v/>
      </c>
      <c r="C200" s="244">
        <f>F199</f>
        <v/>
      </c>
      <c r="D200" s="244">
        <f>PPMT(LoanRate/12,$B200,LoanAmortization*12,-LoanAmount)</f>
        <v/>
      </c>
      <c r="E200" s="244">
        <f>IPMT(LoanRate/12,$B200,LoanAmortization*12,-LoanAmount)</f>
        <v/>
      </c>
      <c r="F200" s="244">
        <f>C200-D200</f>
        <v/>
      </c>
    </row>
    <row r="201">
      <c r="B201" s="135">
        <f>B200+1</f>
        <v/>
      </c>
      <c r="C201" s="244">
        <f>F200</f>
        <v/>
      </c>
      <c r="D201" s="244">
        <f>PPMT(LoanRate/12,$B201,LoanAmortization*12,-LoanAmount)</f>
        <v/>
      </c>
      <c r="E201" s="244">
        <f>IPMT(LoanRate/12,$B201,LoanAmortization*12,-LoanAmount)</f>
        <v/>
      </c>
      <c r="F201" s="244">
        <f>C201-D201</f>
        <v/>
      </c>
    </row>
    <row r="202">
      <c r="B202" s="135">
        <f>B201+1</f>
        <v/>
      </c>
      <c r="C202" s="244">
        <f>F201</f>
        <v/>
      </c>
      <c r="D202" s="244">
        <f>PPMT(LoanRate/12,$B202,LoanAmortization*12,-LoanAmount)</f>
        <v/>
      </c>
      <c r="E202" s="244">
        <f>IPMT(LoanRate/12,$B202,LoanAmortization*12,-LoanAmount)</f>
        <v/>
      </c>
      <c r="F202" s="244">
        <f>C202-D202</f>
        <v/>
      </c>
    </row>
    <row r="203">
      <c r="B203" s="135">
        <f>B202+1</f>
        <v/>
      </c>
      <c r="C203" s="244">
        <f>F202</f>
        <v/>
      </c>
      <c r="D203" s="244">
        <f>PPMT(LoanRate/12,$B203,LoanAmortization*12,-LoanAmount)</f>
        <v/>
      </c>
      <c r="E203" s="244">
        <f>IPMT(LoanRate/12,$B203,LoanAmortization*12,-LoanAmount)</f>
        <v/>
      </c>
      <c r="F203" s="244">
        <f>C203-D203</f>
        <v/>
      </c>
    </row>
    <row r="204">
      <c r="B204" s="135">
        <f>B203+1</f>
        <v/>
      </c>
      <c r="C204" s="244">
        <f>F203</f>
        <v/>
      </c>
      <c r="D204" s="244">
        <f>PPMT(LoanRate/12,$B204,LoanAmortization*12,-LoanAmount)</f>
        <v/>
      </c>
      <c r="E204" s="244">
        <f>IPMT(LoanRate/12,$B204,LoanAmortization*12,-LoanAmount)</f>
        <v/>
      </c>
      <c r="F204" s="244">
        <f>C204-D204</f>
        <v/>
      </c>
    </row>
    <row r="205">
      <c r="B205" s="135">
        <f>B204+1</f>
        <v/>
      </c>
      <c r="C205" s="244">
        <f>F204</f>
        <v/>
      </c>
      <c r="D205" s="244">
        <f>PPMT(LoanRate/12,$B205,LoanAmortization*12,-LoanAmount)</f>
        <v/>
      </c>
      <c r="E205" s="244">
        <f>IPMT(LoanRate/12,$B205,LoanAmortization*12,-LoanAmount)</f>
        <v/>
      </c>
      <c r="F205" s="244">
        <f>C205-D205</f>
        <v/>
      </c>
    </row>
    <row r="206">
      <c r="B206" s="135">
        <f>B205+1</f>
        <v/>
      </c>
      <c r="C206" s="244">
        <f>F205</f>
        <v/>
      </c>
      <c r="D206" s="244">
        <f>PPMT(LoanRate/12,$B206,LoanAmortization*12,-LoanAmount)</f>
        <v/>
      </c>
      <c r="E206" s="244">
        <f>IPMT(LoanRate/12,$B206,LoanAmortization*12,-LoanAmount)</f>
        <v/>
      </c>
      <c r="F206" s="244">
        <f>C206-D206</f>
        <v/>
      </c>
    </row>
    <row r="207">
      <c r="B207" s="135">
        <f>B206+1</f>
        <v/>
      </c>
      <c r="C207" s="244">
        <f>F206</f>
        <v/>
      </c>
      <c r="D207" s="244">
        <f>PPMT(LoanRate/12,$B207,LoanAmortization*12,-LoanAmount)</f>
        <v/>
      </c>
      <c r="E207" s="244">
        <f>IPMT(LoanRate/12,$B207,LoanAmortization*12,-LoanAmount)</f>
        <v/>
      </c>
      <c r="F207" s="244">
        <f>C207-D207</f>
        <v/>
      </c>
    </row>
    <row r="208">
      <c r="B208" s="135">
        <f>B207+1</f>
        <v/>
      </c>
      <c r="C208" s="244">
        <f>F207</f>
        <v/>
      </c>
      <c r="D208" s="244">
        <f>PPMT(LoanRate/12,$B208,LoanAmortization*12,-LoanAmount)</f>
        <v/>
      </c>
      <c r="E208" s="244">
        <f>IPMT(LoanRate/12,$B208,LoanAmortization*12,-LoanAmount)</f>
        <v/>
      </c>
      <c r="F208" s="244">
        <f>C208-D208</f>
        <v/>
      </c>
    </row>
    <row r="209">
      <c r="B209" s="135">
        <f>B208+1</f>
        <v/>
      </c>
      <c r="C209" s="244">
        <f>F208</f>
        <v/>
      </c>
      <c r="D209" s="244">
        <f>PPMT(LoanRate/12,$B209,LoanAmortization*12,-LoanAmount)</f>
        <v/>
      </c>
      <c r="E209" s="244">
        <f>IPMT(LoanRate/12,$B209,LoanAmortization*12,-LoanAmount)</f>
        <v/>
      </c>
      <c r="F209" s="244">
        <f>C209-D209</f>
        <v/>
      </c>
    </row>
    <row r="210">
      <c r="B210" s="135">
        <f>B209+1</f>
        <v/>
      </c>
      <c r="C210" s="244">
        <f>F209</f>
        <v/>
      </c>
      <c r="D210" s="244">
        <f>PPMT(LoanRate/12,$B210,LoanAmortization*12,-LoanAmount)</f>
        <v/>
      </c>
      <c r="E210" s="244">
        <f>IPMT(LoanRate/12,$B210,LoanAmortization*12,-LoanAmount)</f>
        <v/>
      </c>
      <c r="F210" s="244">
        <f>C210-D210</f>
        <v/>
      </c>
    </row>
    <row r="211">
      <c r="B211" s="135">
        <f>B210+1</f>
        <v/>
      </c>
      <c r="C211" s="244">
        <f>F210</f>
        <v/>
      </c>
      <c r="D211" s="244">
        <f>PPMT(LoanRate/12,$B211,LoanAmortization*12,-LoanAmount)</f>
        <v/>
      </c>
      <c r="E211" s="244">
        <f>IPMT(LoanRate/12,$B211,LoanAmortization*12,-LoanAmount)</f>
        <v/>
      </c>
      <c r="F211" s="244">
        <f>C211-D211</f>
        <v/>
      </c>
    </row>
    <row r="212">
      <c r="B212" s="135">
        <f>B211+1</f>
        <v/>
      </c>
      <c r="C212" s="244">
        <f>F211</f>
        <v/>
      </c>
      <c r="D212" s="244">
        <f>PPMT(LoanRate/12,$B212,LoanAmortization*12,-LoanAmount)</f>
        <v/>
      </c>
      <c r="E212" s="244">
        <f>IPMT(LoanRate/12,$B212,LoanAmortization*12,-LoanAmount)</f>
        <v/>
      </c>
      <c r="F212" s="244">
        <f>C212-D212</f>
        <v/>
      </c>
    </row>
    <row r="213">
      <c r="B213" s="135">
        <f>B212+1</f>
        <v/>
      </c>
      <c r="C213" s="244">
        <f>F212</f>
        <v/>
      </c>
      <c r="D213" s="244">
        <f>PPMT(LoanRate/12,$B213,LoanAmortization*12,-LoanAmount)</f>
        <v/>
      </c>
      <c r="E213" s="244">
        <f>IPMT(LoanRate/12,$B213,LoanAmortization*12,-LoanAmount)</f>
        <v/>
      </c>
      <c r="F213" s="244">
        <f>C213-D213</f>
        <v/>
      </c>
    </row>
    <row r="214">
      <c r="B214" s="135">
        <f>B213+1</f>
        <v/>
      </c>
      <c r="C214" s="244">
        <f>F213</f>
        <v/>
      </c>
      <c r="D214" s="244">
        <f>PPMT(LoanRate/12,$B214,LoanAmortization*12,-LoanAmount)</f>
        <v/>
      </c>
      <c r="E214" s="244">
        <f>IPMT(LoanRate/12,$B214,LoanAmortization*12,-LoanAmount)</f>
        <v/>
      </c>
      <c r="F214" s="244">
        <f>C214-D214</f>
        <v/>
      </c>
    </row>
    <row r="215">
      <c r="B215" s="135">
        <f>B214+1</f>
        <v/>
      </c>
      <c r="C215" s="244">
        <f>F214</f>
        <v/>
      </c>
      <c r="D215" s="244">
        <f>PPMT(LoanRate/12,$B215,LoanAmortization*12,-LoanAmount)</f>
        <v/>
      </c>
      <c r="E215" s="244">
        <f>IPMT(LoanRate/12,$B215,LoanAmortization*12,-LoanAmount)</f>
        <v/>
      </c>
      <c r="F215" s="244">
        <f>C215-D215</f>
        <v/>
      </c>
    </row>
    <row r="216">
      <c r="B216" s="135">
        <f>B215+1</f>
        <v/>
      </c>
      <c r="C216" s="244">
        <f>F215</f>
        <v/>
      </c>
      <c r="D216" s="244">
        <f>PPMT(LoanRate/12,$B216,LoanAmortization*12,-LoanAmount)</f>
        <v/>
      </c>
      <c r="E216" s="244">
        <f>IPMT(LoanRate/12,$B216,LoanAmortization*12,-LoanAmount)</f>
        <v/>
      </c>
      <c r="F216" s="244">
        <f>C216-D216</f>
        <v/>
      </c>
    </row>
    <row r="217">
      <c r="B217" s="135">
        <f>B216+1</f>
        <v/>
      </c>
      <c r="C217" s="244">
        <f>F216</f>
        <v/>
      </c>
      <c r="D217" s="244">
        <f>PPMT(LoanRate/12,$B217,LoanAmortization*12,-LoanAmount)</f>
        <v/>
      </c>
      <c r="E217" s="244">
        <f>IPMT(LoanRate/12,$B217,LoanAmortization*12,-LoanAmount)</f>
        <v/>
      </c>
      <c r="F217" s="244">
        <f>C217-D217</f>
        <v/>
      </c>
    </row>
    <row r="218">
      <c r="B218" s="135">
        <f>B217+1</f>
        <v/>
      </c>
      <c r="C218" s="244">
        <f>F217</f>
        <v/>
      </c>
      <c r="D218" s="244">
        <f>PPMT(LoanRate/12,$B218,LoanAmortization*12,-LoanAmount)</f>
        <v/>
      </c>
      <c r="E218" s="244">
        <f>IPMT(LoanRate/12,$B218,LoanAmortization*12,-LoanAmount)</f>
        <v/>
      </c>
      <c r="F218" s="244">
        <f>C218-D218</f>
        <v/>
      </c>
    </row>
    <row r="219">
      <c r="B219" s="135">
        <f>B218+1</f>
        <v/>
      </c>
      <c r="C219" s="244">
        <f>F218</f>
        <v/>
      </c>
      <c r="D219" s="244">
        <f>PPMT(LoanRate/12,$B219,LoanAmortization*12,-LoanAmount)</f>
        <v/>
      </c>
      <c r="E219" s="244">
        <f>IPMT(LoanRate/12,$B219,LoanAmortization*12,-LoanAmount)</f>
        <v/>
      </c>
      <c r="F219" s="244">
        <f>C219-D219</f>
        <v/>
      </c>
    </row>
    <row r="220">
      <c r="B220" s="135">
        <f>B219+1</f>
        <v/>
      </c>
      <c r="C220" s="244">
        <f>F219</f>
        <v/>
      </c>
      <c r="D220" s="244">
        <f>PPMT(LoanRate/12,$B220,LoanAmortization*12,-LoanAmount)</f>
        <v/>
      </c>
      <c r="E220" s="244">
        <f>IPMT(LoanRate/12,$B220,LoanAmortization*12,-LoanAmount)</f>
        <v/>
      </c>
      <c r="F220" s="244">
        <f>C220-D220</f>
        <v/>
      </c>
    </row>
    <row r="221">
      <c r="B221" s="135">
        <f>B220+1</f>
        <v/>
      </c>
      <c r="C221" s="244">
        <f>F220</f>
        <v/>
      </c>
      <c r="D221" s="244">
        <f>PPMT(LoanRate/12,$B221,LoanAmortization*12,-LoanAmount)</f>
        <v/>
      </c>
      <c r="E221" s="244">
        <f>IPMT(LoanRate/12,$B221,LoanAmortization*12,-LoanAmount)</f>
        <v/>
      </c>
      <c r="F221" s="244">
        <f>C221-D221</f>
        <v/>
      </c>
    </row>
    <row r="222">
      <c r="B222" s="135">
        <f>B221+1</f>
        <v/>
      </c>
      <c r="C222" s="244">
        <f>F221</f>
        <v/>
      </c>
      <c r="D222" s="244">
        <f>PPMT(LoanRate/12,$B222,LoanAmortization*12,-LoanAmount)</f>
        <v/>
      </c>
      <c r="E222" s="244">
        <f>IPMT(LoanRate/12,$B222,LoanAmortization*12,-LoanAmount)</f>
        <v/>
      </c>
      <c r="F222" s="244">
        <f>C222-D222</f>
        <v/>
      </c>
    </row>
    <row r="223">
      <c r="B223" s="135">
        <f>B222+1</f>
        <v/>
      </c>
      <c r="C223" s="244">
        <f>F222</f>
        <v/>
      </c>
      <c r="D223" s="244">
        <f>PPMT(LoanRate/12,$B223,LoanAmortization*12,-LoanAmount)</f>
        <v/>
      </c>
      <c r="E223" s="244">
        <f>IPMT(LoanRate/12,$B223,LoanAmortization*12,-LoanAmount)</f>
        <v/>
      </c>
      <c r="F223" s="244">
        <f>C223-D223</f>
        <v/>
      </c>
    </row>
    <row r="224">
      <c r="B224" s="135">
        <f>B223+1</f>
        <v/>
      </c>
      <c r="C224" s="244">
        <f>F223</f>
        <v/>
      </c>
      <c r="D224" s="244">
        <f>PPMT(LoanRate/12,$B224,LoanAmortization*12,-LoanAmount)</f>
        <v/>
      </c>
      <c r="E224" s="244">
        <f>IPMT(LoanRate/12,$B224,LoanAmortization*12,-LoanAmount)</f>
        <v/>
      </c>
      <c r="F224" s="244">
        <f>C224-D224</f>
        <v/>
      </c>
    </row>
    <row r="225">
      <c r="B225" s="135">
        <f>B224+1</f>
        <v/>
      </c>
      <c r="C225" s="244">
        <f>F224</f>
        <v/>
      </c>
      <c r="D225" s="244">
        <f>PPMT(LoanRate/12,$B225,LoanAmortization*12,-LoanAmount)</f>
        <v/>
      </c>
      <c r="E225" s="244">
        <f>IPMT(LoanRate/12,$B225,LoanAmortization*12,-LoanAmount)</f>
        <v/>
      </c>
      <c r="F225" s="244">
        <f>C225-D225</f>
        <v/>
      </c>
    </row>
    <row r="226">
      <c r="B226" s="135">
        <f>B225+1</f>
        <v/>
      </c>
      <c r="C226" s="244">
        <f>F225</f>
        <v/>
      </c>
      <c r="D226" s="244">
        <f>PPMT(LoanRate/12,$B226,LoanAmortization*12,-LoanAmount)</f>
        <v/>
      </c>
      <c r="E226" s="244">
        <f>IPMT(LoanRate/12,$B226,LoanAmortization*12,-LoanAmount)</f>
        <v/>
      </c>
      <c r="F226" s="244">
        <f>C226-D226</f>
        <v/>
      </c>
    </row>
    <row r="227">
      <c r="B227" s="135">
        <f>B226+1</f>
        <v/>
      </c>
      <c r="C227" s="244">
        <f>F226</f>
        <v/>
      </c>
      <c r="D227" s="244">
        <f>PPMT(LoanRate/12,$B227,LoanAmortization*12,-LoanAmount)</f>
        <v/>
      </c>
      <c r="E227" s="244">
        <f>IPMT(LoanRate/12,$B227,LoanAmortization*12,-LoanAmount)</f>
        <v/>
      </c>
      <c r="F227" s="244">
        <f>C227-D227</f>
        <v/>
      </c>
    </row>
    <row r="228">
      <c r="B228" s="135">
        <f>B227+1</f>
        <v/>
      </c>
      <c r="C228" s="244">
        <f>F227</f>
        <v/>
      </c>
      <c r="D228" s="244">
        <f>PPMT(LoanRate/12,$B228,LoanAmortization*12,-LoanAmount)</f>
        <v/>
      </c>
      <c r="E228" s="244">
        <f>IPMT(LoanRate/12,$B228,LoanAmortization*12,-LoanAmount)</f>
        <v/>
      </c>
      <c r="F228" s="244">
        <f>C228-D228</f>
        <v/>
      </c>
    </row>
    <row r="229">
      <c r="B229" s="135">
        <f>B228+1</f>
        <v/>
      </c>
      <c r="C229" s="244">
        <f>F228</f>
        <v/>
      </c>
      <c r="D229" s="244">
        <f>PPMT(LoanRate/12,$B229,LoanAmortization*12,-LoanAmount)</f>
        <v/>
      </c>
      <c r="E229" s="244">
        <f>IPMT(LoanRate/12,$B229,LoanAmortization*12,-LoanAmount)</f>
        <v/>
      </c>
      <c r="F229" s="244">
        <f>C229-D229</f>
        <v/>
      </c>
    </row>
    <row r="230">
      <c r="B230" s="135">
        <f>B229+1</f>
        <v/>
      </c>
      <c r="C230" s="244">
        <f>F229</f>
        <v/>
      </c>
      <c r="D230" s="244">
        <f>PPMT(LoanRate/12,$B230,LoanAmortization*12,-LoanAmount)</f>
        <v/>
      </c>
      <c r="E230" s="244">
        <f>IPMT(LoanRate/12,$B230,LoanAmortization*12,-LoanAmount)</f>
        <v/>
      </c>
      <c r="F230" s="244">
        <f>C230-D230</f>
        <v/>
      </c>
    </row>
    <row r="231">
      <c r="B231" s="135">
        <f>B230+1</f>
        <v/>
      </c>
      <c r="C231" s="244">
        <f>F230</f>
        <v/>
      </c>
      <c r="D231" s="244">
        <f>PPMT(LoanRate/12,$B231,LoanAmortization*12,-LoanAmount)</f>
        <v/>
      </c>
      <c r="E231" s="244">
        <f>IPMT(LoanRate/12,$B231,LoanAmortization*12,-LoanAmount)</f>
        <v/>
      </c>
      <c r="F231" s="244">
        <f>C231-D231</f>
        <v/>
      </c>
    </row>
    <row r="232">
      <c r="B232" s="135">
        <f>B231+1</f>
        <v/>
      </c>
      <c r="C232" s="244">
        <f>F231</f>
        <v/>
      </c>
      <c r="D232" s="244">
        <f>PPMT(LoanRate/12,$B232,LoanAmortization*12,-LoanAmount)</f>
        <v/>
      </c>
      <c r="E232" s="244">
        <f>IPMT(LoanRate/12,$B232,LoanAmortization*12,-LoanAmount)</f>
        <v/>
      </c>
      <c r="F232" s="244">
        <f>C232-D232</f>
        <v/>
      </c>
    </row>
    <row r="233">
      <c r="B233" s="135">
        <f>B232+1</f>
        <v/>
      </c>
      <c r="C233" s="244">
        <f>F232</f>
        <v/>
      </c>
      <c r="D233" s="244">
        <f>PPMT(LoanRate/12,$B233,LoanAmortization*12,-LoanAmount)</f>
        <v/>
      </c>
      <c r="E233" s="244">
        <f>IPMT(LoanRate/12,$B233,LoanAmortization*12,-LoanAmount)</f>
        <v/>
      </c>
      <c r="F233" s="244">
        <f>C233-D233</f>
        <v/>
      </c>
    </row>
    <row r="234">
      <c r="B234" s="135">
        <f>B233+1</f>
        <v/>
      </c>
      <c r="C234" s="244">
        <f>F233</f>
        <v/>
      </c>
      <c r="D234" s="244">
        <f>PPMT(LoanRate/12,$B234,LoanAmortization*12,-LoanAmount)</f>
        <v/>
      </c>
      <c r="E234" s="244">
        <f>IPMT(LoanRate/12,$B234,LoanAmortization*12,-LoanAmount)</f>
        <v/>
      </c>
      <c r="F234" s="244">
        <f>C234-D234</f>
        <v/>
      </c>
    </row>
    <row r="235">
      <c r="B235" s="135">
        <f>B234+1</f>
        <v/>
      </c>
      <c r="C235" s="244">
        <f>F234</f>
        <v/>
      </c>
      <c r="D235" s="244">
        <f>PPMT(LoanRate/12,$B235,LoanAmortization*12,-LoanAmount)</f>
        <v/>
      </c>
      <c r="E235" s="244">
        <f>IPMT(LoanRate/12,$B235,LoanAmortization*12,-LoanAmount)</f>
        <v/>
      </c>
      <c r="F235" s="244">
        <f>C235-D235</f>
        <v/>
      </c>
    </row>
    <row r="236">
      <c r="B236" s="135">
        <f>B235+1</f>
        <v/>
      </c>
      <c r="C236" s="244">
        <f>F235</f>
        <v/>
      </c>
      <c r="D236" s="244">
        <f>PPMT(LoanRate/12,$B236,LoanAmortization*12,-LoanAmount)</f>
        <v/>
      </c>
      <c r="E236" s="244">
        <f>IPMT(LoanRate/12,$B236,LoanAmortization*12,-LoanAmount)</f>
        <v/>
      </c>
      <c r="F236" s="244">
        <f>C236-D236</f>
        <v/>
      </c>
    </row>
    <row r="237">
      <c r="B237" s="135">
        <f>B236+1</f>
        <v/>
      </c>
      <c r="C237" s="244">
        <f>F236</f>
        <v/>
      </c>
      <c r="D237" s="244">
        <f>PPMT(LoanRate/12,$B237,LoanAmortization*12,-LoanAmount)</f>
        <v/>
      </c>
      <c r="E237" s="244">
        <f>IPMT(LoanRate/12,$B237,LoanAmortization*12,-LoanAmount)</f>
        <v/>
      </c>
      <c r="F237" s="244">
        <f>C237-D237</f>
        <v/>
      </c>
    </row>
    <row r="238">
      <c r="B238" s="135">
        <f>B237+1</f>
        <v/>
      </c>
      <c r="C238" s="244">
        <f>F237</f>
        <v/>
      </c>
      <c r="D238" s="244">
        <f>PPMT(LoanRate/12,$B238,LoanAmortization*12,-LoanAmount)</f>
        <v/>
      </c>
      <c r="E238" s="244">
        <f>IPMT(LoanRate/12,$B238,LoanAmortization*12,-LoanAmount)</f>
        <v/>
      </c>
      <c r="F238" s="244">
        <f>C238-D238</f>
        <v/>
      </c>
    </row>
    <row r="239">
      <c r="B239" s="135">
        <f>B238+1</f>
        <v/>
      </c>
      <c r="C239" s="244">
        <f>F238</f>
        <v/>
      </c>
      <c r="D239" s="244">
        <f>PPMT(LoanRate/12,$B239,LoanAmortization*12,-LoanAmount)</f>
        <v/>
      </c>
      <c r="E239" s="244">
        <f>IPMT(LoanRate/12,$B239,LoanAmortization*12,-LoanAmount)</f>
        <v/>
      </c>
      <c r="F239" s="244">
        <f>C239-D239</f>
        <v/>
      </c>
    </row>
    <row r="240">
      <c r="B240" s="135">
        <f>B239+1</f>
        <v/>
      </c>
      <c r="C240" s="244">
        <f>F239</f>
        <v/>
      </c>
      <c r="D240" s="244">
        <f>PPMT(LoanRate/12,$B240,LoanAmortization*12,-LoanAmount)</f>
        <v/>
      </c>
      <c r="E240" s="244">
        <f>IPMT(LoanRate/12,$B240,LoanAmortization*12,-LoanAmount)</f>
        <v/>
      </c>
      <c r="F240" s="244">
        <f>C240-D240</f>
        <v/>
      </c>
    </row>
    <row r="241">
      <c r="B241" s="135">
        <f>B240+1</f>
        <v/>
      </c>
      <c r="C241" s="244">
        <f>F240</f>
        <v/>
      </c>
      <c r="D241" s="244">
        <f>PPMT(LoanRate/12,$B241,LoanAmortization*12,-LoanAmount)</f>
        <v/>
      </c>
      <c r="E241" s="244">
        <f>IPMT(LoanRate/12,$B241,LoanAmortization*12,-LoanAmount)</f>
        <v/>
      </c>
      <c r="F241" s="244">
        <f>C241-D241</f>
        <v/>
      </c>
    </row>
    <row r="242">
      <c r="B242" s="135">
        <f>B241+1</f>
        <v/>
      </c>
      <c r="C242" s="244">
        <f>F241</f>
        <v/>
      </c>
      <c r="D242" s="244">
        <f>PPMT(LoanRate/12,$B242,LoanAmortization*12,-LoanAmount)</f>
        <v/>
      </c>
      <c r="E242" s="244">
        <f>IPMT(LoanRate/12,$B242,LoanAmortization*12,-LoanAmount)</f>
        <v/>
      </c>
      <c r="F242" s="244">
        <f>C242-D242</f>
        <v/>
      </c>
    </row>
    <row r="243">
      <c r="B243" s="135">
        <f>B242+1</f>
        <v/>
      </c>
      <c r="C243" s="244">
        <f>F242</f>
        <v/>
      </c>
      <c r="D243" s="244">
        <f>PPMT(LoanRate/12,$B243,LoanAmortization*12,-LoanAmount)</f>
        <v/>
      </c>
      <c r="E243" s="244">
        <f>IPMT(LoanRate/12,$B243,LoanAmortization*12,-LoanAmount)</f>
        <v/>
      </c>
      <c r="F243" s="244">
        <f>C243-D243</f>
        <v/>
      </c>
    </row>
    <row r="244">
      <c r="B244" s="135">
        <f>B243+1</f>
        <v/>
      </c>
      <c r="C244" s="244">
        <f>F243</f>
        <v/>
      </c>
      <c r="D244" s="244">
        <f>PPMT(LoanRate/12,$B244,LoanAmortization*12,-LoanAmount)</f>
        <v/>
      </c>
      <c r="E244" s="244">
        <f>IPMT(LoanRate/12,$B244,LoanAmortization*12,-LoanAmount)</f>
        <v/>
      </c>
      <c r="F244" s="244">
        <f>C244-D244</f>
        <v/>
      </c>
    </row>
    <row r="245">
      <c r="B245" s="135">
        <f>B244+1</f>
        <v/>
      </c>
      <c r="C245" s="244">
        <f>F244</f>
        <v/>
      </c>
      <c r="D245" s="244">
        <f>PPMT(LoanRate/12,$B245,LoanAmortization*12,-LoanAmount)</f>
        <v/>
      </c>
      <c r="E245" s="244">
        <f>IPMT(LoanRate/12,$B245,LoanAmortization*12,-LoanAmount)</f>
        <v/>
      </c>
      <c r="F245" s="244">
        <f>C245-D245</f>
        <v/>
      </c>
    </row>
    <row r="246">
      <c r="B246" s="135">
        <f>B245+1</f>
        <v/>
      </c>
      <c r="C246" s="244">
        <f>F245</f>
        <v/>
      </c>
      <c r="D246" s="244">
        <f>PPMT(LoanRate/12,$B246,LoanAmortization*12,-LoanAmount)</f>
        <v/>
      </c>
      <c r="E246" s="244">
        <f>IPMT(LoanRate/12,$B246,LoanAmortization*12,-LoanAmount)</f>
        <v/>
      </c>
      <c r="F246" s="244">
        <f>C246-D246</f>
        <v/>
      </c>
    </row>
    <row r="247">
      <c r="B247" s="135">
        <f>B246+1</f>
        <v/>
      </c>
      <c r="C247" s="244">
        <f>F246</f>
        <v/>
      </c>
      <c r="D247" s="244">
        <f>PPMT(LoanRate/12,$B247,LoanAmortization*12,-LoanAmount)</f>
        <v/>
      </c>
      <c r="E247" s="244">
        <f>IPMT(LoanRate/12,$B247,LoanAmortization*12,-LoanAmount)</f>
        <v/>
      </c>
      <c r="F247" s="244">
        <f>C247-D247</f>
        <v/>
      </c>
    </row>
    <row r="248">
      <c r="B248" s="135">
        <f>B247+1</f>
        <v/>
      </c>
      <c r="C248" s="244">
        <f>F247</f>
        <v/>
      </c>
      <c r="D248" s="244">
        <f>PPMT(LoanRate/12,$B248,LoanAmortization*12,-LoanAmount)</f>
        <v/>
      </c>
      <c r="E248" s="244">
        <f>IPMT(LoanRate/12,$B248,LoanAmortization*12,-LoanAmount)</f>
        <v/>
      </c>
      <c r="F248" s="244">
        <f>C248-D248</f>
        <v/>
      </c>
    </row>
    <row r="249">
      <c r="B249" s="135">
        <f>B248+1</f>
        <v/>
      </c>
      <c r="C249" s="244">
        <f>F248</f>
        <v/>
      </c>
      <c r="D249" s="244">
        <f>PPMT(LoanRate/12,$B249,LoanAmortization*12,-LoanAmount)</f>
        <v/>
      </c>
      <c r="E249" s="244">
        <f>IPMT(LoanRate/12,$B249,LoanAmortization*12,-LoanAmount)</f>
        <v/>
      </c>
      <c r="F249" s="244">
        <f>C249-D249</f>
        <v/>
      </c>
    </row>
    <row r="250">
      <c r="B250" s="135">
        <f>B249+1</f>
        <v/>
      </c>
      <c r="C250" s="244">
        <f>F249</f>
        <v/>
      </c>
      <c r="D250" s="244">
        <f>PPMT(LoanRate/12,$B250,LoanAmortization*12,-LoanAmount)</f>
        <v/>
      </c>
      <c r="E250" s="244">
        <f>IPMT(LoanRate/12,$B250,LoanAmortization*12,-LoanAmount)</f>
        <v/>
      </c>
      <c r="F250" s="244">
        <f>C250-D250</f>
        <v/>
      </c>
    </row>
    <row r="251">
      <c r="B251" s="135">
        <f>B250+1</f>
        <v/>
      </c>
      <c r="C251" s="244">
        <f>F250</f>
        <v/>
      </c>
      <c r="D251" s="244">
        <f>PPMT(LoanRate/12,$B251,LoanAmortization*12,-LoanAmount)</f>
        <v/>
      </c>
      <c r="E251" s="244">
        <f>IPMT(LoanRate/12,$B251,LoanAmortization*12,-LoanAmount)</f>
        <v/>
      </c>
      <c r="F251" s="244">
        <f>C251-D251</f>
        <v/>
      </c>
    </row>
    <row r="252">
      <c r="B252" s="135">
        <f>B251+1</f>
        <v/>
      </c>
      <c r="C252" s="244">
        <f>F251</f>
        <v/>
      </c>
      <c r="D252" s="244">
        <f>PPMT(LoanRate/12,$B252,LoanAmortization*12,-LoanAmount)</f>
        <v/>
      </c>
      <c r="E252" s="244">
        <f>IPMT(LoanRate/12,$B252,LoanAmortization*12,-LoanAmount)</f>
        <v/>
      </c>
      <c r="F252" s="244">
        <f>C252-D252</f>
        <v/>
      </c>
    </row>
    <row r="253">
      <c r="B253" s="135">
        <f>B252+1</f>
        <v/>
      </c>
      <c r="C253" s="244">
        <f>F252</f>
        <v/>
      </c>
      <c r="D253" s="244">
        <f>PPMT(LoanRate/12,$B253,LoanAmortization*12,-LoanAmount)</f>
        <v/>
      </c>
      <c r="E253" s="244">
        <f>IPMT(LoanRate/12,$B253,LoanAmortization*12,-LoanAmount)</f>
        <v/>
      </c>
      <c r="F253" s="244">
        <f>C253-D253</f>
        <v/>
      </c>
    </row>
    <row r="254">
      <c r="B254" s="135">
        <f>B253+1</f>
        <v/>
      </c>
      <c r="C254" s="244">
        <f>F253</f>
        <v/>
      </c>
      <c r="D254" s="244">
        <f>PPMT(LoanRate/12,$B254,LoanAmortization*12,-LoanAmount)</f>
        <v/>
      </c>
      <c r="E254" s="244">
        <f>IPMT(LoanRate/12,$B254,LoanAmortization*12,-LoanAmount)</f>
        <v/>
      </c>
      <c r="F254" s="244">
        <f>C254-D254</f>
        <v/>
      </c>
    </row>
    <row r="255">
      <c r="B255" s="135">
        <f>B254+1</f>
        <v/>
      </c>
      <c r="C255" s="244">
        <f>F254</f>
        <v/>
      </c>
      <c r="D255" s="244">
        <f>PPMT(LoanRate/12,$B255,LoanAmortization*12,-LoanAmount)</f>
        <v/>
      </c>
      <c r="E255" s="244">
        <f>IPMT(LoanRate/12,$B255,LoanAmortization*12,-LoanAmount)</f>
        <v/>
      </c>
      <c r="F255" s="244">
        <f>C255-D255</f>
        <v/>
      </c>
    </row>
    <row r="256">
      <c r="B256" s="135">
        <f>B255+1</f>
        <v/>
      </c>
      <c r="C256" s="244">
        <f>F255</f>
        <v/>
      </c>
      <c r="D256" s="244">
        <f>PPMT(LoanRate/12,$B256,LoanAmortization*12,-LoanAmount)</f>
        <v/>
      </c>
      <c r="E256" s="244">
        <f>IPMT(LoanRate/12,$B256,LoanAmortization*12,-LoanAmount)</f>
        <v/>
      </c>
      <c r="F256" s="244">
        <f>C256-D256</f>
        <v/>
      </c>
    </row>
    <row r="257">
      <c r="B257" s="135">
        <f>B256+1</f>
        <v/>
      </c>
      <c r="C257" s="244">
        <f>F256</f>
        <v/>
      </c>
      <c r="D257" s="244">
        <f>PPMT(LoanRate/12,$B257,LoanAmortization*12,-LoanAmount)</f>
        <v/>
      </c>
      <c r="E257" s="244">
        <f>IPMT(LoanRate/12,$B257,LoanAmortization*12,-LoanAmount)</f>
        <v/>
      </c>
      <c r="F257" s="244">
        <f>C257-D257</f>
        <v/>
      </c>
    </row>
    <row r="258">
      <c r="B258" s="135">
        <f>B257+1</f>
        <v/>
      </c>
      <c r="C258" s="244">
        <f>F257</f>
        <v/>
      </c>
      <c r="D258" s="244">
        <f>PPMT(LoanRate/12,$B258,LoanAmortization*12,-LoanAmount)</f>
        <v/>
      </c>
      <c r="E258" s="244">
        <f>IPMT(LoanRate/12,$B258,LoanAmortization*12,-LoanAmount)</f>
        <v/>
      </c>
      <c r="F258" s="244">
        <f>C258-D258</f>
        <v/>
      </c>
    </row>
    <row r="259">
      <c r="B259" s="135">
        <f>B258+1</f>
        <v/>
      </c>
      <c r="C259" s="244">
        <f>F258</f>
        <v/>
      </c>
      <c r="D259" s="244">
        <f>PPMT(LoanRate/12,$B259,LoanAmortization*12,-LoanAmount)</f>
        <v/>
      </c>
      <c r="E259" s="244">
        <f>IPMT(LoanRate/12,$B259,LoanAmortization*12,-LoanAmount)</f>
        <v/>
      </c>
      <c r="F259" s="244">
        <f>C259-D259</f>
        <v/>
      </c>
    </row>
    <row r="260">
      <c r="B260" s="135">
        <f>B259+1</f>
        <v/>
      </c>
      <c r="C260" s="244">
        <f>F259</f>
        <v/>
      </c>
      <c r="D260" s="244">
        <f>PPMT(LoanRate/12,$B260,LoanAmortization*12,-LoanAmount)</f>
        <v/>
      </c>
      <c r="E260" s="244">
        <f>IPMT(LoanRate/12,$B260,LoanAmortization*12,-LoanAmount)</f>
        <v/>
      </c>
      <c r="F260" s="244">
        <f>C260-D260</f>
        <v/>
      </c>
    </row>
    <row r="261">
      <c r="B261" s="135">
        <f>B260+1</f>
        <v/>
      </c>
      <c r="C261" s="244">
        <f>F260</f>
        <v/>
      </c>
      <c r="D261" s="244">
        <f>PPMT(LoanRate/12,$B261,LoanAmortization*12,-LoanAmount)</f>
        <v/>
      </c>
      <c r="E261" s="244">
        <f>IPMT(LoanRate/12,$B261,LoanAmortization*12,-LoanAmount)</f>
        <v/>
      </c>
      <c r="F261" s="244">
        <f>C261-D261</f>
        <v/>
      </c>
    </row>
    <row r="262">
      <c r="B262" s="135">
        <f>B261+1</f>
        <v/>
      </c>
      <c r="C262" s="244">
        <f>F261</f>
        <v/>
      </c>
      <c r="D262" s="244">
        <f>PPMT(LoanRate/12,$B262,LoanAmortization*12,-LoanAmount)</f>
        <v/>
      </c>
      <c r="E262" s="244">
        <f>IPMT(LoanRate/12,$B262,LoanAmortization*12,-LoanAmount)</f>
        <v/>
      </c>
      <c r="F262" s="244">
        <f>C262-D262</f>
        <v/>
      </c>
    </row>
    <row r="263">
      <c r="B263" s="135">
        <f>B262+1</f>
        <v/>
      </c>
      <c r="C263" s="244">
        <f>F262</f>
        <v/>
      </c>
      <c r="D263" s="244">
        <f>PPMT(LoanRate/12,$B263,LoanAmortization*12,-LoanAmount)</f>
        <v/>
      </c>
      <c r="E263" s="244">
        <f>IPMT(LoanRate/12,$B263,LoanAmortization*12,-LoanAmount)</f>
        <v/>
      </c>
      <c r="F263" s="244">
        <f>C263-D263</f>
        <v/>
      </c>
    </row>
    <row r="264">
      <c r="B264" s="135">
        <f>B263+1</f>
        <v/>
      </c>
      <c r="C264" s="244">
        <f>F263</f>
        <v/>
      </c>
      <c r="D264" s="244">
        <f>PPMT(LoanRate/12,$B264,LoanAmortization*12,-LoanAmount)</f>
        <v/>
      </c>
      <c r="E264" s="244">
        <f>IPMT(LoanRate/12,$B264,LoanAmortization*12,-LoanAmount)</f>
        <v/>
      </c>
      <c r="F264" s="244">
        <f>C264-D264</f>
        <v/>
      </c>
    </row>
    <row r="265">
      <c r="B265" s="135">
        <f>B264+1</f>
        <v/>
      </c>
      <c r="C265" s="244">
        <f>F264</f>
        <v/>
      </c>
      <c r="D265" s="244">
        <f>PPMT(LoanRate/12,$B265,LoanAmortization*12,-LoanAmount)</f>
        <v/>
      </c>
      <c r="E265" s="244">
        <f>IPMT(LoanRate/12,$B265,LoanAmortization*12,-LoanAmount)</f>
        <v/>
      </c>
      <c r="F265" s="244">
        <f>C265-D265</f>
        <v/>
      </c>
    </row>
    <row r="266">
      <c r="B266" s="135">
        <f>B265+1</f>
        <v/>
      </c>
      <c r="C266" s="244">
        <f>F265</f>
        <v/>
      </c>
      <c r="D266" s="244">
        <f>PPMT(LoanRate/12,$B266,LoanAmortization*12,-LoanAmount)</f>
        <v/>
      </c>
      <c r="E266" s="244">
        <f>IPMT(LoanRate/12,$B266,LoanAmortization*12,-LoanAmount)</f>
        <v/>
      </c>
      <c r="F266" s="244">
        <f>C266-D266</f>
        <v/>
      </c>
    </row>
    <row r="267">
      <c r="B267" s="135">
        <f>B266+1</f>
        <v/>
      </c>
      <c r="C267" s="244">
        <f>F266</f>
        <v/>
      </c>
      <c r="D267" s="244">
        <f>PPMT(LoanRate/12,$B267,LoanAmortization*12,-LoanAmount)</f>
        <v/>
      </c>
      <c r="E267" s="244">
        <f>IPMT(LoanRate/12,$B267,LoanAmortization*12,-LoanAmount)</f>
        <v/>
      </c>
      <c r="F267" s="244">
        <f>C267-D267</f>
        <v/>
      </c>
    </row>
    <row r="268">
      <c r="B268" s="135">
        <f>B267+1</f>
        <v/>
      </c>
      <c r="C268" s="244">
        <f>F267</f>
        <v/>
      </c>
      <c r="D268" s="244">
        <f>PPMT(LoanRate/12,$B268,LoanAmortization*12,-LoanAmount)</f>
        <v/>
      </c>
      <c r="E268" s="244">
        <f>IPMT(LoanRate/12,$B268,LoanAmortization*12,-LoanAmount)</f>
        <v/>
      </c>
      <c r="F268" s="244">
        <f>C268-D268</f>
        <v/>
      </c>
    </row>
    <row r="269">
      <c r="B269" s="135">
        <f>B268+1</f>
        <v/>
      </c>
      <c r="C269" s="244">
        <f>F268</f>
        <v/>
      </c>
      <c r="D269" s="244">
        <f>PPMT(LoanRate/12,$B269,LoanAmortization*12,-LoanAmount)</f>
        <v/>
      </c>
      <c r="E269" s="244">
        <f>IPMT(LoanRate/12,$B269,LoanAmortization*12,-LoanAmount)</f>
        <v/>
      </c>
      <c r="F269" s="244">
        <f>C269-D269</f>
        <v/>
      </c>
    </row>
    <row r="270">
      <c r="B270" s="135">
        <f>B269+1</f>
        <v/>
      </c>
      <c r="C270" s="244">
        <f>F269</f>
        <v/>
      </c>
      <c r="D270" s="244">
        <f>PPMT(LoanRate/12,$B270,LoanAmortization*12,-LoanAmount)</f>
        <v/>
      </c>
      <c r="E270" s="244">
        <f>IPMT(LoanRate/12,$B270,LoanAmortization*12,-LoanAmount)</f>
        <v/>
      </c>
      <c r="F270" s="244">
        <f>C270-D270</f>
        <v/>
      </c>
    </row>
    <row r="271">
      <c r="B271" s="135">
        <f>B270+1</f>
        <v/>
      </c>
      <c r="C271" s="244">
        <f>F270</f>
        <v/>
      </c>
      <c r="D271" s="244">
        <f>PPMT(LoanRate/12,$B271,LoanAmortization*12,-LoanAmount)</f>
        <v/>
      </c>
      <c r="E271" s="244">
        <f>IPMT(LoanRate/12,$B271,LoanAmortization*12,-LoanAmount)</f>
        <v/>
      </c>
      <c r="F271" s="244">
        <f>C271-D271</f>
        <v/>
      </c>
    </row>
    <row r="272">
      <c r="B272" s="135">
        <f>B271+1</f>
        <v/>
      </c>
      <c r="C272" s="244">
        <f>F271</f>
        <v/>
      </c>
      <c r="D272" s="244">
        <f>PPMT(LoanRate/12,$B272,LoanAmortization*12,-LoanAmount)</f>
        <v/>
      </c>
      <c r="E272" s="244">
        <f>IPMT(LoanRate/12,$B272,LoanAmortization*12,-LoanAmount)</f>
        <v/>
      </c>
      <c r="F272" s="244">
        <f>C272-D272</f>
        <v/>
      </c>
    </row>
    <row r="273">
      <c r="B273" s="135">
        <f>B272+1</f>
        <v/>
      </c>
      <c r="C273" s="244">
        <f>F272</f>
        <v/>
      </c>
      <c r="D273" s="244">
        <f>PPMT(LoanRate/12,$B273,LoanAmortization*12,-LoanAmount)</f>
        <v/>
      </c>
      <c r="E273" s="244">
        <f>IPMT(LoanRate/12,$B273,LoanAmortization*12,-LoanAmount)</f>
        <v/>
      </c>
      <c r="F273" s="244">
        <f>C273-D273</f>
        <v/>
      </c>
    </row>
    <row r="274">
      <c r="B274" s="135">
        <f>B273+1</f>
        <v/>
      </c>
      <c r="C274" s="244">
        <f>F273</f>
        <v/>
      </c>
      <c r="D274" s="244">
        <f>PPMT(LoanRate/12,$B274,LoanAmortization*12,-LoanAmount)</f>
        <v/>
      </c>
      <c r="E274" s="244">
        <f>IPMT(LoanRate/12,$B274,LoanAmortization*12,-LoanAmount)</f>
        <v/>
      </c>
      <c r="F274" s="244">
        <f>C274-D274</f>
        <v/>
      </c>
    </row>
    <row r="275">
      <c r="B275" s="135">
        <f>B274+1</f>
        <v/>
      </c>
      <c r="C275" s="244">
        <f>F274</f>
        <v/>
      </c>
      <c r="D275" s="244">
        <f>PPMT(LoanRate/12,$B275,LoanAmortization*12,-LoanAmount)</f>
        <v/>
      </c>
      <c r="E275" s="244">
        <f>IPMT(LoanRate/12,$B275,LoanAmortization*12,-LoanAmount)</f>
        <v/>
      </c>
      <c r="F275" s="244">
        <f>C275-D275</f>
        <v/>
      </c>
    </row>
    <row r="276">
      <c r="B276" s="135">
        <f>B275+1</f>
        <v/>
      </c>
      <c r="C276" s="244">
        <f>F275</f>
        <v/>
      </c>
      <c r="D276" s="244">
        <f>PPMT(LoanRate/12,$B276,LoanAmortization*12,-LoanAmount)</f>
        <v/>
      </c>
      <c r="E276" s="244">
        <f>IPMT(LoanRate/12,$B276,LoanAmortization*12,-LoanAmount)</f>
        <v/>
      </c>
      <c r="F276" s="244">
        <f>C276-D276</f>
        <v/>
      </c>
    </row>
    <row r="277">
      <c r="B277" s="135">
        <f>B276+1</f>
        <v/>
      </c>
      <c r="C277" s="244">
        <f>F276</f>
        <v/>
      </c>
      <c r="D277" s="244">
        <f>PPMT(LoanRate/12,$B277,LoanAmortization*12,-LoanAmount)</f>
        <v/>
      </c>
      <c r="E277" s="244">
        <f>IPMT(LoanRate/12,$B277,LoanAmortization*12,-LoanAmount)</f>
        <v/>
      </c>
      <c r="F277" s="244">
        <f>C277-D277</f>
        <v/>
      </c>
    </row>
    <row r="278">
      <c r="B278" s="135">
        <f>B277+1</f>
        <v/>
      </c>
      <c r="C278" s="244">
        <f>F277</f>
        <v/>
      </c>
      <c r="D278" s="244">
        <f>PPMT(LoanRate/12,$B278,LoanAmortization*12,-LoanAmount)</f>
        <v/>
      </c>
      <c r="E278" s="244">
        <f>IPMT(LoanRate/12,$B278,LoanAmortization*12,-LoanAmount)</f>
        <v/>
      </c>
      <c r="F278" s="244">
        <f>C278-D278</f>
        <v/>
      </c>
    </row>
    <row r="279">
      <c r="B279" s="135">
        <f>B278+1</f>
        <v/>
      </c>
      <c r="C279" s="244">
        <f>F278</f>
        <v/>
      </c>
      <c r="D279" s="244">
        <f>PPMT(LoanRate/12,$B279,LoanAmortization*12,-LoanAmount)</f>
        <v/>
      </c>
      <c r="E279" s="244">
        <f>IPMT(LoanRate/12,$B279,LoanAmortization*12,-LoanAmount)</f>
        <v/>
      </c>
      <c r="F279" s="244">
        <f>C279-D279</f>
        <v/>
      </c>
    </row>
    <row r="280">
      <c r="B280" s="135">
        <f>B279+1</f>
        <v/>
      </c>
      <c r="C280" s="244">
        <f>F279</f>
        <v/>
      </c>
      <c r="D280" s="244">
        <f>PPMT(LoanRate/12,$B280,LoanAmortization*12,-LoanAmount)</f>
        <v/>
      </c>
      <c r="E280" s="244">
        <f>IPMT(LoanRate/12,$B280,LoanAmortization*12,-LoanAmount)</f>
        <v/>
      </c>
      <c r="F280" s="244">
        <f>C280-D280</f>
        <v/>
      </c>
    </row>
    <row r="281">
      <c r="B281" s="135">
        <f>B280+1</f>
        <v/>
      </c>
      <c r="C281" s="244">
        <f>F280</f>
        <v/>
      </c>
      <c r="D281" s="244">
        <f>PPMT(LoanRate/12,$B281,LoanAmortization*12,-LoanAmount)</f>
        <v/>
      </c>
      <c r="E281" s="244">
        <f>IPMT(LoanRate/12,$B281,LoanAmortization*12,-LoanAmount)</f>
        <v/>
      </c>
      <c r="F281" s="244">
        <f>C281-D281</f>
        <v/>
      </c>
    </row>
    <row r="282">
      <c r="B282" s="135">
        <f>B281+1</f>
        <v/>
      </c>
      <c r="C282" s="244">
        <f>F281</f>
        <v/>
      </c>
      <c r="D282" s="244">
        <f>PPMT(LoanRate/12,$B282,LoanAmortization*12,-LoanAmount)</f>
        <v/>
      </c>
      <c r="E282" s="244">
        <f>IPMT(LoanRate/12,$B282,LoanAmortization*12,-LoanAmount)</f>
        <v/>
      </c>
      <c r="F282" s="244">
        <f>C282-D282</f>
        <v/>
      </c>
    </row>
    <row r="283">
      <c r="B283" s="135">
        <f>B282+1</f>
        <v/>
      </c>
      <c r="C283" s="244">
        <f>F282</f>
        <v/>
      </c>
      <c r="D283" s="244">
        <f>PPMT(LoanRate/12,$B283,LoanAmortization*12,-LoanAmount)</f>
        <v/>
      </c>
      <c r="E283" s="244">
        <f>IPMT(LoanRate/12,$B283,LoanAmortization*12,-LoanAmount)</f>
        <v/>
      </c>
      <c r="F283" s="244">
        <f>C283-D283</f>
        <v/>
      </c>
    </row>
    <row r="284">
      <c r="B284" s="135">
        <f>B283+1</f>
        <v/>
      </c>
      <c r="C284" s="244">
        <f>F283</f>
        <v/>
      </c>
      <c r="D284" s="244">
        <f>PPMT(LoanRate/12,$B284,LoanAmortization*12,-LoanAmount)</f>
        <v/>
      </c>
      <c r="E284" s="244">
        <f>IPMT(LoanRate/12,$B284,LoanAmortization*12,-LoanAmount)</f>
        <v/>
      </c>
      <c r="F284" s="244">
        <f>C284-D284</f>
        <v/>
      </c>
    </row>
    <row r="285">
      <c r="B285" s="135">
        <f>B284+1</f>
        <v/>
      </c>
      <c r="C285" s="244">
        <f>F284</f>
        <v/>
      </c>
      <c r="D285" s="244">
        <f>PPMT(LoanRate/12,$B285,LoanAmortization*12,-LoanAmount)</f>
        <v/>
      </c>
      <c r="E285" s="244">
        <f>IPMT(LoanRate/12,$B285,LoanAmortization*12,-LoanAmount)</f>
        <v/>
      </c>
      <c r="F285" s="244">
        <f>C285-D285</f>
        <v/>
      </c>
    </row>
    <row r="286">
      <c r="B286" s="135">
        <f>B285+1</f>
        <v/>
      </c>
      <c r="C286" s="244">
        <f>F285</f>
        <v/>
      </c>
      <c r="D286" s="244">
        <f>PPMT(LoanRate/12,$B286,LoanAmortization*12,-LoanAmount)</f>
        <v/>
      </c>
      <c r="E286" s="244">
        <f>IPMT(LoanRate/12,$B286,LoanAmortization*12,-LoanAmount)</f>
        <v/>
      </c>
      <c r="F286" s="244">
        <f>C286-D286</f>
        <v/>
      </c>
    </row>
    <row r="287">
      <c r="B287" s="135">
        <f>B286+1</f>
        <v/>
      </c>
      <c r="C287" s="244">
        <f>F286</f>
        <v/>
      </c>
      <c r="D287" s="244">
        <f>PPMT(LoanRate/12,$B287,LoanAmortization*12,-LoanAmount)</f>
        <v/>
      </c>
      <c r="E287" s="244">
        <f>IPMT(LoanRate/12,$B287,LoanAmortization*12,-LoanAmount)</f>
        <v/>
      </c>
      <c r="F287" s="244">
        <f>C287-D287</f>
        <v/>
      </c>
    </row>
    <row r="288">
      <c r="B288" s="135">
        <f>B287+1</f>
        <v/>
      </c>
      <c r="C288" s="244">
        <f>F287</f>
        <v/>
      </c>
      <c r="D288" s="244">
        <f>PPMT(LoanRate/12,$B288,LoanAmortization*12,-LoanAmount)</f>
        <v/>
      </c>
      <c r="E288" s="244">
        <f>IPMT(LoanRate/12,$B288,LoanAmortization*12,-LoanAmount)</f>
        <v/>
      </c>
      <c r="F288" s="244">
        <f>C288-D288</f>
        <v/>
      </c>
    </row>
    <row r="289">
      <c r="B289" s="135">
        <f>B288+1</f>
        <v/>
      </c>
      <c r="C289" s="244">
        <f>F288</f>
        <v/>
      </c>
      <c r="D289" s="244">
        <f>PPMT(LoanRate/12,$B289,LoanAmortization*12,-LoanAmount)</f>
        <v/>
      </c>
      <c r="E289" s="244">
        <f>IPMT(LoanRate/12,$B289,LoanAmortization*12,-LoanAmount)</f>
        <v/>
      </c>
      <c r="F289" s="244">
        <f>C289-D289</f>
        <v/>
      </c>
    </row>
    <row r="290">
      <c r="B290" s="135">
        <f>B289+1</f>
        <v/>
      </c>
      <c r="C290" s="244">
        <f>F289</f>
        <v/>
      </c>
      <c r="D290" s="244">
        <f>PPMT(LoanRate/12,$B290,LoanAmortization*12,-LoanAmount)</f>
        <v/>
      </c>
      <c r="E290" s="244">
        <f>IPMT(LoanRate/12,$B290,LoanAmortization*12,-LoanAmount)</f>
        <v/>
      </c>
      <c r="F290" s="244">
        <f>C290-D290</f>
        <v/>
      </c>
    </row>
    <row r="291">
      <c r="B291" s="135">
        <f>B290+1</f>
        <v/>
      </c>
      <c r="C291" s="244">
        <f>F290</f>
        <v/>
      </c>
      <c r="D291" s="244">
        <f>PPMT(LoanRate/12,$B291,LoanAmortization*12,-LoanAmount)</f>
        <v/>
      </c>
      <c r="E291" s="244">
        <f>IPMT(LoanRate/12,$B291,LoanAmortization*12,-LoanAmount)</f>
        <v/>
      </c>
      <c r="F291" s="244">
        <f>C291-D291</f>
        <v/>
      </c>
    </row>
    <row r="292">
      <c r="B292" s="135">
        <f>B291+1</f>
        <v/>
      </c>
      <c r="C292" s="244">
        <f>F291</f>
        <v/>
      </c>
      <c r="D292" s="244">
        <f>PPMT(LoanRate/12,$B292,LoanAmortization*12,-LoanAmount)</f>
        <v/>
      </c>
      <c r="E292" s="244">
        <f>IPMT(LoanRate/12,$B292,LoanAmortization*12,-LoanAmount)</f>
        <v/>
      </c>
      <c r="F292" s="244">
        <f>C292-D292</f>
        <v/>
      </c>
    </row>
    <row r="293">
      <c r="B293" s="135">
        <f>B292+1</f>
        <v/>
      </c>
      <c r="C293" s="244">
        <f>F292</f>
        <v/>
      </c>
      <c r="D293" s="244">
        <f>PPMT(LoanRate/12,$B293,LoanAmortization*12,-LoanAmount)</f>
        <v/>
      </c>
      <c r="E293" s="244">
        <f>IPMT(LoanRate/12,$B293,LoanAmortization*12,-LoanAmount)</f>
        <v/>
      </c>
      <c r="F293" s="244">
        <f>C293-D293</f>
        <v/>
      </c>
    </row>
    <row r="294">
      <c r="B294" s="135">
        <f>B293+1</f>
        <v/>
      </c>
      <c r="C294" s="244">
        <f>F293</f>
        <v/>
      </c>
      <c r="D294" s="244">
        <f>PPMT(LoanRate/12,$B294,LoanAmortization*12,-LoanAmount)</f>
        <v/>
      </c>
      <c r="E294" s="244">
        <f>IPMT(LoanRate/12,$B294,LoanAmortization*12,-LoanAmount)</f>
        <v/>
      </c>
      <c r="F294" s="244">
        <f>C294-D294</f>
        <v/>
      </c>
    </row>
    <row r="295">
      <c r="B295" s="135">
        <f>B294+1</f>
        <v/>
      </c>
      <c r="C295" s="244">
        <f>F294</f>
        <v/>
      </c>
      <c r="D295" s="244">
        <f>PPMT(LoanRate/12,$B295,LoanAmortization*12,-LoanAmount)</f>
        <v/>
      </c>
      <c r="E295" s="244">
        <f>IPMT(LoanRate/12,$B295,LoanAmortization*12,-LoanAmount)</f>
        <v/>
      </c>
      <c r="F295" s="244">
        <f>C295-D295</f>
        <v/>
      </c>
    </row>
    <row r="296">
      <c r="B296" s="135">
        <f>B295+1</f>
        <v/>
      </c>
      <c r="C296" s="244">
        <f>F295</f>
        <v/>
      </c>
      <c r="D296" s="244">
        <f>PPMT(LoanRate/12,$B296,LoanAmortization*12,-LoanAmount)</f>
        <v/>
      </c>
      <c r="E296" s="244">
        <f>IPMT(LoanRate/12,$B296,LoanAmortization*12,-LoanAmount)</f>
        <v/>
      </c>
      <c r="F296" s="244">
        <f>C296-D296</f>
        <v/>
      </c>
    </row>
    <row r="297">
      <c r="B297" s="135">
        <f>B296+1</f>
        <v/>
      </c>
      <c r="C297" s="244">
        <f>F296</f>
        <v/>
      </c>
      <c r="D297" s="244">
        <f>PPMT(LoanRate/12,$B297,LoanAmortization*12,-LoanAmount)</f>
        <v/>
      </c>
      <c r="E297" s="244">
        <f>IPMT(LoanRate/12,$B297,LoanAmortization*12,-LoanAmount)</f>
        <v/>
      </c>
      <c r="F297" s="244">
        <f>C297-D297</f>
        <v/>
      </c>
    </row>
    <row r="298">
      <c r="B298" s="135">
        <f>B297+1</f>
        <v/>
      </c>
      <c r="C298" s="244">
        <f>F297</f>
        <v/>
      </c>
      <c r="D298" s="244">
        <f>PPMT(LoanRate/12,$B298,LoanAmortization*12,-LoanAmount)</f>
        <v/>
      </c>
      <c r="E298" s="244">
        <f>IPMT(LoanRate/12,$B298,LoanAmortization*12,-LoanAmount)</f>
        <v/>
      </c>
      <c r="F298" s="244">
        <f>C298-D298</f>
        <v/>
      </c>
    </row>
    <row r="299">
      <c r="B299" s="135">
        <f>B298+1</f>
        <v/>
      </c>
      <c r="C299" s="244">
        <f>F298</f>
        <v/>
      </c>
      <c r="D299" s="244">
        <f>PPMT(LoanRate/12,$B299,LoanAmortization*12,-LoanAmount)</f>
        <v/>
      </c>
      <c r="E299" s="244">
        <f>IPMT(LoanRate/12,$B299,LoanAmortization*12,-LoanAmount)</f>
        <v/>
      </c>
      <c r="F299" s="244">
        <f>C299-D299</f>
        <v/>
      </c>
    </row>
    <row r="300">
      <c r="B300" s="135">
        <f>B299+1</f>
        <v/>
      </c>
      <c r="C300" s="244">
        <f>F299</f>
        <v/>
      </c>
      <c r="D300" s="244">
        <f>PPMT(LoanRate/12,$B300,LoanAmortization*12,-LoanAmount)</f>
        <v/>
      </c>
      <c r="E300" s="244">
        <f>IPMT(LoanRate/12,$B300,LoanAmortization*12,-LoanAmount)</f>
        <v/>
      </c>
      <c r="F300" s="244">
        <f>C300-D300</f>
        <v/>
      </c>
    </row>
    <row r="301">
      <c r="B301" s="135">
        <f>B300+1</f>
        <v/>
      </c>
      <c r="C301" s="244">
        <f>F300</f>
        <v/>
      </c>
      <c r="D301" s="244">
        <f>PPMT(LoanRate/12,$B301,LoanAmortization*12,-LoanAmount)</f>
        <v/>
      </c>
      <c r="E301" s="244">
        <f>IPMT(LoanRate/12,$B301,LoanAmortization*12,-LoanAmount)</f>
        <v/>
      </c>
      <c r="F301" s="244">
        <f>C301-D301</f>
        <v/>
      </c>
    </row>
    <row r="302">
      <c r="B302" s="135">
        <f>B301+1</f>
        <v/>
      </c>
      <c r="C302" s="244">
        <f>F301</f>
        <v/>
      </c>
      <c r="D302" s="244">
        <f>PPMT(LoanRate/12,$B302,LoanAmortization*12,-LoanAmount)</f>
        <v/>
      </c>
      <c r="E302" s="244">
        <f>IPMT(LoanRate/12,$B302,LoanAmortization*12,-LoanAmount)</f>
        <v/>
      </c>
      <c r="F302" s="244">
        <f>C302-D302</f>
        <v/>
      </c>
    </row>
    <row r="303">
      <c r="B303" s="135">
        <f>B302+1</f>
        <v/>
      </c>
      <c r="C303" s="244">
        <f>F302</f>
        <v/>
      </c>
      <c r="D303" s="244">
        <f>PPMT(LoanRate/12,$B303,LoanAmortization*12,-LoanAmount)</f>
        <v/>
      </c>
      <c r="E303" s="244">
        <f>IPMT(LoanRate/12,$B303,LoanAmortization*12,-LoanAmount)</f>
        <v/>
      </c>
      <c r="F303" s="244">
        <f>C303-D303</f>
        <v/>
      </c>
    </row>
    <row r="304">
      <c r="B304" s="135">
        <f>B303+1</f>
        <v/>
      </c>
      <c r="C304" s="244">
        <f>F303</f>
        <v/>
      </c>
      <c r="D304" s="244">
        <f>PPMT(LoanRate/12,$B304,LoanAmortization*12,-LoanAmount)</f>
        <v/>
      </c>
      <c r="E304" s="244">
        <f>IPMT(LoanRate/12,$B304,LoanAmortization*12,-LoanAmount)</f>
        <v/>
      </c>
      <c r="F304" s="244">
        <f>C304-D304</f>
        <v/>
      </c>
    </row>
    <row r="305">
      <c r="B305" s="135">
        <f>B304+1</f>
        <v/>
      </c>
      <c r="C305" s="244">
        <f>F304</f>
        <v/>
      </c>
      <c r="D305" s="244">
        <f>PPMT(LoanRate/12,$B305,LoanAmortization*12,-LoanAmount)</f>
        <v/>
      </c>
      <c r="E305" s="244">
        <f>IPMT(LoanRate/12,$B305,LoanAmortization*12,-LoanAmount)</f>
        <v/>
      </c>
      <c r="F305" s="244">
        <f>C305-D305</f>
        <v/>
      </c>
    </row>
    <row r="306">
      <c r="B306" s="135">
        <f>B305+1</f>
        <v/>
      </c>
      <c r="C306" s="244">
        <f>F305</f>
        <v/>
      </c>
      <c r="D306" s="244">
        <f>PPMT(LoanRate/12,$B306,LoanAmortization*12,-LoanAmount)</f>
        <v/>
      </c>
      <c r="E306" s="244">
        <f>IPMT(LoanRate/12,$B306,LoanAmortization*12,-LoanAmount)</f>
        <v/>
      </c>
      <c r="F306" s="244">
        <f>C306-D306</f>
        <v/>
      </c>
    </row>
    <row r="307">
      <c r="B307" s="135">
        <f>B306+1</f>
        <v/>
      </c>
      <c r="C307" s="244">
        <f>F306</f>
        <v/>
      </c>
      <c r="D307" s="244">
        <f>PPMT(LoanRate/12,$B307,LoanAmortization*12,-LoanAmount)</f>
        <v/>
      </c>
      <c r="E307" s="244">
        <f>IPMT(LoanRate/12,$B307,LoanAmortization*12,-LoanAmount)</f>
        <v/>
      </c>
      <c r="F307" s="244">
        <f>C307-D307</f>
        <v/>
      </c>
    </row>
    <row r="308">
      <c r="B308" s="135">
        <f>B307+1</f>
        <v/>
      </c>
      <c r="C308" s="244">
        <f>F307</f>
        <v/>
      </c>
      <c r="D308" s="244">
        <f>PPMT(LoanRate/12,$B308,LoanAmortization*12,-LoanAmount)</f>
        <v/>
      </c>
      <c r="E308" s="244">
        <f>IPMT(LoanRate/12,$B308,LoanAmortization*12,-LoanAmount)</f>
        <v/>
      </c>
      <c r="F308" s="244">
        <f>C308-D308</f>
        <v/>
      </c>
    </row>
    <row r="309">
      <c r="B309" s="135">
        <f>B308+1</f>
        <v/>
      </c>
      <c r="C309" s="244">
        <f>F308</f>
        <v/>
      </c>
      <c r="D309" s="244">
        <f>PPMT(LoanRate/12,$B309,LoanAmortization*12,-LoanAmount)</f>
        <v/>
      </c>
      <c r="E309" s="244">
        <f>IPMT(LoanRate/12,$B309,LoanAmortization*12,-LoanAmount)</f>
        <v/>
      </c>
      <c r="F309" s="244">
        <f>C309-D309</f>
        <v/>
      </c>
    </row>
    <row r="310">
      <c r="B310" s="135">
        <f>B309+1</f>
        <v/>
      </c>
      <c r="C310" s="244">
        <f>F309</f>
        <v/>
      </c>
      <c r="D310" s="244">
        <f>PPMT(LoanRate/12,$B310,LoanAmortization*12,-LoanAmount)</f>
        <v/>
      </c>
      <c r="E310" s="244">
        <f>IPMT(LoanRate/12,$B310,LoanAmortization*12,-LoanAmount)</f>
        <v/>
      </c>
      <c r="F310" s="244">
        <f>C310-D310</f>
        <v/>
      </c>
    </row>
    <row r="311">
      <c r="B311" s="135">
        <f>B310+1</f>
        <v/>
      </c>
      <c r="C311" s="244">
        <f>F310</f>
        <v/>
      </c>
      <c r="D311" s="244">
        <f>PPMT(LoanRate/12,$B311,LoanAmortization*12,-LoanAmount)</f>
        <v/>
      </c>
      <c r="E311" s="244">
        <f>IPMT(LoanRate/12,$B311,LoanAmortization*12,-LoanAmount)</f>
        <v/>
      </c>
      <c r="F311" s="244">
        <f>C311-D311</f>
        <v/>
      </c>
    </row>
    <row r="312">
      <c r="B312" s="135">
        <f>B311+1</f>
        <v/>
      </c>
      <c r="C312" s="244">
        <f>F311</f>
        <v/>
      </c>
      <c r="D312" s="244">
        <f>PPMT(LoanRate/12,$B312,LoanAmortization*12,-LoanAmount)</f>
        <v/>
      </c>
      <c r="E312" s="244">
        <f>IPMT(LoanRate/12,$B312,LoanAmortization*12,-LoanAmount)</f>
        <v/>
      </c>
      <c r="F312" s="244">
        <f>C312-D312</f>
        <v/>
      </c>
    </row>
    <row r="313">
      <c r="B313" s="135">
        <f>B312+1</f>
        <v/>
      </c>
      <c r="C313" s="244">
        <f>F312</f>
        <v/>
      </c>
      <c r="D313" s="244">
        <f>PPMT(LoanRate/12,$B313,LoanAmortization*12,-LoanAmount)</f>
        <v/>
      </c>
      <c r="E313" s="244">
        <f>IPMT(LoanRate/12,$B313,LoanAmortization*12,-LoanAmount)</f>
        <v/>
      </c>
      <c r="F313" s="244">
        <f>C313-D313</f>
        <v/>
      </c>
    </row>
    <row r="314">
      <c r="B314" s="135">
        <f>B313+1</f>
        <v/>
      </c>
      <c r="C314" s="244">
        <f>F313</f>
        <v/>
      </c>
      <c r="D314" s="244">
        <f>PPMT(LoanRate/12,$B314,LoanAmortization*12,-LoanAmount)</f>
        <v/>
      </c>
      <c r="E314" s="244">
        <f>IPMT(LoanRate/12,$B314,LoanAmortization*12,-LoanAmount)</f>
        <v/>
      </c>
      <c r="F314" s="244">
        <f>C314-D314</f>
        <v/>
      </c>
    </row>
    <row r="315">
      <c r="B315" s="135">
        <f>B314+1</f>
        <v/>
      </c>
      <c r="C315" s="244">
        <f>F314</f>
        <v/>
      </c>
      <c r="D315" s="244">
        <f>PPMT(LoanRate/12,$B315,LoanAmortization*12,-LoanAmount)</f>
        <v/>
      </c>
      <c r="E315" s="244">
        <f>IPMT(LoanRate/12,$B315,LoanAmortization*12,-LoanAmount)</f>
        <v/>
      </c>
      <c r="F315" s="244">
        <f>C315-D315</f>
        <v/>
      </c>
    </row>
    <row r="316">
      <c r="B316" s="135">
        <f>B315+1</f>
        <v/>
      </c>
      <c r="C316" s="244">
        <f>F315</f>
        <v/>
      </c>
      <c r="D316" s="244">
        <f>PPMT(LoanRate/12,$B316,LoanAmortization*12,-LoanAmount)</f>
        <v/>
      </c>
      <c r="E316" s="244">
        <f>IPMT(LoanRate/12,$B316,LoanAmortization*12,-LoanAmount)</f>
        <v/>
      </c>
      <c r="F316" s="244">
        <f>C316-D316</f>
        <v/>
      </c>
    </row>
    <row r="317">
      <c r="B317" s="135">
        <f>B316+1</f>
        <v/>
      </c>
      <c r="C317" s="244">
        <f>F316</f>
        <v/>
      </c>
      <c r="D317" s="244">
        <f>PPMT(LoanRate/12,$B317,LoanAmortization*12,-LoanAmount)</f>
        <v/>
      </c>
      <c r="E317" s="244">
        <f>IPMT(LoanRate/12,$B317,LoanAmortization*12,-LoanAmount)</f>
        <v/>
      </c>
      <c r="F317" s="244">
        <f>C317-D317</f>
        <v/>
      </c>
    </row>
    <row r="318">
      <c r="B318" s="135">
        <f>B317+1</f>
        <v/>
      </c>
      <c r="C318" s="244">
        <f>F317</f>
        <v/>
      </c>
      <c r="D318" s="244">
        <f>PPMT(LoanRate/12,$B318,LoanAmortization*12,-LoanAmount)</f>
        <v/>
      </c>
      <c r="E318" s="244">
        <f>IPMT(LoanRate/12,$B318,LoanAmortization*12,-LoanAmount)</f>
        <v/>
      </c>
      <c r="F318" s="244">
        <f>C318-D318</f>
        <v/>
      </c>
    </row>
    <row r="319">
      <c r="B319" s="135">
        <f>B318+1</f>
        <v/>
      </c>
      <c r="C319" s="244">
        <f>F318</f>
        <v/>
      </c>
      <c r="D319" s="244">
        <f>PPMT(LoanRate/12,$B319,LoanAmortization*12,-LoanAmount)</f>
        <v/>
      </c>
      <c r="E319" s="244">
        <f>IPMT(LoanRate/12,$B319,LoanAmortization*12,-LoanAmount)</f>
        <v/>
      </c>
      <c r="F319" s="244">
        <f>C319-D319</f>
        <v/>
      </c>
    </row>
    <row r="320">
      <c r="B320" s="135">
        <f>B319+1</f>
        <v/>
      </c>
      <c r="C320" s="244">
        <f>F319</f>
        <v/>
      </c>
      <c r="D320" s="244">
        <f>PPMT(LoanRate/12,$B320,LoanAmortization*12,-LoanAmount)</f>
        <v/>
      </c>
      <c r="E320" s="244">
        <f>IPMT(LoanRate/12,$B320,LoanAmortization*12,-LoanAmount)</f>
        <v/>
      </c>
      <c r="F320" s="244">
        <f>C320-D320</f>
        <v/>
      </c>
    </row>
    <row r="321">
      <c r="B321" s="135">
        <f>B320+1</f>
        <v/>
      </c>
      <c r="C321" s="244">
        <f>F320</f>
        <v/>
      </c>
      <c r="D321" s="244">
        <f>PPMT(LoanRate/12,$B321,LoanAmortization*12,-LoanAmount)</f>
        <v/>
      </c>
      <c r="E321" s="244">
        <f>IPMT(LoanRate/12,$B321,LoanAmortization*12,-LoanAmount)</f>
        <v/>
      </c>
      <c r="F321" s="244">
        <f>C321-D321</f>
        <v/>
      </c>
    </row>
    <row r="322">
      <c r="B322" s="135">
        <f>B321+1</f>
        <v/>
      </c>
      <c r="C322" s="244">
        <f>F321</f>
        <v/>
      </c>
      <c r="D322" s="244">
        <f>PPMT(LoanRate/12,$B322,LoanAmortization*12,-LoanAmount)</f>
        <v/>
      </c>
      <c r="E322" s="244">
        <f>IPMT(LoanRate/12,$B322,LoanAmortization*12,-LoanAmount)</f>
        <v/>
      </c>
      <c r="F322" s="244">
        <f>C322-D322</f>
        <v/>
      </c>
    </row>
    <row r="323">
      <c r="B323" s="135">
        <f>B322+1</f>
        <v/>
      </c>
      <c r="C323" s="244">
        <f>F322</f>
        <v/>
      </c>
      <c r="D323" s="244">
        <f>PPMT(LoanRate/12,$B323,LoanAmortization*12,-LoanAmount)</f>
        <v/>
      </c>
      <c r="E323" s="244">
        <f>IPMT(LoanRate/12,$B323,LoanAmortization*12,-LoanAmount)</f>
        <v/>
      </c>
      <c r="F323" s="244">
        <f>C323-D323</f>
        <v/>
      </c>
    </row>
    <row r="324">
      <c r="B324" s="135">
        <f>B323+1</f>
        <v/>
      </c>
      <c r="C324" s="244">
        <f>F323</f>
        <v/>
      </c>
      <c r="D324" s="244">
        <f>PPMT(LoanRate/12,$B324,LoanAmortization*12,-LoanAmount)</f>
        <v/>
      </c>
      <c r="E324" s="244">
        <f>IPMT(LoanRate/12,$B324,LoanAmortization*12,-LoanAmount)</f>
        <v/>
      </c>
      <c r="F324" s="244">
        <f>C324-D324</f>
        <v/>
      </c>
    </row>
    <row r="325">
      <c r="B325" s="135">
        <f>B324+1</f>
        <v/>
      </c>
      <c r="C325" s="244">
        <f>F324</f>
        <v/>
      </c>
      <c r="D325" s="244">
        <f>PPMT(LoanRate/12,$B325,LoanAmortization*12,-LoanAmount)</f>
        <v/>
      </c>
      <c r="E325" s="244">
        <f>IPMT(LoanRate/12,$B325,LoanAmortization*12,-LoanAmount)</f>
        <v/>
      </c>
      <c r="F325" s="244">
        <f>C325-D325</f>
        <v/>
      </c>
    </row>
    <row r="326">
      <c r="B326" s="135">
        <f>B325+1</f>
        <v/>
      </c>
      <c r="C326" s="244">
        <f>F325</f>
        <v/>
      </c>
      <c r="D326" s="244">
        <f>PPMT(LoanRate/12,$B326,LoanAmortization*12,-LoanAmount)</f>
        <v/>
      </c>
      <c r="E326" s="244">
        <f>IPMT(LoanRate/12,$B326,LoanAmortization*12,-LoanAmount)</f>
        <v/>
      </c>
      <c r="F326" s="244">
        <f>C326-D326</f>
        <v/>
      </c>
    </row>
    <row r="327">
      <c r="B327" s="135">
        <f>B326+1</f>
        <v/>
      </c>
      <c r="C327" s="244">
        <f>F326</f>
        <v/>
      </c>
      <c r="D327" s="244">
        <f>PPMT(LoanRate/12,$B327,LoanAmortization*12,-LoanAmount)</f>
        <v/>
      </c>
      <c r="E327" s="244">
        <f>IPMT(LoanRate/12,$B327,LoanAmortization*12,-LoanAmount)</f>
        <v/>
      </c>
      <c r="F327" s="244">
        <f>C327-D327</f>
        <v/>
      </c>
    </row>
    <row r="328">
      <c r="B328" s="135">
        <f>B327+1</f>
        <v/>
      </c>
      <c r="C328" s="244">
        <f>F327</f>
        <v/>
      </c>
      <c r="D328" s="244">
        <f>PPMT(LoanRate/12,$B328,LoanAmortization*12,-LoanAmount)</f>
        <v/>
      </c>
      <c r="E328" s="244">
        <f>IPMT(LoanRate/12,$B328,LoanAmortization*12,-LoanAmount)</f>
        <v/>
      </c>
      <c r="F328" s="244">
        <f>C328-D328</f>
        <v/>
      </c>
    </row>
    <row r="329">
      <c r="B329" s="135">
        <f>B328+1</f>
        <v/>
      </c>
      <c r="C329" s="244">
        <f>F328</f>
        <v/>
      </c>
      <c r="D329" s="244">
        <f>PPMT(LoanRate/12,$B329,LoanAmortization*12,-LoanAmount)</f>
        <v/>
      </c>
      <c r="E329" s="244">
        <f>IPMT(LoanRate/12,$B329,LoanAmortization*12,-LoanAmount)</f>
        <v/>
      </c>
      <c r="F329" s="244">
        <f>C329-D329</f>
        <v/>
      </c>
    </row>
    <row r="330">
      <c r="B330" s="135">
        <f>B329+1</f>
        <v/>
      </c>
      <c r="C330" s="244">
        <f>F329</f>
        <v/>
      </c>
      <c r="D330" s="244">
        <f>PPMT(LoanRate/12,$B330,LoanAmortization*12,-LoanAmount)</f>
        <v/>
      </c>
      <c r="E330" s="244">
        <f>IPMT(LoanRate/12,$B330,LoanAmortization*12,-LoanAmount)</f>
        <v/>
      </c>
      <c r="F330" s="244">
        <f>C330-D330</f>
        <v/>
      </c>
    </row>
    <row r="331">
      <c r="B331" s="135">
        <f>B330+1</f>
        <v/>
      </c>
      <c r="C331" s="244">
        <f>F330</f>
        <v/>
      </c>
      <c r="D331" s="244">
        <f>PPMT(LoanRate/12,$B331,LoanAmortization*12,-LoanAmount)</f>
        <v/>
      </c>
      <c r="E331" s="244">
        <f>IPMT(LoanRate/12,$B331,LoanAmortization*12,-LoanAmount)</f>
        <v/>
      </c>
      <c r="F331" s="244">
        <f>C331-D331</f>
        <v/>
      </c>
    </row>
    <row r="332">
      <c r="B332" s="135">
        <f>B331+1</f>
        <v/>
      </c>
      <c r="C332" s="244">
        <f>F331</f>
        <v/>
      </c>
      <c r="D332" s="244">
        <f>PPMT(LoanRate/12,$B332,LoanAmortization*12,-LoanAmount)</f>
        <v/>
      </c>
      <c r="E332" s="244">
        <f>IPMT(LoanRate/12,$B332,LoanAmortization*12,-LoanAmount)</f>
        <v/>
      </c>
      <c r="F332" s="244">
        <f>C332-D332</f>
        <v/>
      </c>
    </row>
    <row r="333">
      <c r="B333" s="135">
        <f>B332+1</f>
        <v/>
      </c>
      <c r="C333" s="244">
        <f>F332</f>
        <v/>
      </c>
      <c r="D333" s="244">
        <f>PPMT(LoanRate/12,$B333,LoanAmortization*12,-LoanAmount)</f>
        <v/>
      </c>
      <c r="E333" s="244">
        <f>IPMT(LoanRate/12,$B333,LoanAmortization*12,-LoanAmount)</f>
        <v/>
      </c>
      <c r="F333" s="244">
        <f>C333-D333</f>
        <v/>
      </c>
    </row>
    <row r="334">
      <c r="B334" s="135">
        <f>B333+1</f>
        <v/>
      </c>
      <c r="C334" s="244">
        <f>F333</f>
        <v/>
      </c>
      <c r="D334" s="244">
        <f>PPMT(LoanRate/12,$B334,LoanAmortization*12,-LoanAmount)</f>
        <v/>
      </c>
      <c r="E334" s="244">
        <f>IPMT(LoanRate/12,$B334,LoanAmortization*12,-LoanAmount)</f>
        <v/>
      </c>
      <c r="F334" s="244">
        <f>C334-D334</f>
        <v/>
      </c>
    </row>
    <row r="335">
      <c r="B335" s="135">
        <f>B334+1</f>
        <v/>
      </c>
      <c r="C335" s="244">
        <f>F334</f>
        <v/>
      </c>
      <c r="D335" s="244">
        <f>PPMT(LoanRate/12,$B335,LoanAmortization*12,-LoanAmount)</f>
        <v/>
      </c>
      <c r="E335" s="244">
        <f>IPMT(LoanRate/12,$B335,LoanAmortization*12,-LoanAmount)</f>
        <v/>
      </c>
      <c r="F335" s="244">
        <f>C335-D335</f>
        <v/>
      </c>
    </row>
    <row r="336">
      <c r="B336" s="135">
        <f>B335+1</f>
        <v/>
      </c>
      <c r="C336" s="244">
        <f>F335</f>
        <v/>
      </c>
      <c r="D336" s="244">
        <f>PPMT(LoanRate/12,$B336,LoanAmortization*12,-LoanAmount)</f>
        <v/>
      </c>
      <c r="E336" s="244">
        <f>IPMT(LoanRate/12,$B336,LoanAmortization*12,-LoanAmount)</f>
        <v/>
      </c>
      <c r="F336" s="244">
        <f>C336-D336</f>
        <v/>
      </c>
    </row>
    <row r="337">
      <c r="B337" s="135">
        <f>B336+1</f>
        <v/>
      </c>
      <c r="C337" s="244">
        <f>F336</f>
        <v/>
      </c>
      <c r="D337" s="244">
        <f>PPMT(LoanRate/12,$B337,LoanAmortization*12,-LoanAmount)</f>
        <v/>
      </c>
      <c r="E337" s="244">
        <f>IPMT(LoanRate/12,$B337,LoanAmortization*12,-LoanAmount)</f>
        <v/>
      </c>
      <c r="F337" s="244">
        <f>C337-D337</f>
        <v/>
      </c>
    </row>
    <row r="338">
      <c r="B338" s="135">
        <f>B337+1</f>
        <v/>
      </c>
      <c r="C338" s="244">
        <f>F337</f>
        <v/>
      </c>
      <c r="D338" s="244">
        <f>PPMT(LoanRate/12,$B338,LoanAmortization*12,-LoanAmount)</f>
        <v/>
      </c>
      <c r="E338" s="244">
        <f>IPMT(LoanRate/12,$B338,LoanAmortization*12,-LoanAmount)</f>
        <v/>
      </c>
      <c r="F338" s="244">
        <f>C338-D338</f>
        <v/>
      </c>
    </row>
    <row r="339">
      <c r="B339" s="135">
        <f>B338+1</f>
        <v/>
      </c>
      <c r="C339" s="244">
        <f>F338</f>
        <v/>
      </c>
      <c r="D339" s="244">
        <f>PPMT(LoanRate/12,$B339,LoanAmortization*12,-LoanAmount)</f>
        <v/>
      </c>
      <c r="E339" s="244">
        <f>IPMT(LoanRate/12,$B339,LoanAmortization*12,-LoanAmount)</f>
        <v/>
      </c>
      <c r="F339" s="244">
        <f>C339-D339</f>
        <v/>
      </c>
    </row>
    <row r="340">
      <c r="B340" s="135">
        <f>B339+1</f>
        <v/>
      </c>
      <c r="C340" s="244">
        <f>F339</f>
        <v/>
      </c>
      <c r="D340" s="244">
        <f>PPMT(LoanRate/12,$B340,LoanAmortization*12,-LoanAmount)</f>
        <v/>
      </c>
      <c r="E340" s="244">
        <f>IPMT(LoanRate/12,$B340,LoanAmortization*12,-LoanAmount)</f>
        <v/>
      </c>
      <c r="F340" s="244">
        <f>C340-D340</f>
        <v/>
      </c>
    </row>
    <row r="341">
      <c r="B341" s="135">
        <f>B340+1</f>
        <v/>
      </c>
      <c r="C341" s="244">
        <f>F340</f>
        <v/>
      </c>
      <c r="D341" s="244">
        <f>PPMT(LoanRate/12,$B341,LoanAmortization*12,-LoanAmount)</f>
        <v/>
      </c>
      <c r="E341" s="244">
        <f>IPMT(LoanRate/12,$B341,LoanAmortization*12,-LoanAmount)</f>
        <v/>
      </c>
      <c r="F341" s="244">
        <f>C341-D341</f>
        <v/>
      </c>
    </row>
    <row r="342">
      <c r="B342" s="135">
        <f>B341+1</f>
        <v/>
      </c>
      <c r="C342" s="244">
        <f>F341</f>
        <v/>
      </c>
      <c r="D342" s="244">
        <f>PPMT(LoanRate/12,$B342,LoanAmortization*12,-LoanAmount)</f>
        <v/>
      </c>
      <c r="E342" s="244">
        <f>IPMT(LoanRate/12,$B342,LoanAmortization*12,-LoanAmount)</f>
        <v/>
      </c>
      <c r="F342" s="244">
        <f>C342-D342</f>
        <v/>
      </c>
    </row>
    <row r="343">
      <c r="B343" s="135">
        <f>B342+1</f>
        <v/>
      </c>
      <c r="C343" s="244">
        <f>F342</f>
        <v/>
      </c>
      <c r="D343" s="244">
        <f>PPMT(LoanRate/12,$B343,LoanAmortization*12,-LoanAmount)</f>
        <v/>
      </c>
      <c r="E343" s="244">
        <f>IPMT(LoanRate/12,$B343,LoanAmortization*12,-LoanAmount)</f>
        <v/>
      </c>
      <c r="F343" s="244">
        <f>C343-D343</f>
        <v/>
      </c>
    </row>
    <row r="344">
      <c r="B344" s="135">
        <f>B343+1</f>
        <v/>
      </c>
      <c r="C344" s="244">
        <f>F343</f>
        <v/>
      </c>
      <c r="D344" s="244">
        <f>PPMT(LoanRate/12,$B344,LoanAmortization*12,-LoanAmount)</f>
        <v/>
      </c>
      <c r="E344" s="244">
        <f>IPMT(LoanRate/12,$B344,LoanAmortization*12,-LoanAmount)</f>
        <v/>
      </c>
      <c r="F344" s="244">
        <f>C344-D344</f>
        <v/>
      </c>
    </row>
    <row r="345">
      <c r="B345" s="135">
        <f>B344+1</f>
        <v/>
      </c>
      <c r="C345" s="244">
        <f>F344</f>
        <v/>
      </c>
      <c r="D345" s="244">
        <f>PPMT(LoanRate/12,$B345,LoanAmortization*12,-LoanAmount)</f>
        <v/>
      </c>
      <c r="E345" s="244">
        <f>IPMT(LoanRate/12,$B345,LoanAmortization*12,-LoanAmount)</f>
        <v/>
      </c>
      <c r="F345" s="244">
        <f>C345-D345</f>
        <v/>
      </c>
    </row>
    <row r="346">
      <c r="B346" s="135">
        <f>B345+1</f>
        <v/>
      </c>
      <c r="C346" s="244">
        <f>F345</f>
        <v/>
      </c>
      <c r="D346" s="244">
        <f>PPMT(LoanRate/12,$B346,LoanAmortization*12,-LoanAmount)</f>
        <v/>
      </c>
      <c r="E346" s="244">
        <f>IPMT(LoanRate/12,$B346,LoanAmortization*12,-LoanAmount)</f>
        <v/>
      </c>
      <c r="F346" s="244">
        <f>C346-D346</f>
        <v/>
      </c>
    </row>
    <row r="347">
      <c r="B347" s="135">
        <f>B346+1</f>
        <v/>
      </c>
      <c r="C347" s="244">
        <f>F346</f>
        <v/>
      </c>
      <c r="D347" s="244">
        <f>PPMT(LoanRate/12,$B347,LoanAmortization*12,-LoanAmount)</f>
        <v/>
      </c>
      <c r="E347" s="244">
        <f>IPMT(LoanRate/12,$B347,LoanAmortization*12,-LoanAmount)</f>
        <v/>
      </c>
      <c r="F347" s="244">
        <f>C347-D347</f>
        <v/>
      </c>
    </row>
    <row r="348">
      <c r="B348" s="135">
        <f>B347+1</f>
        <v/>
      </c>
      <c r="C348" s="244">
        <f>F347</f>
        <v/>
      </c>
      <c r="D348" s="244">
        <f>PPMT(LoanRate/12,$B348,LoanAmortization*12,-LoanAmount)</f>
        <v/>
      </c>
      <c r="E348" s="244">
        <f>IPMT(LoanRate/12,$B348,LoanAmortization*12,-LoanAmount)</f>
        <v/>
      </c>
      <c r="F348" s="244">
        <f>C348-D348</f>
        <v/>
      </c>
    </row>
    <row r="349">
      <c r="B349" s="135">
        <f>B348+1</f>
        <v/>
      </c>
      <c r="C349" s="244">
        <f>F348</f>
        <v/>
      </c>
      <c r="D349" s="244">
        <f>PPMT(LoanRate/12,$B349,LoanAmortization*12,-LoanAmount)</f>
        <v/>
      </c>
      <c r="E349" s="244">
        <f>IPMT(LoanRate/12,$B349,LoanAmortization*12,-LoanAmount)</f>
        <v/>
      </c>
      <c r="F349" s="244">
        <f>C349-D349</f>
        <v/>
      </c>
    </row>
    <row r="350">
      <c r="B350" s="135">
        <f>B349+1</f>
        <v/>
      </c>
      <c r="C350" s="244">
        <f>F349</f>
        <v/>
      </c>
      <c r="D350" s="244">
        <f>PPMT(LoanRate/12,$B350,LoanAmortization*12,-LoanAmount)</f>
        <v/>
      </c>
      <c r="E350" s="244">
        <f>IPMT(LoanRate/12,$B350,LoanAmortization*12,-LoanAmount)</f>
        <v/>
      </c>
      <c r="F350" s="244">
        <f>C350-D350</f>
        <v/>
      </c>
    </row>
    <row r="351">
      <c r="B351" s="135">
        <f>B350+1</f>
        <v/>
      </c>
      <c r="C351" s="244">
        <f>F350</f>
        <v/>
      </c>
      <c r="D351" s="244">
        <f>PPMT(LoanRate/12,$B351,LoanAmortization*12,-LoanAmount)</f>
        <v/>
      </c>
      <c r="E351" s="244">
        <f>IPMT(LoanRate/12,$B351,LoanAmortization*12,-LoanAmount)</f>
        <v/>
      </c>
      <c r="F351" s="244">
        <f>C351-D351</f>
        <v/>
      </c>
    </row>
    <row r="352">
      <c r="B352" s="135">
        <f>B351+1</f>
        <v/>
      </c>
      <c r="C352" s="244">
        <f>F351</f>
        <v/>
      </c>
      <c r="D352" s="244">
        <f>PPMT(LoanRate/12,$B352,LoanAmortization*12,-LoanAmount)</f>
        <v/>
      </c>
      <c r="E352" s="244">
        <f>IPMT(LoanRate/12,$B352,LoanAmortization*12,-LoanAmount)</f>
        <v/>
      </c>
      <c r="F352" s="244">
        <f>C352-D352</f>
        <v/>
      </c>
    </row>
    <row r="353">
      <c r="B353" s="135">
        <f>B352+1</f>
        <v/>
      </c>
      <c r="C353" s="244">
        <f>F352</f>
        <v/>
      </c>
      <c r="D353" s="244">
        <f>PPMT(LoanRate/12,$B353,LoanAmortization*12,-LoanAmount)</f>
        <v/>
      </c>
      <c r="E353" s="244">
        <f>IPMT(LoanRate/12,$B353,LoanAmortization*12,-LoanAmount)</f>
        <v/>
      </c>
      <c r="F353" s="244">
        <f>C353-D353</f>
        <v/>
      </c>
    </row>
    <row r="354">
      <c r="B354" s="135">
        <f>B353+1</f>
        <v/>
      </c>
      <c r="C354" s="244">
        <f>F353</f>
        <v/>
      </c>
      <c r="D354" s="244">
        <f>PPMT(LoanRate/12,$B354,LoanAmortization*12,-LoanAmount)</f>
        <v/>
      </c>
      <c r="E354" s="244">
        <f>IPMT(LoanRate/12,$B354,LoanAmortization*12,-LoanAmount)</f>
        <v/>
      </c>
      <c r="F354" s="244">
        <f>C354-D354</f>
        <v/>
      </c>
    </row>
    <row r="355">
      <c r="B355" s="135">
        <f>B354+1</f>
        <v/>
      </c>
      <c r="C355" s="244">
        <f>F354</f>
        <v/>
      </c>
      <c r="D355" s="244">
        <f>PPMT(LoanRate/12,$B355,LoanAmortization*12,-LoanAmount)</f>
        <v/>
      </c>
      <c r="E355" s="244">
        <f>IPMT(LoanRate/12,$B355,LoanAmortization*12,-LoanAmount)</f>
        <v/>
      </c>
      <c r="F355" s="244">
        <f>C355-D355</f>
        <v/>
      </c>
    </row>
    <row r="356">
      <c r="B356" s="135">
        <f>B355+1</f>
        <v/>
      </c>
      <c r="C356" s="244">
        <f>F355</f>
        <v/>
      </c>
      <c r="D356" s="244">
        <f>PPMT(LoanRate/12,$B356,LoanAmortization*12,-LoanAmount)</f>
        <v/>
      </c>
      <c r="E356" s="244">
        <f>IPMT(LoanRate/12,$B356,LoanAmortization*12,-LoanAmount)</f>
        <v/>
      </c>
      <c r="F356" s="244">
        <f>C356-D356</f>
        <v/>
      </c>
    </row>
    <row r="357">
      <c r="B357" s="135">
        <f>B356+1</f>
        <v/>
      </c>
      <c r="C357" s="244">
        <f>F356</f>
        <v/>
      </c>
      <c r="D357" s="244">
        <f>PPMT(LoanRate/12,$B357,LoanAmortization*12,-LoanAmount)</f>
        <v/>
      </c>
      <c r="E357" s="244">
        <f>IPMT(LoanRate/12,$B357,LoanAmortization*12,-LoanAmount)</f>
        <v/>
      </c>
      <c r="F357" s="244">
        <f>C357-D357</f>
        <v/>
      </c>
    </row>
    <row r="358">
      <c r="B358" s="135">
        <f>B357+1</f>
        <v/>
      </c>
      <c r="C358" s="244">
        <f>F357</f>
        <v/>
      </c>
      <c r="D358" s="244">
        <f>PPMT(LoanRate/12,$B358,LoanAmortization*12,-LoanAmount)</f>
        <v/>
      </c>
      <c r="E358" s="244">
        <f>IPMT(LoanRate/12,$B358,LoanAmortization*12,-LoanAmount)</f>
        <v/>
      </c>
      <c r="F358" s="244">
        <f>C358-D358</f>
        <v/>
      </c>
    </row>
    <row r="359">
      <c r="B359" s="135">
        <f>B358+1</f>
        <v/>
      </c>
      <c r="C359" s="244">
        <f>F358</f>
        <v/>
      </c>
      <c r="D359" s="244">
        <f>PPMT(LoanRate/12,$B359,LoanAmortization*12,-LoanAmount)</f>
        <v/>
      </c>
      <c r="E359" s="244">
        <f>IPMT(LoanRate/12,$B359,LoanAmortization*12,-LoanAmount)</f>
        <v/>
      </c>
      <c r="F359" s="244">
        <f>C359-D359</f>
        <v/>
      </c>
    </row>
    <row r="360">
      <c r="B360" s="135">
        <f>B359+1</f>
        <v/>
      </c>
      <c r="C360" s="244">
        <f>F359</f>
        <v/>
      </c>
      <c r="D360" s="244">
        <f>PPMT(LoanRate/12,$B360,LoanAmortization*12,-LoanAmount)</f>
        <v/>
      </c>
      <c r="E360" s="244">
        <f>IPMT(LoanRate/12,$B360,LoanAmortization*12,-LoanAmount)</f>
        <v/>
      </c>
      <c r="F360" s="244">
        <f>C360-D360</f>
        <v/>
      </c>
    </row>
    <row r="361">
      <c r="B361" s="135">
        <f>B360+1</f>
        <v/>
      </c>
      <c r="C361" s="244">
        <f>F360</f>
        <v/>
      </c>
      <c r="D361" s="244">
        <f>PPMT(LoanRate/12,$B361,LoanAmortization*12,-LoanAmount)</f>
        <v/>
      </c>
      <c r="E361" s="244">
        <f>IPMT(LoanRate/12,$B361,LoanAmortization*12,-LoanAmount)</f>
        <v/>
      </c>
      <c r="F361" s="244">
        <f>C361-D361</f>
        <v/>
      </c>
    </row>
    <row r="362">
      <c r="B362" s="135">
        <f>B361+1</f>
        <v/>
      </c>
      <c r="C362" s="244">
        <f>F361</f>
        <v/>
      </c>
      <c r="D362" s="244">
        <f>PPMT(LoanRate/12,$B362,LoanAmortization*12,-LoanAmount)</f>
        <v/>
      </c>
      <c r="E362" s="244">
        <f>IPMT(LoanRate/12,$B362,LoanAmortization*12,-LoanAmount)</f>
        <v/>
      </c>
      <c r="F362" s="244">
        <f>C362-D362</f>
        <v/>
      </c>
    </row>
  </sheetData>
  <pageMargins left="0.7" right="0.7" top="0.75" bottom="0.75" header="0.3" footer="0.3"/>
  <headerFooter>
    <oddHeader/>
    <oddFooter>&amp;C&amp;"Aptos"&amp;10 &amp;K000000_x000d_# Barings-Public</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2016-09-26T14:09:41Z</dcterms:created>
  <dcterms:modified xsi:type="dcterms:W3CDTF">2026-04-29T01:34:19Z</dcterms:modified>
  <cp:lastModifiedBy>Drew Peterson</cp:lastModifiedBy>
  <cp:lastPrinted>2024-04-18T22:43:08Z</cp:lastPrinted>
</cp:coreProperties>
</file>

<file path=docProps/custom.xml><?xml version="1.0" encoding="utf-8"?>
<Properties xmlns:vt="http://schemas.openxmlformats.org/officeDocument/2006/docPropsVTypes" xmlns="http://schemas.openxmlformats.org/officeDocument/2006/custom-properties">
  <property name="MSIP_Label_7a9b4e55-d4a1-422d-960f-5eb66d4619d8_Enabled" fmtid="{D5CDD505-2E9C-101B-9397-08002B2CF9AE}" pid="2">
    <vt:lpwstr>true</vt:lpwstr>
  </property>
  <property name="MSIP_Label_7a9b4e55-d4a1-422d-960f-5eb66d4619d8_SetDate" fmtid="{D5CDD505-2E9C-101B-9397-08002B2CF9AE}" pid="3">
    <vt:lpwstr>2026-03-17T18:30:45Z</vt:lpwstr>
  </property>
  <property name="MSIP_Label_7a9b4e55-d4a1-422d-960f-5eb66d4619d8_Method" fmtid="{D5CDD505-2E9C-101B-9397-08002B2CF9AE}" pid="4">
    <vt:lpwstr>Privileged</vt:lpwstr>
  </property>
  <property name="MSIP_Label_7a9b4e55-d4a1-422d-960f-5eb66d4619d8_Name" fmtid="{D5CDD505-2E9C-101B-9397-08002B2CF9AE}" pid="5">
    <vt:lpwstr>Public</vt:lpwstr>
  </property>
  <property name="MSIP_Label_7a9b4e55-d4a1-422d-960f-5eb66d4619d8_SiteId" fmtid="{D5CDD505-2E9C-101B-9397-08002B2CF9AE}" pid="6">
    <vt:lpwstr>ce78e7b0-e32a-4428-9390-1c2ec8a59c47</vt:lpwstr>
  </property>
  <property name="MSIP_Label_7a9b4e55-d4a1-422d-960f-5eb66d4619d8_ActionId" fmtid="{D5CDD505-2E9C-101B-9397-08002B2CF9AE}" pid="7">
    <vt:lpwstr>92952cb8-0300-4b75-a299-cb54027971f3</vt:lpwstr>
  </property>
  <property name="MSIP_Label_7a9b4e55-d4a1-422d-960f-5eb66d4619d8_ContentBits" fmtid="{D5CDD505-2E9C-101B-9397-08002B2CF9AE}" pid="8">
    <vt:lpwstr>2</vt:lpwstr>
  </property>
  <property name="MSIP_Label_7a9b4e55-d4a1-422d-960f-5eb66d4619d8_Tag" fmtid="{D5CDD505-2E9C-101B-9397-08002B2CF9AE}" pid="9">
    <vt:lpwstr>10, 0, 1, 1</vt:lpwstr>
  </property>
</Properties>
</file>