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2434ef0feffdd206/Documents/Tryon Capital Group/Origination ^0 Due Diligence/"/>
    </mc:Choice>
  </mc:AlternateContent>
  <xr:revisionPtr revIDLastSave="742" documentId="13_ncr:1_{AF47EFD1-DEF7-4D96-959F-C8937757AD83}" xr6:coauthVersionLast="47" xr6:coauthVersionMax="47" xr10:uidLastSave="{C79AC225-EE1B-4DA9-B707-9F6D8DBC9B58}"/>
  <bookViews>
    <workbookView xWindow="-28920" yWindow="-120" windowWidth="29040" windowHeight="15720" activeTab="1" xr2:uid="{00000000-000D-0000-FFFF-FFFF00000000}"/>
  </bookViews>
  <sheets>
    <sheet name="Deal Sheet" sheetId="15" r:id="rId1"/>
    <sheet name="Inputs &amp; Summary" sheetId="1" r:id="rId2"/>
    <sheet name="Data Validation" sheetId="16" state="hidden" r:id="rId3"/>
    <sheet name="Monthly Proforma" sheetId="3" r:id="rId4"/>
    <sheet name="Annual Proforma" sheetId="10" r:id="rId5"/>
    <sheet name="Amortization Schedule - Annual" sheetId="4" state="hidden" r:id="rId6"/>
    <sheet name="Amortization Schedule - Monthly" sheetId="7" state="hidden" r:id="rId7"/>
  </sheets>
  <definedNames>
    <definedName name="Am_Sched_Mnthly">'Amortization Schedule - Monthly'!$B$3:$F$362</definedName>
    <definedName name="Am_Sched_Mnthly_Mnths">'Amortization Schedule - Monthly'!$B$3:$B$362</definedName>
    <definedName name="AskingPrice">'Inputs &amp; Summary'!$D$7</definedName>
    <definedName name="AssessedValue">'Inputs &amp; Summary'!$D$70</definedName>
    <definedName name="Bathrooms">'Inputs &amp; Summary'!$D$9</definedName>
    <definedName name="Bedrooms">'Inputs &amp; Summary'!$D$8</definedName>
    <definedName name="CityState">'Inputs &amp; Summary'!$D$4</definedName>
    <definedName name="ExpenseGrowth">'Inputs &amp; Summary'!$D$96</definedName>
    <definedName name="IncomeGrowth">'Inputs &amp; Summary'!$D$95</definedName>
    <definedName name="InPlaceRent">'Inputs &amp; Summary'!$D$56</definedName>
    <definedName name="ListingDate">'Inputs &amp; Summary'!$D$5</definedName>
    <definedName name="LoanAmortization">'Inputs &amp; Summary'!$D$41</definedName>
    <definedName name="LoanAmount">'Inputs &amp; Summary'!$P$12</definedName>
    <definedName name="LoanRate">'Inputs &amp; Summary'!$D$39</definedName>
    <definedName name="MillageRateGrowth">'Inputs &amp; Summary'!$D$99</definedName>
    <definedName name="PriceAppreciation">'Inputs &amp; Summary'!$D$97</definedName>
    <definedName name="PurchasePrice">'Inputs &amp; Summary'!$D$17</definedName>
    <definedName name="ReassessmentFreq">'Inputs &amp; Summary'!$D$72</definedName>
    <definedName name="RentCastRent">'Inputs &amp; Summary'!$D$58</definedName>
    <definedName name="SellerConcessions">'Inputs &amp; Summary'!$D$28</definedName>
    <definedName name="SquareFootage">'Inputs &amp; Summary'!$D$10</definedName>
    <definedName name="StreetAddress">'Inputs &amp; Summary'!$D$3</definedName>
    <definedName name="TaxValueAppreciation">'Inputs &amp; Summary'!$D$98</definedName>
    <definedName name="Units">'Inputs &amp; Summary'!$D$11</definedName>
    <definedName name="YearBuilt">'Inputs &amp; Summary'!$D$6</definedName>
  </definedNames>
  <calcPr calcId="191028"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 r="G13" i="1"/>
  <c r="D16" i="3" s="1"/>
  <c r="D114" i="1"/>
  <c r="D116" i="1" s="1"/>
  <c r="D79" i="1"/>
  <c r="G14" i="1" s="1"/>
  <c r="D78" i="1"/>
  <c r="O5" i="1"/>
  <c r="D106" i="1" s="1"/>
  <c r="D85" i="1"/>
  <c r="D31" i="1"/>
  <c r="D30" i="1"/>
  <c r="D29" i="1"/>
  <c r="D23" i="1"/>
  <c r="D19" i="1"/>
  <c r="D18" i="1"/>
  <c r="D49" i="1"/>
  <c r="D20" i="1"/>
  <c r="C8" i="10"/>
  <c r="D105" i="1"/>
  <c r="L10" i="1"/>
  <c r="K2" i="1"/>
  <c r="D29" i="3"/>
  <c r="D3" i="3"/>
  <c r="D2" i="3"/>
  <c r="D18" i="3"/>
  <c r="D13" i="3"/>
  <c r="K11" i="1"/>
  <c r="D73" i="1" l="1"/>
  <c r="D63" i="1"/>
  <c r="D119" i="1" l="1"/>
  <c r="D111" i="1"/>
  <c r="P12" i="1"/>
  <c r="B56" i="3"/>
  <c r="B53" i="10" s="1"/>
  <c r="J9" i="15"/>
  <c r="B32" i="3"/>
  <c r="B29" i="10" s="1"/>
  <c r="P18" i="1"/>
  <c r="D32" i="3" s="1"/>
  <c r="P17" i="1"/>
  <c r="D37" i="1" l="1"/>
  <c r="D40" i="1" s="1"/>
  <c r="D47" i="1"/>
  <c r="D42" i="1"/>
  <c r="C29" i="10"/>
  <c r="K9" i="15"/>
  <c r="P21" i="1"/>
  <c r="K20" i="1" l="1"/>
  <c r="K30" i="1" s="1"/>
  <c r="G20" i="1"/>
  <c r="P16" i="1"/>
  <c r="G30" i="1" l="1"/>
  <c r="G22" i="1"/>
  <c r="S6" i="1"/>
  <c r="S7" i="1" s="1"/>
  <c r="S8" i="1" s="1"/>
  <c r="S15" i="1" s="1"/>
  <c r="D46" i="1" l="1"/>
  <c r="J10" i="15" l="1"/>
  <c r="B33" i="3"/>
  <c r="B30" i="10" s="1"/>
  <c r="B31" i="3"/>
  <c r="B28" i="10" s="1"/>
  <c r="B30" i="3"/>
  <c r="B27" i="10" s="1"/>
  <c r="K10" i="15"/>
  <c r="B57" i="3"/>
  <c r="B54" i="10" s="1"/>
  <c r="J7" i="15"/>
  <c r="J8" i="15"/>
  <c r="J6" i="15"/>
  <c r="D39" i="1"/>
  <c r="G4" i="1"/>
  <c r="G5" i="1" s="1"/>
  <c r="G18" i="1"/>
  <c r="D21" i="3" s="1"/>
  <c r="G16" i="1"/>
  <c r="D19" i="3" s="1"/>
  <c r="H15" i="1"/>
  <c r="L15" i="1" s="1"/>
  <c r="N6" i="15"/>
  <c r="F4" i="1"/>
  <c r="B5" i="10" s="1"/>
  <c r="D6" i="3"/>
  <c r="O4" i="1"/>
  <c r="D45" i="1"/>
  <c r="K5" i="15"/>
  <c r="H15" i="15"/>
  <c r="D118" i="1"/>
  <c r="H16" i="15"/>
  <c r="B23" i="15"/>
  <c r="B14" i="15"/>
  <c r="B15" i="15"/>
  <c r="B16" i="15"/>
  <c r="B17" i="15"/>
  <c r="B13" i="15"/>
  <c r="M4" i="15"/>
  <c r="M5" i="15"/>
  <c r="M6" i="15"/>
  <c r="M7" i="15"/>
  <c r="M8" i="15"/>
  <c r="M9" i="15"/>
  <c r="M10" i="15"/>
  <c r="M11" i="15"/>
  <c r="M12" i="15"/>
  <c r="M13" i="15"/>
  <c r="M14" i="15"/>
  <c r="M15" i="15"/>
  <c r="M16" i="15"/>
  <c r="M3" i="15"/>
  <c r="B6" i="15"/>
  <c r="B2" i="15"/>
  <c r="D3" i="10"/>
  <c r="E3" i="10" s="1"/>
  <c r="F3" i="10" s="1"/>
  <c r="G3" i="10" s="1"/>
  <c r="H3" i="10" s="1"/>
  <c r="I3" i="10" s="1"/>
  <c r="J3" i="10" s="1"/>
  <c r="K3" i="10" s="1"/>
  <c r="L3" i="10" s="1"/>
  <c r="M3" i="10" s="1"/>
  <c r="B4" i="7"/>
  <c r="B5" i="7"/>
  <c r="B6" i="7"/>
  <c r="B7" i="7"/>
  <c r="B8" i="7"/>
  <c r="B9" i="7"/>
  <c r="B4" i="4"/>
  <c r="D5" i="3"/>
  <c r="E8" i="3"/>
  <c r="B5" i="4"/>
  <c r="B10" i="7"/>
  <c r="B6" i="4"/>
  <c r="B11" i="7"/>
  <c r="B7" i="4"/>
  <c r="B12" i="7"/>
  <c r="B8" i="4"/>
  <c r="B13" i="7"/>
  <c r="B9" i="4"/>
  <c r="B14" i="7"/>
  <c r="B10" i="4"/>
  <c r="B15" i="7"/>
  <c r="B11" i="4"/>
  <c r="B16" i="7"/>
  <c r="B12" i="4"/>
  <c r="B17" i="7"/>
  <c r="B13" i="4"/>
  <c r="B18" i="7"/>
  <c r="B14" i="4"/>
  <c r="B19" i="7"/>
  <c r="B15" i="4"/>
  <c r="B20" i="7"/>
  <c r="B16" i="4"/>
  <c r="B21" i="7"/>
  <c r="B17" i="4"/>
  <c r="B22" i="7"/>
  <c r="B18" i="4"/>
  <c r="B23" i="7"/>
  <c r="B19" i="4"/>
  <c r="B24" i="7"/>
  <c r="B20" i="4"/>
  <c r="B25" i="7"/>
  <c r="B21" i="4"/>
  <c r="B26" i="7"/>
  <c r="B22" i="4"/>
  <c r="B27" i="7"/>
  <c r="B23" i="4"/>
  <c r="B28" i="7"/>
  <c r="B24" i="4"/>
  <c r="B29" i="7"/>
  <c r="B25" i="4"/>
  <c r="B30" i="7"/>
  <c r="B26" i="4"/>
  <c r="B31" i="7"/>
  <c r="B27" i="4"/>
  <c r="B32" i="7"/>
  <c r="B28" i="4"/>
  <c r="B33" i="7"/>
  <c r="B29" i="4"/>
  <c r="B34" i="7"/>
  <c r="B30" i="4"/>
  <c r="B35" i="7"/>
  <c r="B31" i="4"/>
  <c r="B36" i="7"/>
  <c r="B32" i="4"/>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C7" i="15"/>
  <c r="D7" i="15" s="1"/>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7"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K4" i="1"/>
  <c r="K5" i="1" s="1"/>
  <c r="K8" i="1" s="1"/>
  <c r="K10" i="1" s="1"/>
  <c r="D64" i="1"/>
  <c r="D121" i="1" l="1"/>
  <c r="D117" i="1"/>
  <c r="C17" i="15"/>
  <c r="D17" i="15" s="1"/>
  <c r="D20" i="3"/>
  <c r="G25" i="1"/>
  <c r="F8" i="3"/>
  <c r="E5" i="3"/>
  <c r="E39" i="3"/>
  <c r="E59" i="3" s="1"/>
  <c r="E58" i="3"/>
  <c r="E4" i="3"/>
  <c r="E40" i="3"/>
  <c r="E60" i="3" s="1"/>
  <c r="E7" i="3"/>
  <c r="E6" i="3"/>
  <c r="C13" i="15"/>
  <c r="D13" i="15" s="1"/>
  <c r="C26" i="10"/>
  <c r="J4" i="1"/>
  <c r="C10" i="3"/>
  <c r="E10" i="3" s="1"/>
  <c r="E18" i="3" s="1"/>
  <c r="H5" i="1"/>
  <c r="G8" i="1"/>
  <c r="C6" i="15" s="1"/>
  <c r="D279" i="7"/>
  <c r="N5" i="15"/>
  <c r="E7" i="15" s="1"/>
  <c r="D18" i="4"/>
  <c r="E314" i="7"/>
  <c r="D9" i="7"/>
  <c r="D125" i="7"/>
  <c r="D64" i="7"/>
  <c r="E158" i="7"/>
  <c r="D90" i="7"/>
  <c r="D308" i="7"/>
  <c r="E91" i="7"/>
  <c r="D197" i="7"/>
  <c r="D33" i="3"/>
  <c r="C30" i="10" s="1"/>
  <c r="E169" i="7"/>
  <c r="D32" i="4"/>
  <c r="E58" i="7"/>
  <c r="D306" i="7"/>
  <c r="E239" i="7"/>
  <c r="D57" i="7"/>
  <c r="D127" i="7"/>
  <c r="D247" i="7"/>
  <c r="E184" i="7"/>
  <c r="D179" i="7"/>
  <c r="D192" i="7"/>
  <c r="E99" i="7"/>
  <c r="E43" i="7"/>
  <c r="D133" i="7"/>
  <c r="E40" i="7"/>
  <c r="E3" i="4"/>
  <c r="D70" i="7"/>
  <c r="E116" i="7"/>
  <c r="D359" i="7"/>
  <c r="D293" i="7"/>
  <c r="B10" i="3"/>
  <c r="E50" i="7"/>
  <c r="E231" i="7"/>
  <c r="E178" i="7"/>
  <c r="E175" i="7"/>
  <c r="E166" i="7"/>
  <c r="D24" i="7"/>
  <c r="D220" i="7"/>
  <c r="D10" i="3"/>
  <c r="E15" i="7"/>
  <c r="D53" i="7"/>
  <c r="E192" i="7"/>
  <c r="D356" i="7"/>
  <c r="D246" i="7"/>
  <c r="E3" i="7"/>
  <c r="E52" i="3" s="1"/>
  <c r="E147" i="7"/>
  <c r="E223" i="7"/>
  <c r="E362" i="7"/>
  <c r="E220" i="7"/>
  <c r="D87" i="7"/>
  <c r="D259" i="7"/>
  <c r="D103" i="7"/>
  <c r="D292" i="7"/>
  <c r="D262" i="7"/>
  <c r="D10" i="7"/>
  <c r="D31" i="3"/>
  <c r="C28" i="10" s="1"/>
  <c r="K8" i="15"/>
  <c r="E163" i="7"/>
  <c r="D280" i="7"/>
  <c r="D325" i="7"/>
  <c r="D166" i="7"/>
  <c r="E235" i="7"/>
  <c r="E47" i="7"/>
  <c r="D272" i="7"/>
  <c r="E149" i="7"/>
  <c r="E63" i="7"/>
  <c r="E253" i="7"/>
  <c r="D266" i="7"/>
  <c r="D33" i="7"/>
  <c r="E109" i="7"/>
  <c r="D93" i="7"/>
  <c r="D98" i="7"/>
  <c r="E241" i="7"/>
  <c r="E78" i="7"/>
  <c r="E300" i="7"/>
  <c r="D123" i="7"/>
  <c r="E119" i="7"/>
  <c r="D171" i="7"/>
  <c r="D319" i="7"/>
  <c r="D315" i="7"/>
  <c r="D299" i="7"/>
  <c r="D128" i="7"/>
  <c r="D255" i="7"/>
  <c r="E28" i="4"/>
  <c r="E85" i="7"/>
  <c r="D34" i="7"/>
  <c r="E153" i="7"/>
  <c r="D243" i="7"/>
  <c r="E10" i="4"/>
  <c r="D36" i="7"/>
  <c r="D15" i="7"/>
  <c r="D329" i="7"/>
  <c r="E182" i="7"/>
  <c r="D61" i="7"/>
  <c r="D204" i="7"/>
  <c r="D253" i="7"/>
  <c r="D184" i="7"/>
  <c r="E332" i="7"/>
  <c r="D252" i="7"/>
  <c r="D83" i="7"/>
  <c r="E26" i="7"/>
  <c r="D208" i="7"/>
  <c r="D291" i="7"/>
  <c r="D40" i="7"/>
  <c r="D214" i="7"/>
  <c r="E122" i="7"/>
  <c r="E303" i="7"/>
  <c r="D270" i="7"/>
  <c r="D158" i="7"/>
  <c r="E32" i="4"/>
  <c r="E10" i="7"/>
  <c r="E357" i="7"/>
  <c r="E313" i="7"/>
  <c r="D4" i="4"/>
  <c r="D181" i="7"/>
  <c r="D25" i="4"/>
  <c r="E352" i="7"/>
  <c r="E350" i="7"/>
  <c r="E309" i="7"/>
  <c r="D29" i="4"/>
  <c r="E112" i="7"/>
  <c r="D217" i="7"/>
  <c r="D278" i="7"/>
  <c r="D6" i="7"/>
  <c r="E209" i="7"/>
  <c r="E41" i="7"/>
  <c r="E155" i="7"/>
  <c r="D147" i="7"/>
  <c r="D97" i="7"/>
  <c r="E87" i="7"/>
  <c r="E323" i="7"/>
  <c r="D216" i="7"/>
  <c r="D21" i="4"/>
  <c r="D129" i="7"/>
  <c r="E126" i="7"/>
  <c r="D139" i="7"/>
  <c r="D207" i="7"/>
  <c r="D27" i="7"/>
  <c r="E320" i="7"/>
  <c r="E29" i="7"/>
  <c r="E25" i="4"/>
  <c r="E93" i="7"/>
  <c r="E302" i="7"/>
  <c r="E286" i="7"/>
  <c r="E170" i="7"/>
  <c r="E120" i="7"/>
  <c r="E238" i="7"/>
  <c r="D318" i="7"/>
  <c r="E284" i="7"/>
  <c r="E6" i="4"/>
  <c r="D336" i="7"/>
  <c r="E129" i="7"/>
  <c r="D323" i="7"/>
  <c r="E269" i="7"/>
  <c r="E117" i="7"/>
  <c r="E310" i="7"/>
  <c r="D134" i="7"/>
  <c r="E39" i="7"/>
  <c r="E207" i="7"/>
  <c r="E168" i="7"/>
  <c r="E335" i="7"/>
  <c r="E82" i="7"/>
  <c r="D14" i="4"/>
  <c r="E64" i="7"/>
  <c r="D353" i="7"/>
  <c r="E152" i="7"/>
  <c r="D236" i="7"/>
  <c r="D12" i="7"/>
  <c r="D284" i="7"/>
  <c r="E56" i="7"/>
  <c r="D213" i="7"/>
  <c r="E88" i="7"/>
  <c r="E137" i="7"/>
  <c r="D138" i="7"/>
  <c r="D351" i="7"/>
  <c r="E42" i="7"/>
  <c r="D84" i="7"/>
  <c r="D30" i="4"/>
  <c r="D48" i="7"/>
  <c r="D120" i="7"/>
  <c r="D337" i="7"/>
  <c r="E144" i="7"/>
  <c r="D94" i="7"/>
  <c r="E255" i="7"/>
  <c r="D14" i="7"/>
  <c r="D206" i="7"/>
  <c r="E273" i="7"/>
  <c r="E360" i="7"/>
  <c r="E315" i="7"/>
  <c r="D194" i="7"/>
  <c r="D189" i="7"/>
  <c r="E242" i="7"/>
  <c r="E62" i="7"/>
  <c r="E277" i="7"/>
  <c r="D231" i="7"/>
  <c r="E276" i="7"/>
  <c r="D58" i="7"/>
  <c r="E185" i="7"/>
  <c r="D182" i="7"/>
  <c r="E66" i="7"/>
  <c r="E333" i="7"/>
  <c r="D20" i="4"/>
  <c r="D66" i="7"/>
  <c r="D27" i="4"/>
  <c r="E26" i="4"/>
  <c r="E189" i="7"/>
  <c r="D219" i="7"/>
  <c r="D160" i="7"/>
  <c r="D238" i="7"/>
  <c r="E188" i="7"/>
  <c r="D340" i="7"/>
  <c r="D112" i="7"/>
  <c r="D350" i="7"/>
  <c r="E222" i="7"/>
  <c r="D42" i="7"/>
  <c r="D256" i="7"/>
  <c r="D317" i="7"/>
  <c r="E9" i="7"/>
  <c r="D285" i="7"/>
  <c r="E96" i="7"/>
  <c r="E53" i="7"/>
  <c r="D282" i="7"/>
  <c r="E270" i="7"/>
  <c r="D56" i="7"/>
  <c r="D289" i="7"/>
  <c r="D114" i="7"/>
  <c r="D296" i="7"/>
  <c r="E317" i="7"/>
  <c r="E354" i="7"/>
  <c r="D137" i="7"/>
  <c r="D167" i="7"/>
  <c r="E229" i="7"/>
  <c r="D10" i="4"/>
  <c r="D334" i="7"/>
  <c r="E198" i="7"/>
  <c r="E328" i="7"/>
  <c r="D341" i="7"/>
  <c r="E114" i="7"/>
  <c r="E249" i="7"/>
  <c r="D297" i="7"/>
  <c r="E32" i="7"/>
  <c r="D196" i="7"/>
  <c r="D205" i="7"/>
  <c r="E199" i="7"/>
  <c r="E334" i="7"/>
  <c r="D312" i="7"/>
  <c r="D30" i="7"/>
  <c r="D155" i="7"/>
  <c r="D3" i="7"/>
  <c r="E53" i="3" s="1"/>
  <c r="D124" i="7"/>
  <c r="D170" i="7"/>
  <c r="E24" i="4"/>
  <c r="D300" i="7"/>
  <c r="E15" i="4"/>
  <c r="D4" i="7"/>
  <c r="E349" i="7"/>
  <c r="D15" i="4"/>
  <c r="D106" i="7"/>
  <c r="D276" i="7"/>
  <c r="D310" i="7"/>
  <c r="D161" i="7"/>
  <c r="D89" i="7"/>
  <c r="E38" i="7"/>
  <c r="E4" i="4"/>
  <c r="E125" i="7"/>
  <c r="E121" i="7"/>
  <c r="E311" i="7"/>
  <c r="D140" i="7"/>
  <c r="D116" i="7"/>
  <c r="D104" i="7"/>
  <c r="D16" i="4"/>
  <c r="E234" i="7"/>
  <c r="E191" i="7"/>
  <c r="E173" i="7"/>
  <c r="E20" i="4"/>
  <c r="D349" i="7"/>
  <c r="D355" i="7"/>
  <c r="D327" i="7"/>
  <c r="D248" i="7"/>
  <c r="E22" i="4"/>
  <c r="D342" i="7"/>
  <c r="D110" i="7"/>
  <c r="E134" i="7"/>
  <c r="E73" i="7"/>
  <c r="D107" i="7"/>
  <c r="D178" i="7"/>
  <c r="D267" i="7"/>
  <c r="E214" i="7"/>
  <c r="D6" i="4"/>
  <c r="E256" i="7"/>
  <c r="D281" i="7"/>
  <c r="D96" i="7"/>
  <c r="H5" i="15"/>
  <c r="E83" i="7"/>
  <c r="D295" i="7"/>
  <c r="E86" i="7"/>
  <c r="D203" i="7"/>
  <c r="E37" i="7"/>
  <c r="E359" i="7"/>
  <c r="E227" i="7"/>
  <c r="E257" i="7"/>
  <c r="D244" i="7"/>
  <c r="E4" i="7"/>
  <c r="D118" i="7"/>
  <c r="E212" i="7"/>
  <c r="E8" i="7"/>
  <c r="E13" i="7"/>
  <c r="E296" i="7"/>
  <c r="E287" i="7"/>
  <c r="E274" i="7"/>
  <c r="D283" i="7"/>
  <c r="D193" i="7"/>
  <c r="E283" i="7"/>
  <c r="D68" i="7"/>
  <c r="E208" i="7"/>
  <c r="D76" i="7"/>
  <c r="E344" i="7"/>
  <c r="E217" i="7"/>
  <c r="E196" i="7"/>
  <c r="E177" i="7"/>
  <c r="D313" i="7"/>
  <c r="E190" i="7"/>
  <c r="E74" i="7"/>
  <c r="D227" i="7"/>
  <c r="D132" i="7"/>
  <c r="D71" i="7"/>
  <c r="D67" i="7"/>
  <c r="E17" i="4"/>
  <c r="D24" i="4"/>
  <c r="E160" i="7"/>
  <c r="E136" i="7"/>
  <c r="E290" i="7"/>
  <c r="D331" i="7"/>
  <c r="D183" i="7"/>
  <c r="D105" i="7"/>
  <c r="D18" i="7"/>
  <c r="E171" i="7"/>
  <c r="E312" i="7"/>
  <c r="D113" i="7"/>
  <c r="E297" i="7"/>
  <c r="D321" i="7"/>
  <c r="D239" i="7"/>
  <c r="E356" i="7"/>
  <c r="E46" i="7"/>
  <c r="D202" i="7"/>
  <c r="E195" i="7"/>
  <c r="E174" i="7"/>
  <c r="D311" i="7"/>
  <c r="E337" i="7"/>
  <c r="E34" i="7"/>
  <c r="D28" i="4"/>
  <c r="D223" i="7"/>
  <c r="E68" i="7"/>
  <c r="E264" i="7"/>
  <c r="E291" i="7"/>
  <c r="E48" i="7"/>
  <c r="D314" i="7"/>
  <c r="E70" i="7"/>
  <c r="E183" i="7"/>
  <c r="D225" i="7"/>
  <c r="E347" i="7"/>
  <c r="E12" i="4"/>
  <c r="D88" i="7"/>
  <c r="D13" i="7"/>
  <c r="D347" i="7"/>
  <c r="E127" i="7"/>
  <c r="D50" i="7"/>
  <c r="D43" i="7"/>
  <c r="D251" i="7"/>
  <c r="D298" i="7"/>
  <c r="D249" i="7"/>
  <c r="E124" i="7"/>
  <c r="E156" i="7"/>
  <c r="E133" i="7"/>
  <c r="D260" i="7"/>
  <c r="E298" i="7"/>
  <c r="D187" i="7"/>
  <c r="E30" i="7"/>
  <c r="D77" i="7"/>
  <c r="D9" i="4"/>
  <c r="D177" i="7"/>
  <c r="E7" i="4"/>
  <c r="E14" i="7"/>
  <c r="D28" i="7"/>
  <c r="E84" i="7"/>
  <c r="D360" i="7"/>
  <c r="E20" i="7"/>
  <c r="D22" i="7"/>
  <c r="E289" i="7"/>
  <c r="E94" i="7"/>
  <c r="E282" i="7"/>
  <c r="D346" i="7"/>
  <c r="D320" i="7"/>
  <c r="E299" i="7"/>
  <c r="E226" i="7"/>
  <c r="D16" i="7"/>
  <c r="E326" i="7"/>
  <c r="D277" i="7"/>
  <c r="D38" i="7"/>
  <c r="E348" i="7"/>
  <c r="E261" i="7"/>
  <c r="D242" i="7"/>
  <c r="D362" i="7"/>
  <c r="D345" i="7"/>
  <c r="E165" i="7"/>
  <c r="E262" i="7"/>
  <c r="D226" i="7"/>
  <c r="E203" i="7"/>
  <c r="D357" i="7"/>
  <c r="E6" i="7"/>
  <c r="D131" i="7"/>
  <c r="D237" i="7"/>
  <c r="E329" i="7"/>
  <c r="E55" i="7"/>
  <c r="E278" i="7"/>
  <c r="E92" i="7"/>
  <c r="D294" i="7"/>
  <c r="E150" i="7"/>
  <c r="E346" i="7"/>
  <c r="D151" i="7"/>
  <c r="E22" i="7"/>
  <c r="D141" i="7"/>
  <c r="D78" i="7"/>
  <c r="D164" i="7"/>
  <c r="D201" i="7"/>
  <c r="D17" i="4"/>
  <c r="D19" i="7"/>
  <c r="E232" i="7"/>
  <c r="E265" i="7"/>
  <c r="D74" i="7"/>
  <c r="D44" i="7"/>
  <c r="E187" i="7"/>
  <c r="D159" i="7"/>
  <c r="D309" i="7"/>
  <c r="E113" i="7"/>
  <c r="D81" i="7"/>
  <c r="E224" i="7"/>
  <c r="E225" i="7"/>
  <c r="D240" i="7"/>
  <c r="E140" i="7"/>
  <c r="E236" i="7"/>
  <c r="E179" i="7"/>
  <c r="D169" i="7"/>
  <c r="E14" i="4"/>
  <c r="E250" i="7"/>
  <c r="E57" i="7"/>
  <c r="E340" i="7"/>
  <c r="E341" i="7"/>
  <c r="E27" i="7"/>
  <c r="C3" i="4"/>
  <c r="D65" i="7"/>
  <c r="E142" i="7"/>
  <c r="D45" i="7"/>
  <c r="E325" i="7"/>
  <c r="D122" i="7"/>
  <c r="D108" i="7"/>
  <c r="E12" i="7"/>
  <c r="E11" i="7"/>
  <c r="D358" i="7"/>
  <c r="E176" i="7"/>
  <c r="E123" i="7"/>
  <c r="D142" i="7"/>
  <c r="E19" i="4"/>
  <c r="E275" i="7"/>
  <c r="E216" i="7"/>
  <c r="E5" i="7"/>
  <c r="D26" i="7"/>
  <c r="E89" i="7"/>
  <c r="D148" i="7"/>
  <c r="D86" i="7"/>
  <c r="D230" i="7"/>
  <c r="D41" i="7"/>
  <c r="D100" i="7"/>
  <c r="D115" i="7"/>
  <c r="E233" i="7"/>
  <c r="E61" i="7"/>
  <c r="D221" i="7"/>
  <c r="E358" i="7"/>
  <c r="D72" i="7"/>
  <c r="E213" i="7"/>
  <c r="D29" i="7"/>
  <c r="E81" i="7"/>
  <c r="D51" i="7"/>
  <c r="D339" i="7"/>
  <c r="D111" i="7"/>
  <c r="E355" i="7"/>
  <c r="E307" i="7"/>
  <c r="D153" i="7"/>
  <c r="E118" i="7"/>
  <c r="D288" i="7"/>
  <c r="D3" i="4"/>
  <c r="D232" i="7"/>
  <c r="D162" i="7"/>
  <c r="D188" i="7"/>
  <c r="D119" i="7"/>
  <c r="E324" i="7"/>
  <c r="E51" i="7"/>
  <c r="E206" i="7"/>
  <c r="E331" i="7"/>
  <c r="D269" i="7"/>
  <c r="E11" i="4"/>
  <c r="E247" i="7"/>
  <c r="D55" i="7"/>
  <c r="D63" i="7"/>
  <c r="D31" i="7"/>
  <c r="D215" i="7"/>
  <c r="D172" i="7"/>
  <c r="E143" i="7"/>
  <c r="E23" i="4"/>
  <c r="E318" i="7"/>
  <c r="D348" i="7"/>
  <c r="D304" i="7"/>
  <c r="D11" i="4"/>
  <c r="D154" i="7"/>
  <c r="D305" i="7"/>
  <c r="D109" i="7"/>
  <c r="E97" i="7"/>
  <c r="D75" i="7"/>
  <c r="D173" i="7"/>
  <c r="E193" i="7"/>
  <c r="D73" i="7"/>
  <c r="E205" i="7"/>
  <c r="E254" i="7"/>
  <c r="D79" i="7"/>
  <c r="E248" i="7"/>
  <c r="D82" i="7"/>
  <c r="D261" i="7"/>
  <c r="D62" i="7"/>
  <c r="E211" i="7"/>
  <c r="E16" i="7"/>
  <c r="D39" i="7"/>
  <c r="D143" i="7"/>
  <c r="E306" i="7"/>
  <c r="D344" i="7"/>
  <c r="E148" i="7"/>
  <c r="E271" i="7"/>
  <c r="D136" i="7"/>
  <c r="D254" i="7"/>
  <c r="E24" i="7"/>
  <c r="E132" i="7"/>
  <c r="E5" i="4"/>
  <c r="D322" i="7"/>
  <c r="D19" i="4"/>
  <c r="E108" i="7"/>
  <c r="E336" i="7"/>
  <c r="D209" i="7"/>
  <c r="E157" i="7"/>
  <c r="E215" i="7"/>
  <c r="E259" i="7"/>
  <c r="E292" i="7"/>
  <c r="E18" i="4"/>
  <c r="D303" i="7"/>
  <c r="E79" i="7"/>
  <c r="E69" i="7"/>
  <c r="E305" i="7"/>
  <c r="D7" i="4"/>
  <c r="E31" i="7"/>
  <c r="E321" i="7"/>
  <c r="D258" i="7"/>
  <c r="D274" i="7"/>
  <c r="D200" i="7"/>
  <c r="E172" i="7"/>
  <c r="D352" i="7"/>
  <c r="E243" i="7"/>
  <c r="D11" i="7"/>
  <c r="E202" i="7"/>
  <c r="D20" i="7"/>
  <c r="E201" i="7"/>
  <c r="D333" i="7"/>
  <c r="E342" i="7"/>
  <c r="D95" i="7"/>
  <c r="D165" i="7"/>
  <c r="E228" i="7"/>
  <c r="E322" i="7"/>
  <c r="D17" i="7"/>
  <c r="D145" i="7"/>
  <c r="D245" i="7"/>
  <c r="D343" i="7"/>
  <c r="E135" i="7"/>
  <c r="E131" i="7"/>
  <c r="E268" i="7"/>
  <c r="D307" i="7"/>
  <c r="E237" i="7"/>
  <c r="E111" i="7"/>
  <c r="E221" i="7"/>
  <c r="D268" i="7"/>
  <c r="D60" i="7"/>
  <c r="E218" i="7"/>
  <c r="E159" i="7"/>
  <c r="D332" i="7"/>
  <c r="D210" i="7"/>
  <c r="E52" i="7"/>
  <c r="E36" i="7"/>
  <c r="P14" i="1"/>
  <c r="D150" i="7"/>
  <c r="D324" i="7"/>
  <c r="E33" i="7"/>
  <c r="E285" i="7"/>
  <c r="E71" i="7"/>
  <c r="E186" i="7"/>
  <c r="E115" i="7"/>
  <c r="E219" i="7"/>
  <c r="D92" i="7"/>
  <c r="E272" i="7"/>
  <c r="D354" i="7"/>
  <c r="E151" i="7"/>
  <c r="E44" i="7"/>
  <c r="D101" i="7"/>
  <c r="E339" i="7"/>
  <c r="E145" i="7"/>
  <c r="E210" i="7"/>
  <c r="D175" i="7"/>
  <c r="E67" i="7"/>
  <c r="E330" i="7"/>
  <c r="E7" i="7"/>
  <c r="D211" i="7"/>
  <c r="D22" i="4"/>
  <c r="E204" i="7"/>
  <c r="D149" i="7"/>
  <c r="E35" i="7"/>
  <c r="E23" i="7"/>
  <c r="E59" i="7"/>
  <c r="D222" i="7"/>
  <c r="D301" i="7"/>
  <c r="E16" i="4"/>
  <c r="D8" i="7"/>
  <c r="D190" i="7"/>
  <c r="D49" i="7"/>
  <c r="D47" i="7"/>
  <c r="D229" i="7"/>
  <c r="D37" i="7"/>
  <c r="E267" i="7"/>
  <c r="E24" i="3"/>
  <c r="D199" i="7"/>
  <c r="E281" i="7"/>
  <c r="E266" i="7"/>
  <c r="E141" i="7"/>
  <c r="E244" i="7"/>
  <c r="E343" i="7"/>
  <c r="E288" i="7"/>
  <c r="D32" i="7"/>
  <c r="D316" i="7"/>
  <c r="E138" i="7"/>
  <c r="E338" i="7"/>
  <c r="D328" i="7"/>
  <c r="E246" i="7"/>
  <c r="E65" i="7"/>
  <c r="D80" i="7"/>
  <c r="E260" i="7"/>
  <c r="E128" i="7"/>
  <c r="D185" i="7"/>
  <c r="E77" i="7"/>
  <c r="E30" i="4"/>
  <c r="E230" i="7"/>
  <c r="D5" i="4"/>
  <c r="D326" i="7"/>
  <c r="C3" i="7"/>
  <c r="E49" i="7"/>
  <c r="D25" i="7"/>
  <c r="D56" i="3"/>
  <c r="C53" i="10" s="1"/>
  <c r="E353" i="7"/>
  <c r="D152" i="7"/>
  <c r="D168" i="7"/>
  <c r="E361" i="7"/>
  <c r="D241" i="7"/>
  <c r="E308" i="7"/>
  <c r="D21" i="7"/>
  <c r="E263" i="7"/>
  <c r="D176" i="7"/>
  <c r="D156" i="7"/>
  <c r="E60" i="7"/>
  <c r="D146" i="7"/>
  <c r="D54" i="7"/>
  <c r="E304" i="7"/>
  <c r="D361" i="7"/>
  <c r="E139" i="7"/>
  <c r="E19" i="7"/>
  <c r="E327" i="7"/>
  <c r="E161" i="7"/>
  <c r="E130" i="7"/>
  <c r="E301" i="7"/>
  <c r="E294" i="7"/>
  <c r="D287" i="7"/>
  <c r="D126" i="7"/>
  <c r="E154" i="7"/>
  <c r="E200" i="7"/>
  <c r="D130" i="7"/>
  <c r="E102" i="7"/>
  <c r="E25" i="7"/>
  <c r="D35" i="7"/>
  <c r="E110" i="7"/>
  <c r="E28" i="7"/>
  <c r="D191" i="7"/>
  <c r="D69" i="7"/>
  <c r="D264" i="7"/>
  <c r="E9" i="4"/>
  <c r="D250" i="7"/>
  <c r="D135" i="7"/>
  <c r="D85" i="7"/>
  <c r="D224" i="7"/>
  <c r="D228" i="7"/>
  <c r="E295" i="7"/>
  <c r="D174" i="7"/>
  <c r="E162" i="7"/>
  <c r="D338" i="7"/>
  <c r="E167" i="7"/>
  <c r="E29" i="4"/>
  <c r="E95" i="7"/>
  <c r="E76" i="7"/>
  <c r="E180" i="7"/>
  <c r="E345" i="7"/>
  <c r="E197" i="7"/>
  <c r="E54" i="7"/>
  <c r="E31" i="4"/>
  <c r="E104" i="7"/>
  <c r="E181" i="7"/>
  <c r="E258" i="7"/>
  <c r="E164" i="7"/>
  <c r="D265" i="7"/>
  <c r="E45" i="7"/>
  <c r="D273" i="7"/>
  <c r="E245" i="7"/>
  <c r="D286" i="7"/>
  <c r="E194" i="7"/>
  <c r="D5" i="7"/>
  <c r="D234" i="7"/>
  <c r="E105" i="7"/>
  <c r="E90" i="7"/>
  <c r="E101" i="7"/>
  <c r="D335" i="7"/>
  <c r="E240" i="7"/>
  <c r="D263" i="7"/>
  <c r="D163" i="7"/>
  <c r="E316" i="7"/>
  <c r="D13" i="4"/>
  <c r="D52" i="7"/>
  <c r="D144" i="7"/>
  <c r="D275" i="7"/>
  <c r="D186" i="7"/>
  <c r="E107" i="7"/>
  <c r="D8" i="4"/>
  <c r="E27" i="4"/>
  <c r="D218" i="7"/>
  <c r="E280" i="7"/>
  <c r="E18" i="7"/>
  <c r="D198" i="7"/>
  <c r="D235" i="7"/>
  <c r="E252" i="7"/>
  <c r="D121" i="7"/>
  <c r="E75" i="7"/>
  <c r="D290" i="7"/>
  <c r="N3" i="15"/>
  <c r="E6" i="15" s="1"/>
  <c r="K9" i="1"/>
  <c r="L11" i="1" s="1"/>
  <c r="D14" i="3" s="1"/>
  <c r="E21" i="7"/>
  <c r="D257" i="7"/>
  <c r="D180" i="7"/>
  <c r="D102" i="7"/>
  <c r="E98" i="7"/>
  <c r="E351" i="7"/>
  <c r="E8" i="4"/>
  <c r="D23" i="7"/>
  <c r="D99" i="7"/>
  <c r="D12" i="4"/>
  <c r="E17" i="7"/>
  <c r="D117" i="7"/>
  <c r="E13" i="4"/>
  <c r="D330" i="7"/>
  <c r="D59" i="7"/>
  <c r="C16" i="15"/>
  <c r="D16" i="15" s="1"/>
  <c r="K15" i="15"/>
  <c r="E293" i="7"/>
  <c r="D233" i="7"/>
  <c r="D157" i="7"/>
  <c r="D212" i="7"/>
  <c r="D195" i="7"/>
  <c r="D23" i="4"/>
  <c r="D26" i="4"/>
  <c r="E319" i="7"/>
  <c r="E21" i="4"/>
  <c r="E279" i="7"/>
  <c r="D46" i="7"/>
  <c r="D31" i="4"/>
  <c r="E103" i="7"/>
  <c r="D271" i="7"/>
  <c r="D91" i="7"/>
  <c r="E106" i="7"/>
  <c r="D7" i="7"/>
  <c r="E100" i="7"/>
  <c r="E251" i="7"/>
  <c r="E80" i="7"/>
  <c r="D302" i="7"/>
  <c r="E72" i="7"/>
  <c r="E146" i="7"/>
  <c r="C2" i="10"/>
  <c r="D2" i="10" s="1"/>
  <c r="E2" i="10" s="1"/>
  <c r="F2" i="10" s="1"/>
  <c r="G2" i="10" s="1"/>
  <c r="H2" i="10" s="1"/>
  <c r="I2" i="10" s="1"/>
  <c r="J2" i="10" s="1"/>
  <c r="K2" i="10" s="1"/>
  <c r="L2" i="10" s="1"/>
  <c r="M2" i="10" s="1"/>
  <c r="D30" i="3"/>
  <c r="K7" i="15"/>
  <c r="F5" i="3" l="1"/>
  <c r="F10" i="3" s="1"/>
  <c r="F18" i="3" s="1"/>
  <c r="F58" i="3"/>
  <c r="F39" i="3"/>
  <c r="F59" i="3" s="1"/>
  <c r="G8" i="3"/>
  <c r="G24" i="3" s="1"/>
  <c r="F52" i="3"/>
  <c r="F7" i="3"/>
  <c r="F40" i="3"/>
  <c r="F60" i="3" s="1"/>
  <c r="F4" i="3"/>
  <c r="F53" i="3"/>
  <c r="D17" i="3"/>
  <c r="E17" i="3" s="1"/>
  <c r="C14" i="15"/>
  <c r="D14" i="15" s="1"/>
  <c r="G5" i="3"/>
  <c r="G4" i="3"/>
  <c r="F6" i="3"/>
  <c r="G7" i="3"/>
  <c r="G52" i="3"/>
  <c r="G53" i="3"/>
  <c r="C11" i="10"/>
  <c r="E11" i="3"/>
  <c r="E12" i="3" s="1"/>
  <c r="E13" i="3" s="1"/>
  <c r="D34" i="3"/>
  <c r="D51" i="3" s="1"/>
  <c r="E8" i="15"/>
  <c r="P15" i="1"/>
  <c r="G9" i="1"/>
  <c r="H16" i="1" s="1"/>
  <c r="F3" i="4"/>
  <c r="C4" i="4" s="1"/>
  <c r="F4" i="4" s="1"/>
  <c r="C5" i="4" s="1"/>
  <c r="F5" i="4" s="1"/>
  <c r="C6" i="4" s="1"/>
  <c r="F6" i="4" s="1"/>
  <c r="C7" i="4" s="1"/>
  <c r="F7" i="4" s="1"/>
  <c r="C8" i="4" s="1"/>
  <c r="F8" i="4" s="1"/>
  <c r="C9" i="4" s="1"/>
  <c r="F9" i="4" s="1"/>
  <c r="C10" i="4" s="1"/>
  <c r="F10" i="4" s="1"/>
  <c r="C11" i="4" s="1"/>
  <c r="F11" i="4" s="1"/>
  <c r="C12" i="4" s="1"/>
  <c r="F12" i="4" s="1"/>
  <c r="C13" i="4" s="1"/>
  <c r="F13" i="4" s="1"/>
  <c r="C14" i="4" s="1"/>
  <c r="F14" i="4" s="1"/>
  <c r="C15" i="4" s="1"/>
  <c r="F15" i="4" s="1"/>
  <c r="C16" i="4" s="1"/>
  <c r="F16" i="4" s="1"/>
  <c r="C17" i="4" s="1"/>
  <c r="F17" i="4" s="1"/>
  <c r="C18" i="4" s="1"/>
  <c r="F18" i="4" s="1"/>
  <c r="C19" i="4" s="1"/>
  <c r="F19" i="4" s="1"/>
  <c r="C20" i="4" s="1"/>
  <c r="F20" i="4" s="1"/>
  <c r="C21" i="4" s="1"/>
  <c r="F21" i="4" s="1"/>
  <c r="C22" i="4" s="1"/>
  <c r="F22" i="4" s="1"/>
  <c r="C23" i="4" s="1"/>
  <c r="F23" i="4" s="1"/>
  <c r="C24" i="4" s="1"/>
  <c r="F24" i="4" s="1"/>
  <c r="C25" i="4" s="1"/>
  <c r="F25" i="4" s="1"/>
  <c r="C26" i="4" s="1"/>
  <c r="F26" i="4" s="1"/>
  <c r="C27" i="4" s="1"/>
  <c r="F27" i="4" s="1"/>
  <c r="C28" i="4" s="1"/>
  <c r="F28" i="4" s="1"/>
  <c r="C29" i="4" s="1"/>
  <c r="F29" i="4" s="1"/>
  <c r="C30" i="4" s="1"/>
  <c r="F30" i="4" s="1"/>
  <c r="C31" i="4" s="1"/>
  <c r="F31" i="4" s="1"/>
  <c r="C32" i="4" s="1"/>
  <c r="F32" i="4" s="1"/>
  <c r="F3" i="7"/>
  <c r="C4" i="7" s="1"/>
  <c r="F4" i="7" s="1"/>
  <c r="C5" i="7" s="1"/>
  <c r="F5" i="7" s="1"/>
  <c r="C6" i="7" s="1"/>
  <c r="F6" i="7" s="1"/>
  <c r="C7" i="7" s="1"/>
  <c r="F7" i="7" s="1"/>
  <c r="C8" i="7" s="1"/>
  <c r="F8" i="7" s="1"/>
  <c r="C9" i="7" s="1"/>
  <c r="F9" i="7" s="1"/>
  <c r="C10" i="7" s="1"/>
  <c r="F10" i="7" s="1"/>
  <c r="C11" i="7" s="1"/>
  <c r="F11" i="7" s="1"/>
  <c r="C12" i="7" s="1"/>
  <c r="F12" i="7" s="1"/>
  <c r="C13" i="7" s="1"/>
  <c r="F13" i="7" s="1"/>
  <c r="C14" i="7" s="1"/>
  <c r="F14" i="7" s="1"/>
  <c r="C15" i="7" s="1"/>
  <c r="F15" i="7" s="1"/>
  <c r="C16" i="7" s="1"/>
  <c r="F16" i="7" s="1"/>
  <c r="C17" i="7" s="1"/>
  <c r="F17" i="7" s="1"/>
  <c r="C18" i="7" s="1"/>
  <c r="F18" i="7" s="1"/>
  <c r="C19" i="7" s="1"/>
  <c r="F19" i="7" s="1"/>
  <c r="C20" i="7" s="1"/>
  <c r="F20" i="7" s="1"/>
  <c r="C21" i="7" s="1"/>
  <c r="F21" i="7" s="1"/>
  <c r="C22" i="7" s="1"/>
  <c r="F22" i="7" s="1"/>
  <c r="C23" i="7" s="1"/>
  <c r="F23" i="7" s="1"/>
  <c r="C24" i="7" s="1"/>
  <c r="F24" i="7" s="1"/>
  <c r="C25" i="7" s="1"/>
  <c r="F25" i="7" s="1"/>
  <c r="C26" i="7" s="1"/>
  <c r="F26" i="7" s="1"/>
  <c r="C27" i="7" s="1"/>
  <c r="F27" i="7" s="1"/>
  <c r="C28" i="7" s="1"/>
  <c r="F28" i="7" s="1"/>
  <c r="C29" i="7" s="1"/>
  <c r="F29" i="7" s="1"/>
  <c r="C30" i="7" s="1"/>
  <c r="F30" i="7" s="1"/>
  <c r="C31" i="7" s="1"/>
  <c r="F31" i="7" s="1"/>
  <c r="C32" i="7" s="1"/>
  <c r="F32" i="7" s="1"/>
  <c r="C33" i="7" s="1"/>
  <c r="F33" i="7" s="1"/>
  <c r="C34" i="7" s="1"/>
  <c r="F34" i="7" s="1"/>
  <c r="C35" i="7" s="1"/>
  <c r="F35" i="7" s="1"/>
  <c r="C36" i="7" s="1"/>
  <c r="F36" i="7" s="1"/>
  <c r="C37" i="7" s="1"/>
  <c r="F37" i="7" s="1"/>
  <c r="C38" i="7" s="1"/>
  <c r="F38" i="7" s="1"/>
  <c r="C39" i="7" s="1"/>
  <c r="F39" i="7" s="1"/>
  <c r="C40" i="7" s="1"/>
  <c r="F40" i="7" s="1"/>
  <c r="C41" i="7" s="1"/>
  <c r="F41" i="7" s="1"/>
  <c r="C42" i="7" s="1"/>
  <c r="F42" i="7" s="1"/>
  <c r="C43" i="7" s="1"/>
  <c r="F43" i="7" s="1"/>
  <c r="C44" i="7" s="1"/>
  <c r="F44" i="7" s="1"/>
  <c r="C45" i="7" s="1"/>
  <c r="F45" i="7" s="1"/>
  <c r="C46" i="7" s="1"/>
  <c r="F46" i="7" s="1"/>
  <c r="C47" i="7" s="1"/>
  <c r="F47" i="7" s="1"/>
  <c r="C48" i="7" s="1"/>
  <c r="F48" i="7" s="1"/>
  <c r="C49" i="7" s="1"/>
  <c r="F49" i="7" s="1"/>
  <c r="C50" i="7" s="1"/>
  <c r="F50" i="7" s="1"/>
  <c r="C51" i="7" s="1"/>
  <c r="F51" i="7" s="1"/>
  <c r="C52" i="7" s="1"/>
  <c r="F52" i="7" s="1"/>
  <c r="C53" i="7" s="1"/>
  <c r="F53" i="7" s="1"/>
  <c r="C54" i="7" s="1"/>
  <c r="F54" i="7" s="1"/>
  <c r="C55" i="7" s="1"/>
  <c r="F55" i="7" s="1"/>
  <c r="C56" i="7" s="1"/>
  <c r="F56" i="7" s="1"/>
  <c r="C57" i="7" s="1"/>
  <c r="F57" i="7" s="1"/>
  <c r="C58" i="7" s="1"/>
  <c r="F58" i="7" s="1"/>
  <c r="C59" i="7" s="1"/>
  <c r="F59" i="7" s="1"/>
  <c r="C60" i="7" s="1"/>
  <c r="F60" i="7" s="1"/>
  <c r="C61" i="7" s="1"/>
  <c r="F61" i="7" s="1"/>
  <c r="C62" i="7" s="1"/>
  <c r="F62" i="7" s="1"/>
  <c r="C63" i="7" s="1"/>
  <c r="F63" i="7" s="1"/>
  <c r="C64" i="7" s="1"/>
  <c r="F64" i="7" s="1"/>
  <c r="C65" i="7" s="1"/>
  <c r="F65" i="7" s="1"/>
  <c r="C66" i="7" s="1"/>
  <c r="F66" i="7" s="1"/>
  <c r="C67" i="7" s="1"/>
  <c r="F67" i="7" s="1"/>
  <c r="C68" i="7" s="1"/>
  <c r="F68" i="7" s="1"/>
  <c r="C69" i="7" s="1"/>
  <c r="F69" i="7" s="1"/>
  <c r="C70" i="7" s="1"/>
  <c r="F70" i="7" s="1"/>
  <c r="C71" i="7" s="1"/>
  <c r="F71" i="7" s="1"/>
  <c r="C72" i="7" s="1"/>
  <c r="F72" i="7" s="1"/>
  <c r="C73" i="7" s="1"/>
  <c r="F73" i="7" s="1"/>
  <c r="C74" i="7" s="1"/>
  <c r="F74" i="7" s="1"/>
  <c r="C75" i="7" s="1"/>
  <c r="F75" i="7" s="1"/>
  <c r="C76" i="7" s="1"/>
  <c r="F76" i="7" s="1"/>
  <c r="C77" i="7" s="1"/>
  <c r="F77" i="7" s="1"/>
  <c r="C78" i="7" s="1"/>
  <c r="F78" i="7" s="1"/>
  <c r="C79" i="7" s="1"/>
  <c r="F79" i="7" s="1"/>
  <c r="C80" i="7" s="1"/>
  <c r="F80" i="7" s="1"/>
  <c r="C81" i="7" s="1"/>
  <c r="F81" i="7" s="1"/>
  <c r="C82" i="7" s="1"/>
  <c r="F82" i="7" s="1"/>
  <c r="C83" i="7" s="1"/>
  <c r="F83" i="7" s="1"/>
  <c r="C84" i="7" s="1"/>
  <c r="F84" i="7" s="1"/>
  <c r="C85" i="7" s="1"/>
  <c r="F85" i="7" s="1"/>
  <c r="C86" i="7" s="1"/>
  <c r="F86" i="7" s="1"/>
  <c r="C87" i="7" s="1"/>
  <c r="F87" i="7" s="1"/>
  <c r="C88" i="7" s="1"/>
  <c r="F88" i="7" s="1"/>
  <c r="C89" i="7" s="1"/>
  <c r="F89" i="7" s="1"/>
  <c r="C90" i="7" s="1"/>
  <c r="F90" i="7" s="1"/>
  <c r="C91" i="7" s="1"/>
  <c r="F91" i="7" s="1"/>
  <c r="C92" i="7" s="1"/>
  <c r="F92" i="7" s="1"/>
  <c r="C93" i="7" s="1"/>
  <c r="F93" i="7" s="1"/>
  <c r="C94" i="7" s="1"/>
  <c r="F94" i="7" s="1"/>
  <c r="C95" i="7" s="1"/>
  <c r="F95" i="7" s="1"/>
  <c r="C96" i="7" s="1"/>
  <c r="F96" i="7" s="1"/>
  <c r="C97" i="7" s="1"/>
  <c r="F97" i="7" s="1"/>
  <c r="C98" i="7" s="1"/>
  <c r="F98" i="7" s="1"/>
  <c r="K12" i="1"/>
  <c r="N4" i="15"/>
  <c r="D24" i="3"/>
  <c r="F24" i="3"/>
  <c r="C8" i="15"/>
  <c r="D8" i="15" s="1"/>
  <c r="D6" i="15"/>
  <c r="C27" i="10"/>
  <c r="C31" i="10" s="1"/>
  <c r="P22" i="1" l="1"/>
  <c r="P19" i="1"/>
  <c r="G58" i="3"/>
  <c r="H8" i="3"/>
  <c r="H53" i="3" s="1"/>
  <c r="G40" i="3"/>
  <c r="G60" i="3" s="1"/>
  <c r="G39" i="3"/>
  <c r="G59" i="3" s="1"/>
  <c r="G6" i="3"/>
  <c r="F11" i="3"/>
  <c r="F12" i="3" s="1"/>
  <c r="F13" i="3" s="1"/>
  <c r="E14" i="3"/>
  <c r="E15" i="3" s="1"/>
  <c r="G10" i="3"/>
  <c r="G18" i="3" s="1"/>
  <c r="K15" i="1" s="1"/>
  <c r="C9" i="10"/>
  <c r="H17" i="1"/>
  <c r="H11" i="1"/>
  <c r="G12" i="1"/>
  <c r="G15" i="1" s="1"/>
  <c r="H13" i="1"/>
  <c r="H18" i="1"/>
  <c r="H14" i="1"/>
  <c r="C99" i="7"/>
  <c r="F99" i="7" s="1"/>
  <c r="C100" i="7" s="1"/>
  <c r="F100" i="7" s="1"/>
  <c r="C101" i="7" s="1"/>
  <c r="F101" i="7" s="1"/>
  <c r="C102" i="7" s="1"/>
  <c r="F102" i="7" s="1"/>
  <c r="C103" i="7" s="1"/>
  <c r="F103" i="7" s="1"/>
  <c r="C104" i="7" s="1"/>
  <c r="F104" i="7" s="1"/>
  <c r="C105" i="7" s="1"/>
  <c r="F105" i="7" s="1"/>
  <c r="C106" i="7" s="1"/>
  <c r="F106" i="7" s="1"/>
  <c r="C107" i="7" s="1"/>
  <c r="F107" i="7" s="1"/>
  <c r="C108" i="7" s="1"/>
  <c r="F108" i="7" s="1"/>
  <c r="C109" i="7" s="1"/>
  <c r="F109" i="7" s="1"/>
  <c r="C110" i="7" s="1"/>
  <c r="F110" i="7" s="1"/>
  <c r="C111" i="7" s="1"/>
  <c r="F111" i="7" s="1"/>
  <c r="C112" i="7" s="1"/>
  <c r="F112" i="7" s="1"/>
  <c r="C113" i="7" s="1"/>
  <c r="F113" i="7" s="1"/>
  <c r="C114" i="7" s="1"/>
  <c r="F114" i="7" s="1"/>
  <c r="C115" i="7" s="1"/>
  <c r="F115" i="7" s="1"/>
  <c r="C116" i="7" s="1"/>
  <c r="F116" i="7" s="1"/>
  <c r="C117" i="7" s="1"/>
  <c r="F117" i="7" s="1"/>
  <c r="C118" i="7" s="1"/>
  <c r="F118" i="7" s="1"/>
  <c r="C119" i="7" s="1"/>
  <c r="F119" i="7" s="1"/>
  <c r="C120" i="7" s="1"/>
  <c r="F120" i="7" s="1"/>
  <c r="C121" i="7" s="1"/>
  <c r="F121" i="7" s="1"/>
  <c r="C122" i="7" s="1"/>
  <c r="F122" i="7" s="1"/>
  <c r="C123" i="7" s="1"/>
  <c r="F123" i="7" s="1"/>
  <c r="C124" i="7" s="1"/>
  <c r="F124" i="7" s="1"/>
  <c r="C125" i="7" s="1"/>
  <c r="F125" i="7" s="1"/>
  <c r="C126" i="7" s="1"/>
  <c r="F126" i="7" s="1"/>
  <c r="C127" i="7" s="1"/>
  <c r="F127" i="7" s="1"/>
  <c r="C128" i="7" s="1"/>
  <c r="F128" i="7" s="1"/>
  <c r="C129" i="7" s="1"/>
  <c r="F129" i="7" s="1"/>
  <c r="C130" i="7" s="1"/>
  <c r="F130" i="7" s="1"/>
  <c r="C131" i="7" s="1"/>
  <c r="F131" i="7" s="1"/>
  <c r="C132" i="7" s="1"/>
  <c r="F132" i="7" s="1"/>
  <c r="C133" i="7" s="1"/>
  <c r="F133" i="7" s="1"/>
  <c r="C134" i="7" s="1"/>
  <c r="F134" i="7" s="1"/>
  <c r="C135" i="7" s="1"/>
  <c r="F135" i="7" s="1"/>
  <c r="C136" i="7" s="1"/>
  <c r="F136" i="7" s="1"/>
  <c r="C137" i="7" s="1"/>
  <c r="F137" i="7" s="1"/>
  <c r="C138" i="7" s="1"/>
  <c r="F138" i="7" s="1"/>
  <c r="C139" i="7" s="1"/>
  <c r="F139" i="7" s="1"/>
  <c r="C140" i="7" s="1"/>
  <c r="F140" i="7" s="1"/>
  <c r="C141" i="7" s="1"/>
  <c r="F141" i="7" s="1"/>
  <c r="C142" i="7" s="1"/>
  <c r="F142" i="7" s="1"/>
  <c r="C143" i="7" s="1"/>
  <c r="F143" i="7" s="1"/>
  <c r="C144" i="7" s="1"/>
  <c r="F144" i="7" s="1"/>
  <c r="C145" i="7" s="1"/>
  <c r="F145" i="7" s="1"/>
  <c r="C146" i="7" s="1"/>
  <c r="F146" i="7" s="1"/>
  <c r="C147" i="7" s="1"/>
  <c r="F147" i="7" s="1"/>
  <c r="C148" i="7" s="1"/>
  <c r="F148" i="7" s="1"/>
  <c r="C149" i="7" s="1"/>
  <c r="F149" i="7" s="1"/>
  <c r="C150" i="7" s="1"/>
  <c r="F150" i="7" s="1"/>
  <c r="C151" i="7" s="1"/>
  <c r="F151" i="7" s="1"/>
  <c r="C152" i="7" s="1"/>
  <c r="F152" i="7" s="1"/>
  <c r="C153" i="7" s="1"/>
  <c r="F153" i="7" s="1"/>
  <c r="C154" i="7" s="1"/>
  <c r="F154" i="7" s="1"/>
  <c r="C155" i="7" s="1"/>
  <c r="F155" i="7" s="1"/>
  <c r="C156" i="7" s="1"/>
  <c r="F156" i="7" s="1"/>
  <c r="C157" i="7" s="1"/>
  <c r="F157" i="7" s="1"/>
  <c r="C158" i="7" s="1"/>
  <c r="F158" i="7" s="1"/>
  <c r="C159" i="7" s="1"/>
  <c r="F159" i="7" s="1"/>
  <c r="C160" i="7" s="1"/>
  <c r="F160" i="7" s="1"/>
  <c r="C161" i="7" s="1"/>
  <c r="F161" i="7" s="1"/>
  <c r="C162" i="7" s="1"/>
  <c r="F162" i="7" s="1"/>
  <c r="C163" i="7" s="1"/>
  <c r="F163" i="7" s="1"/>
  <c r="C164" i="7" s="1"/>
  <c r="F164" i="7" s="1"/>
  <c r="C165" i="7" s="1"/>
  <c r="F165" i="7" s="1"/>
  <c r="C166" i="7" s="1"/>
  <c r="F166" i="7" s="1"/>
  <c r="C167" i="7" s="1"/>
  <c r="F167" i="7" s="1"/>
  <c r="C168" i="7" s="1"/>
  <c r="F168" i="7" s="1"/>
  <c r="C169" i="7" s="1"/>
  <c r="F169" i="7" s="1"/>
  <c r="C170" i="7" s="1"/>
  <c r="F170" i="7" s="1"/>
  <c r="C171" i="7" s="1"/>
  <c r="F171" i="7" s="1"/>
  <c r="C172" i="7" s="1"/>
  <c r="F172" i="7" s="1"/>
  <c r="C173" i="7" s="1"/>
  <c r="F173" i="7" s="1"/>
  <c r="C174" i="7" s="1"/>
  <c r="F174" i="7" s="1"/>
  <c r="C175" i="7" s="1"/>
  <c r="F175" i="7" s="1"/>
  <c r="C176" i="7" s="1"/>
  <c r="F176" i="7" s="1"/>
  <c r="C177" i="7" s="1"/>
  <c r="F177" i="7" s="1"/>
  <c r="C178" i="7" s="1"/>
  <c r="F178" i="7" s="1"/>
  <c r="C179" i="7" s="1"/>
  <c r="F179" i="7" s="1"/>
  <c r="C180" i="7" s="1"/>
  <c r="F180" i="7" s="1"/>
  <c r="C181" i="7" s="1"/>
  <c r="F181" i="7" s="1"/>
  <c r="C182" i="7" s="1"/>
  <c r="F182" i="7" s="1"/>
  <c r="C183" i="7" s="1"/>
  <c r="F183" i="7" s="1"/>
  <c r="C184" i="7" s="1"/>
  <c r="F184" i="7" s="1"/>
  <c r="C185" i="7" s="1"/>
  <c r="F185" i="7" s="1"/>
  <c r="C186" i="7" s="1"/>
  <c r="F186" i="7" s="1"/>
  <c r="C187" i="7" s="1"/>
  <c r="F187" i="7" s="1"/>
  <c r="C188" i="7" s="1"/>
  <c r="F188" i="7" s="1"/>
  <c r="C189" i="7" s="1"/>
  <c r="F189" i="7" s="1"/>
  <c r="C190" i="7" s="1"/>
  <c r="F190" i="7" s="1"/>
  <c r="C191" i="7" s="1"/>
  <c r="F191" i="7" s="1"/>
  <c r="C192" i="7" s="1"/>
  <c r="F192" i="7" s="1"/>
  <c r="C193" i="7" s="1"/>
  <c r="F193" i="7" s="1"/>
  <c r="C194" i="7" s="1"/>
  <c r="F194" i="7" s="1"/>
  <c r="C195" i="7" s="1"/>
  <c r="F195" i="7" s="1"/>
  <c r="C196" i="7" s="1"/>
  <c r="F196" i="7" s="1"/>
  <c r="C197" i="7" s="1"/>
  <c r="F197" i="7" s="1"/>
  <c r="C198" i="7" s="1"/>
  <c r="F198" i="7" s="1"/>
  <c r="C199" i="7" s="1"/>
  <c r="F199" i="7" s="1"/>
  <c r="C200" i="7" s="1"/>
  <c r="F200" i="7" s="1"/>
  <c r="C201" i="7" s="1"/>
  <c r="F201" i="7" s="1"/>
  <c r="C202" i="7" s="1"/>
  <c r="F202" i="7" s="1"/>
  <c r="C203" i="7" s="1"/>
  <c r="F203" i="7" s="1"/>
  <c r="C204" i="7" s="1"/>
  <c r="F204" i="7" s="1"/>
  <c r="C205" i="7" s="1"/>
  <c r="F205" i="7" s="1"/>
  <c r="C206" i="7" s="1"/>
  <c r="F206" i="7" s="1"/>
  <c r="C207" i="7" s="1"/>
  <c r="F207" i="7" s="1"/>
  <c r="C208" i="7" s="1"/>
  <c r="F208" i="7" s="1"/>
  <c r="C209" i="7" s="1"/>
  <c r="F209" i="7" s="1"/>
  <c r="C210" i="7" s="1"/>
  <c r="F210" i="7" s="1"/>
  <c r="C211" i="7" s="1"/>
  <c r="F211" i="7" s="1"/>
  <c r="C212" i="7" s="1"/>
  <c r="F212" i="7" s="1"/>
  <c r="C213" i="7" s="1"/>
  <c r="F213" i="7" s="1"/>
  <c r="C214" i="7" s="1"/>
  <c r="F214" i="7" s="1"/>
  <c r="C215" i="7" s="1"/>
  <c r="F215" i="7" s="1"/>
  <c r="C216" i="7" s="1"/>
  <c r="F216" i="7" s="1"/>
  <c r="C217" i="7" s="1"/>
  <c r="F217" i="7" s="1"/>
  <c r="C218" i="7" s="1"/>
  <c r="F218" i="7" s="1"/>
  <c r="C219" i="7" s="1"/>
  <c r="F219" i="7" s="1"/>
  <c r="C220" i="7" s="1"/>
  <c r="F220" i="7" s="1"/>
  <c r="C221" i="7" s="1"/>
  <c r="F221" i="7" s="1"/>
  <c r="C222" i="7" s="1"/>
  <c r="F222" i="7" s="1"/>
  <c r="C223" i="7" s="1"/>
  <c r="F223" i="7" s="1"/>
  <c r="C224" i="7" s="1"/>
  <c r="F224" i="7" s="1"/>
  <c r="C225" i="7" s="1"/>
  <c r="F225" i="7" s="1"/>
  <c r="C226" i="7" s="1"/>
  <c r="F226" i="7" s="1"/>
  <c r="C227" i="7" s="1"/>
  <c r="F227" i="7" s="1"/>
  <c r="C228" i="7" s="1"/>
  <c r="F228" i="7" s="1"/>
  <c r="C229" i="7" s="1"/>
  <c r="F229" i="7" s="1"/>
  <c r="C230" i="7" s="1"/>
  <c r="F230" i="7" s="1"/>
  <c r="C231" i="7" s="1"/>
  <c r="F231" i="7" s="1"/>
  <c r="C232" i="7" s="1"/>
  <c r="F232" i="7" s="1"/>
  <c r="C233" i="7" s="1"/>
  <c r="F233" i="7" s="1"/>
  <c r="C234" i="7" s="1"/>
  <c r="F234" i="7" s="1"/>
  <c r="C235" i="7" s="1"/>
  <c r="F235" i="7" s="1"/>
  <c r="C236" i="7" s="1"/>
  <c r="F236" i="7" s="1"/>
  <c r="C237" i="7" s="1"/>
  <c r="F237" i="7" s="1"/>
  <c r="C238" i="7" s="1"/>
  <c r="F238" i="7" s="1"/>
  <c r="C239" i="7" s="1"/>
  <c r="F239" i="7" s="1"/>
  <c r="C240" i="7" s="1"/>
  <c r="F240" i="7" s="1"/>
  <c r="C241" i="7" s="1"/>
  <c r="F241" i="7" s="1"/>
  <c r="C242" i="7" s="1"/>
  <c r="F242" i="7" s="1"/>
  <c r="C243" i="7" s="1"/>
  <c r="F243" i="7" s="1"/>
  <c r="C244" i="7" s="1"/>
  <c r="F244" i="7" s="1"/>
  <c r="C245" i="7" s="1"/>
  <c r="F245" i="7" s="1"/>
  <c r="C246" i="7" s="1"/>
  <c r="F246" i="7" s="1"/>
  <c r="C247" i="7" s="1"/>
  <c r="F247" i="7" s="1"/>
  <c r="C248" i="7" s="1"/>
  <c r="F248" i="7" s="1"/>
  <c r="C249" i="7" s="1"/>
  <c r="F249" i="7" s="1"/>
  <c r="C250" i="7" s="1"/>
  <c r="F250" i="7" s="1"/>
  <c r="C251" i="7" s="1"/>
  <c r="F251" i="7" s="1"/>
  <c r="C252" i="7" s="1"/>
  <c r="F252" i="7" s="1"/>
  <c r="C253" i="7" s="1"/>
  <c r="F253" i="7" s="1"/>
  <c r="C254" i="7" s="1"/>
  <c r="F254" i="7" s="1"/>
  <c r="C255" i="7" s="1"/>
  <c r="F255" i="7" s="1"/>
  <c r="C256" i="7" s="1"/>
  <c r="F256" i="7" s="1"/>
  <c r="C257" i="7" s="1"/>
  <c r="F257" i="7" s="1"/>
  <c r="C258" i="7" s="1"/>
  <c r="F258" i="7" s="1"/>
  <c r="C259" i="7" s="1"/>
  <c r="F259" i="7" s="1"/>
  <c r="C260" i="7" s="1"/>
  <c r="F260" i="7" s="1"/>
  <c r="C261" i="7" s="1"/>
  <c r="F261" i="7" s="1"/>
  <c r="C262" i="7" s="1"/>
  <c r="F262" i="7" s="1"/>
  <c r="C263" i="7" s="1"/>
  <c r="F263" i="7" s="1"/>
  <c r="C264" i="7" s="1"/>
  <c r="F264" i="7" s="1"/>
  <c r="C265" i="7" s="1"/>
  <c r="F265" i="7" s="1"/>
  <c r="C266" i="7" s="1"/>
  <c r="F266" i="7" s="1"/>
  <c r="C267" i="7" s="1"/>
  <c r="F267" i="7" s="1"/>
  <c r="C268" i="7" s="1"/>
  <c r="F268" i="7" s="1"/>
  <c r="C269" i="7" s="1"/>
  <c r="F269" i="7" s="1"/>
  <c r="C270" i="7" s="1"/>
  <c r="F270" i="7" s="1"/>
  <c r="C271" i="7" s="1"/>
  <c r="F271" i="7" s="1"/>
  <c r="C272" i="7" s="1"/>
  <c r="F272" i="7" s="1"/>
  <c r="C273" i="7" s="1"/>
  <c r="F273" i="7" s="1"/>
  <c r="C274" i="7" s="1"/>
  <c r="F274" i="7" s="1"/>
  <c r="C275" i="7" s="1"/>
  <c r="F275" i="7" s="1"/>
  <c r="C276" i="7" s="1"/>
  <c r="F276" i="7" s="1"/>
  <c r="C277" i="7" s="1"/>
  <c r="F277" i="7" s="1"/>
  <c r="C278" i="7" s="1"/>
  <c r="F278" i="7" s="1"/>
  <c r="C279" i="7" s="1"/>
  <c r="F279" i="7" s="1"/>
  <c r="C280" i="7" s="1"/>
  <c r="F280" i="7" s="1"/>
  <c r="C281" i="7" s="1"/>
  <c r="F281" i="7" s="1"/>
  <c r="C282" i="7" s="1"/>
  <c r="F282" i="7" s="1"/>
  <c r="C283" i="7" s="1"/>
  <c r="F283" i="7" s="1"/>
  <c r="C284" i="7" s="1"/>
  <c r="F284" i="7" s="1"/>
  <c r="C285" i="7" s="1"/>
  <c r="F285" i="7" s="1"/>
  <c r="C286" i="7" s="1"/>
  <c r="F286" i="7" s="1"/>
  <c r="C287" i="7" s="1"/>
  <c r="F287" i="7" s="1"/>
  <c r="C288" i="7" s="1"/>
  <c r="F288" i="7" s="1"/>
  <c r="C289" i="7" s="1"/>
  <c r="F289" i="7" s="1"/>
  <c r="C290" i="7" s="1"/>
  <c r="F290" i="7" s="1"/>
  <c r="C291" i="7" s="1"/>
  <c r="F291" i="7" s="1"/>
  <c r="C292" i="7" s="1"/>
  <c r="F292" i="7" s="1"/>
  <c r="C293" i="7" s="1"/>
  <c r="F293" i="7" s="1"/>
  <c r="C294" i="7" s="1"/>
  <c r="F294" i="7" s="1"/>
  <c r="C295" i="7" s="1"/>
  <c r="F295" i="7" s="1"/>
  <c r="C296" i="7" s="1"/>
  <c r="F296" i="7" s="1"/>
  <c r="C297" i="7" s="1"/>
  <c r="F297" i="7" s="1"/>
  <c r="C298" i="7" s="1"/>
  <c r="F298" i="7" s="1"/>
  <c r="C299" i="7" s="1"/>
  <c r="F299" i="7" s="1"/>
  <c r="C300" i="7" s="1"/>
  <c r="F300" i="7" s="1"/>
  <c r="C301" i="7" s="1"/>
  <c r="F301" i="7" s="1"/>
  <c r="C302" i="7" s="1"/>
  <c r="F302" i="7" s="1"/>
  <c r="C303" i="7" s="1"/>
  <c r="F303" i="7" s="1"/>
  <c r="C304" i="7" s="1"/>
  <c r="F304" i="7" s="1"/>
  <c r="C305" i="7" s="1"/>
  <c r="F305" i="7" s="1"/>
  <c r="C306" i="7" s="1"/>
  <c r="F306" i="7" s="1"/>
  <c r="C307" i="7" s="1"/>
  <c r="F307" i="7" s="1"/>
  <c r="C308" i="7" s="1"/>
  <c r="F308" i="7" s="1"/>
  <c r="C309" i="7" s="1"/>
  <c r="F309" i="7" s="1"/>
  <c r="C310" i="7" s="1"/>
  <c r="F310" i="7" s="1"/>
  <c r="C311" i="7" s="1"/>
  <c r="F311" i="7" s="1"/>
  <c r="C312" i="7" s="1"/>
  <c r="F312" i="7" s="1"/>
  <c r="C313" i="7" s="1"/>
  <c r="F313" i="7" s="1"/>
  <c r="C314" i="7" s="1"/>
  <c r="F314" i="7" s="1"/>
  <c r="C315" i="7" s="1"/>
  <c r="F315" i="7" s="1"/>
  <c r="C316" i="7" s="1"/>
  <c r="F316" i="7" s="1"/>
  <c r="C317" i="7" s="1"/>
  <c r="F317" i="7" s="1"/>
  <c r="C318" i="7" s="1"/>
  <c r="F318" i="7" s="1"/>
  <c r="C319" i="7" s="1"/>
  <c r="F319" i="7" s="1"/>
  <c r="C320" i="7" s="1"/>
  <c r="F320" i="7" s="1"/>
  <c r="C321" i="7" s="1"/>
  <c r="F321" i="7" s="1"/>
  <c r="C322" i="7" s="1"/>
  <c r="F322" i="7" s="1"/>
  <c r="C323" i="7" s="1"/>
  <c r="F323" i="7" s="1"/>
  <c r="C324" i="7" s="1"/>
  <c r="F324" i="7" s="1"/>
  <c r="C325" i="7" s="1"/>
  <c r="F325" i="7" s="1"/>
  <c r="C326" i="7" s="1"/>
  <c r="F326" i="7" s="1"/>
  <c r="C327" i="7" s="1"/>
  <c r="F327" i="7" s="1"/>
  <c r="C328" i="7" s="1"/>
  <c r="F328" i="7" s="1"/>
  <c r="C329" i="7" s="1"/>
  <c r="F329" i="7" s="1"/>
  <c r="C330" i="7" s="1"/>
  <c r="F330" i="7" s="1"/>
  <c r="C331" i="7" s="1"/>
  <c r="F331" i="7" s="1"/>
  <c r="C332" i="7" s="1"/>
  <c r="F332" i="7" s="1"/>
  <c r="C333" i="7" s="1"/>
  <c r="F333" i="7" s="1"/>
  <c r="C334" i="7" s="1"/>
  <c r="F334" i="7" s="1"/>
  <c r="C335" i="7" s="1"/>
  <c r="F335" i="7" s="1"/>
  <c r="C336" i="7" s="1"/>
  <c r="F336" i="7" s="1"/>
  <c r="C337" i="7" s="1"/>
  <c r="F337" i="7" s="1"/>
  <c r="C338" i="7" s="1"/>
  <c r="F338" i="7" s="1"/>
  <c r="C339" i="7" s="1"/>
  <c r="F339" i="7" s="1"/>
  <c r="C340" i="7" s="1"/>
  <c r="F340" i="7" s="1"/>
  <c r="C341" i="7" s="1"/>
  <c r="F341" i="7" s="1"/>
  <c r="C342" i="7" s="1"/>
  <c r="F342" i="7" s="1"/>
  <c r="C343" i="7" s="1"/>
  <c r="F343" i="7" s="1"/>
  <c r="C344" i="7" s="1"/>
  <c r="F344" i="7" s="1"/>
  <c r="C345" i="7" s="1"/>
  <c r="F345" i="7" s="1"/>
  <c r="C346" i="7" s="1"/>
  <c r="F346" i="7" s="1"/>
  <c r="C347" i="7" s="1"/>
  <c r="F347" i="7" s="1"/>
  <c r="C348" i="7" s="1"/>
  <c r="F348" i="7" s="1"/>
  <c r="C349" i="7" s="1"/>
  <c r="F349" i="7" s="1"/>
  <c r="C350" i="7" s="1"/>
  <c r="F350" i="7" s="1"/>
  <c r="C351" i="7" s="1"/>
  <c r="F351" i="7" s="1"/>
  <c r="C352" i="7" s="1"/>
  <c r="F352" i="7" s="1"/>
  <c r="C353" i="7" s="1"/>
  <c r="F353" i="7" s="1"/>
  <c r="C354" i="7" s="1"/>
  <c r="F354" i="7" s="1"/>
  <c r="C355" i="7" s="1"/>
  <c r="F355" i="7" s="1"/>
  <c r="C356" i="7" s="1"/>
  <c r="F356" i="7" s="1"/>
  <c r="C357" i="7" s="1"/>
  <c r="F357" i="7" s="1"/>
  <c r="C358" i="7" s="1"/>
  <c r="F358" i="7" s="1"/>
  <c r="C359" i="7" s="1"/>
  <c r="F359" i="7" s="1"/>
  <c r="C360" i="7" s="1"/>
  <c r="F360" i="7" s="1"/>
  <c r="C361" i="7" s="1"/>
  <c r="F361" i="7" s="1"/>
  <c r="C362" i="7" s="1"/>
  <c r="F362" i="7" s="1"/>
  <c r="K6" i="15"/>
  <c r="K11" i="15" s="1"/>
  <c r="D57" i="3"/>
  <c r="C54" i="10" s="1"/>
  <c r="N15" i="15"/>
  <c r="E23" i="15" s="1"/>
  <c r="L12" i="1"/>
  <c r="N7" i="15"/>
  <c r="C21" i="10"/>
  <c r="C23" i="15"/>
  <c r="D23" i="15" s="1"/>
  <c r="C48" i="10"/>
  <c r="C51" i="10" s="1"/>
  <c r="C38" i="10"/>
  <c r="C39" i="10" s="1"/>
  <c r="D54" i="3"/>
  <c r="D41" i="3"/>
  <c r="D42" i="3" s="1"/>
  <c r="P23" i="1" l="1"/>
  <c r="D65" i="1" s="1"/>
  <c r="G27" i="1"/>
  <c r="F14" i="3"/>
  <c r="F15" i="3" s="1"/>
  <c r="H24" i="3"/>
  <c r="H52" i="3"/>
  <c r="H7" i="3"/>
  <c r="H58" i="3"/>
  <c r="H40" i="3"/>
  <c r="H60" i="3" s="1"/>
  <c r="H5" i="3"/>
  <c r="H10" i="3" s="1"/>
  <c r="H18" i="3" s="1"/>
  <c r="I8" i="3"/>
  <c r="I52" i="3" s="1"/>
  <c r="H4" i="3"/>
  <c r="H39" i="3"/>
  <c r="H59" i="3" s="1"/>
  <c r="I7" i="3"/>
  <c r="I4" i="3"/>
  <c r="I5" i="3"/>
  <c r="H6" i="3"/>
  <c r="H12" i="1"/>
  <c r="G11" i="3"/>
  <c r="G12" i="3" s="1"/>
  <c r="G13" i="3" s="1"/>
  <c r="J8" i="3"/>
  <c r="H6" i="15"/>
  <c r="H7" i="15" s="1"/>
  <c r="I40" i="3"/>
  <c r="I60" i="3" s="1"/>
  <c r="D61" i="3"/>
  <c r="D62" i="3" s="1"/>
  <c r="C58" i="10"/>
  <c r="C15" i="15"/>
  <c r="D15" i="15" s="1"/>
  <c r="G19" i="1"/>
  <c r="G29" i="1" l="1"/>
  <c r="H29" i="1"/>
  <c r="G21" i="1"/>
  <c r="G26" i="1" s="1"/>
  <c r="G24" i="1"/>
  <c r="I58" i="3"/>
  <c r="I53" i="3"/>
  <c r="I39" i="3"/>
  <c r="I59" i="3" s="1"/>
  <c r="I24" i="3"/>
  <c r="I6" i="3"/>
  <c r="J4" i="3"/>
  <c r="J5" i="3"/>
  <c r="J7" i="3"/>
  <c r="I10" i="3"/>
  <c r="I18" i="3" s="1"/>
  <c r="H11" i="3"/>
  <c r="H12" i="3" s="1"/>
  <c r="H13" i="3" s="1"/>
  <c r="G14" i="3"/>
  <c r="J58" i="3"/>
  <c r="J39" i="3"/>
  <c r="J59" i="3" s="1"/>
  <c r="K8" i="3"/>
  <c r="J40" i="3"/>
  <c r="J60" i="3" s="1"/>
  <c r="J24" i="3"/>
  <c r="J53" i="3"/>
  <c r="J52" i="3"/>
  <c r="C59" i="10"/>
  <c r="H19" i="1"/>
  <c r="D18" i="15"/>
  <c r="D20" i="15" s="1"/>
  <c r="C18" i="15"/>
  <c r="C13" i="10"/>
  <c r="G31" i="1" l="1"/>
  <c r="J10" i="3"/>
  <c r="J18" i="3" s="1"/>
  <c r="J6" i="3"/>
  <c r="K4" i="3"/>
  <c r="K5" i="3"/>
  <c r="K10" i="3" s="1"/>
  <c r="K7" i="3"/>
  <c r="G15" i="3"/>
  <c r="J11" i="3"/>
  <c r="J12" i="3" s="1"/>
  <c r="J13" i="3" s="1"/>
  <c r="H14" i="3"/>
  <c r="I11" i="3"/>
  <c r="I12" i="3" s="1"/>
  <c r="I13" i="3" s="1"/>
  <c r="K39" i="3"/>
  <c r="K59" i="3" s="1"/>
  <c r="L8" i="3"/>
  <c r="K58" i="3"/>
  <c r="K40" i="3"/>
  <c r="K60" i="3" s="1"/>
  <c r="K24" i="3"/>
  <c r="K52" i="3"/>
  <c r="K53" i="3"/>
  <c r="D25" i="15"/>
  <c r="D26" i="15" s="1"/>
  <c r="D21" i="15"/>
  <c r="K6" i="3" l="1"/>
  <c r="K18" i="3"/>
  <c r="K11" i="3"/>
  <c r="K12" i="3" s="1"/>
  <c r="K13" i="3" s="1"/>
  <c r="L4" i="3"/>
  <c r="L5" i="3"/>
  <c r="L10" i="3" s="1"/>
  <c r="L7" i="3"/>
  <c r="H15" i="3"/>
  <c r="J14" i="3"/>
  <c r="J15" i="3" s="1"/>
  <c r="I14" i="3"/>
  <c r="L39" i="3"/>
  <c r="L59" i="3" s="1"/>
  <c r="M8" i="3"/>
  <c r="L40" i="3"/>
  <c r="L60" i="3" s="1"/>
  <c r="L58" i="3"/>
  <c r="L52" i="3"/>
  <c r="L24" i="3"/>
  <c r="L53" i="3"/>
  <c r="H17" i="15"/>
  <c r="L6" i="3" l="1"/>
  <c r="K14" i="3"/>
  <c r="K15" i="3" s="1"/>
  <c r="L11" i="3"/>
  <c r="L12" i="3" s="1"/>
  <c r="L13" i="3" s="1"/>
  <c r="L18" i="3"/>
  <c r="M4" i="3"/>
  <c r="M5" i="3"/>
  <c r="M10" i="3" s="1"/>
  <c r="M7" i="3"/>
  <c r="I15" i="3"/>
  <c r="N8" i="3"/>
  <c r="M39" i="3"/>
  <c r="M59" i="3" s="1"/>
  <c r="M58" i="3"/>
  <c r="M40" i="3"/>
  <c r="M60" i="3" s="1"/>
  <c r="M24" i="3"/>
  <c r="M53" i="3"/>
  <c r="M52" i="3"/>
  <c r="M6" i="3" l="1"/>
  <c r="L14" i="3"/>
  <c r="L15" i="3" s="1"/>
  <c r="M11" i="3"/>
  <c r="M12" i="3" s="1"/>
  <c r="M13" i="3" s="1"/>
  <c r="M18" i="3"/>
  <c r="N4" i="3"/>
  <c r="N5" i="3"/>
  <c r="N10" i="3" s="1"/>
  <c r="N7" i="3"/>
  <c r="N39" i="3"/>
  <c r="N59" i="3" s="1"/>
  <c r="O8" i="3"/>
  <c r="N40" i="3"/>
  <c r="N60" i="3" s="1"/>
  <c r="N58" i="3"/>
  <c r="N24" i="3"/>
  <c r="N52" i="3"/>
  <c r="N53" i="3"/>
  <c r="N6" i="3" l="1"/>
  <c r="N18" i="3"/>
  <c r="N11" i="3"/>
  <c r="N12" i="3" s="1"/>
  <c r="N13" i="3" s="1"/>
  <c r="O4" i="3"/>
  <c r="O5" i="3"/>
  <c r="O10" i="3" s="1"/>
  <c r="O18" i="3" s="1"/>
  <c r="M14" i="3"/>
  <c r="M15" i="3" s="1"/>
  <c r="O7" i="3"/>
  <c r="O58" i="3"/>
  <c r="P8" i="3"/>
  <c r="O39" i="3"/>
  <c r="O59" i="3" s="1"/>
  <c r="O40" i="3"/>
  <c r="O60" i="3" s="1"/>
  <c r="O53" i="3"/>
  <c r="O52" i="3"/>
  <c r="O24" i="3"/>
  <c r="O6" i="3" l="1"/>
  <c r="N14" i="3"/>
  <c r="N15" i="3" s="1"/>
  <c r="P7" i="3"/>
  <c r="P4" i="3"/>
  <c r="P5" i="3"/>
  <c r="P10" i="3" s="1"/>
  <c r="O11" i="3"/>
  <c r="O12" i="3" s="1"/>
  <c r="O13" i="3" s="1"/>
  <c r="Q8" i="3"/>
  <c r="P40" i="3"/>
  <c r="P60" i="3" s="1"/>
  <c r="P58" i="3"/>
  <c r="P39" i="3"/>
  <c r="P59" i="3" s="1"/>
  <c r="P53" i="3"/>
  <c r="P24" i="3"/>
  <c r="P52" i="3"/>
  <c r="P6" i="3" l="1"/>
  <c r="P11" i="3"/>
  <c r="P12" i="3" s="1"/>
  <c r="P13" i="3" s="1"/>
  <c r="P18" i="3"/>
  <c r="Q5" i="3"/>
  <c r="Q10" i="3" s="1"/>
  <c r="Q18" i="3" s="1"/>
  <c r="Q4" i="3"/>
  <c r="Q7" i="3"/>
  <c r="O14" i="3"/>
  <c r="O15" i="3" s="1"/>
  <c r="Q39" i="3"/>
  <c r="Q59" i="3" s="1"/>
  <c r="Q40" i="3"/>
  <c r="Q60" i="3" s="1"/>
  <c r="Q58" i="3"/>
  <c r="R8" i="3"/>
  <c r="Q52" i="3"/>
  <c r="Q53" i="3"/>
  <c r="Q24" i="3"/>
  <c r="Q6" i="3" l="1"/>
  <c r="P14" i="3"/>
  <c r="P15" i="3" s="1"/>
  <c r="R4" i="3"/>
  <c r="R5" i="3"/>
  <c r="R10" i="3" s="1"/>
  <c r="R7" i="3"/>
  <c r="Q11" i="3"/>
  <c r="Q12" i="3" s="1"/>
  <c r="R58" i="3"/>
  <c r="R40" i="3"/>
  <c r="R60" i="3" s="1"/>
  <c r="R39" i="3"/>
  <c r="R59" i="3" s="1"/>
  <c r="S8" i="3"/>
  <c r="R24" i="3"/>
  <c r="R53" i="3"/>
  <c r="R52" i="3"/>
  <c r="R6" i="3" l="1"/>
  <c r="S5" i="3"/>
  <c r="S10" i="3" s="1"/>
  <c r="S18" i="3" s="1"/>
  <c r="S4" i="3"/>
  <c r="Q14" i="3"/>
  <c r="Q13" i="3"/>
  <c r="R11" i="3"/>
  <c r="R12" i="3" s="1"/>
  <c r="R13" i="3" s="1"/>
  <c r="R18" i="3"/>
  <c r="S7" i="3"/>
  <c r="S39" i="3"/>
  <c r="S59" i="3" s="1"/>
  <c r="T8" i="3"/>
  <c r="S40" i="3"/>
  <c r="S60" i="3" s="1"/>
  <c r="S58" i="3"/>
  <c r="S52" i="3"/>
  <c r="S24" i="3"/>
  <c r="S53" i="3"/>
  <c r="Q15" i="3" l="1"/>
  <c r="S6" i="3"/>
  <c r="R14" i="3"/>
  <c r="R15" i="3" s="1"/>
  <c r="T4" i="3"/>
  <c r="T5" i="3"/>
  <c r="T10" i="3" s="1"/>
  <c r="T7" i="3"/>
  <c r="S11" i="3"/>
  <c r="S12" i="3" s="1"/>
  <c r="S13" i="3" s="1"/>
  <c r="T39" i="3"/>
  <c r="T59" i="3" s="1"/>
  <c r="U8" i="3"/>
  <c r="T40" i="3"/>
  <c r="T60" i="3" s="1"/>
  <c r="T58" i="3"/>
  <c r="T24" i="3"/>
  <c r="T52" i="3"/>
  <c r="T53" i="3"/>
  <c r="T6" i="3" l="1"/>
  <c r="U7" i="3"/>
  <c r="U4" i="3"/>
  <c r="U5" i="3"/>
  <c r="U10" i="3" s="1"/>
  <c r="T11" i="3"/>
  <c r="T12" i="3" s="1"/>
  <c r="T13" i="3" s="1"/>
  <c r="T18" i="3"/>
  <c r="U52" i="3"/>
  <c r="S14" i="3"/>
  <c r="U40" i="3"/>
  <c r="U60" i="3" s="1"/>
  <c r="U58" i="3"/>
  <c r="V8" i="3"/>
  <c r="U39" i="3"/>
  <c r="U59" i="3" s="1"/>
  <c r="U53" i="3"/>
  <c r="U24" i="3"/>
  <c r="U6" i="3" l="1"/>
  <c r="U11" i="3"/>
  <c r="U12" i="3" s="1"/>
  <c r="U13" i="3" s="1"/>
  <c r="U18" i="3"/>
  <c r="V4" i="3"/>
  <c r="V5" i="3"/>
  <c r="V10" i="3" s="1"/>
  <c r="T14" i="3"/>
  <c r="T15" i="3" s="1"/>
  <c r="V7" i="3"/>
  <c r="S15" i="3"/>
  <c r="V39" i="3"/>
  <c r="V59" i="3" s="1"/>
  <c r="W8" i="3"/>
  <c r="V40" i="3"/>
  <c r="V60" i="3" s="1"/>
  <c r="V58" i="3"/>
  <c r="V24" i="3"/>
  <c r="V52" i="3"/>
  <c r="V53" i="3"/>
  <c r="V6" i="3" l="1"/>
  <c r="V11" i="3"/>
  <c r="V12" i="3" s="1"/>
  <c r="V13" i="3" s="1"/>
  <c r="V18" i="3"/>
  <c r="W4" i="3"/>
  <c r="W5" i="3"/>
  <c r="W10" i="3" s="1"/>
  <c r="U14" i="3"/>
  <c r="U15" i="3" s="1"/>
  <c r="W7" i="3"/>
  <c r="V14" i="3"/>
  <c r="X8" i="3"/>
  <c r="W40" i="3"/>
  <c r="W60" i="3" s="1"/>
  <c r="W58" i="3"/>
  <c r="W39" i="3"/>
  <c r="W59" i="3" s="1"/>
  <c r="W52" i="3"/>
  <c r="W53" i="3"/>
  <c r="W24" i="3"/>
  <c r="W6" i="3" l="1"/>
  <c r="W11" i="3"/>
  <c r="W12" i="3" s="1"/>
  <c r="W13" i="3" s="1"/>
  <c r="W18" i="3"/>
  <c r="X4" i="3"/>
  <c r="X5" i="3"/>
  <c r="X10" i="3" s="1"/>
  <c r="X7" i="3"/>
  <c r="X39" i="3"/>
  <c r="X59" i="3" s="1"/>
  <c r="Y8" i="3"/>
  <c r="X40" i="3"/>
  <c r="X60" i="3" s="1"/>
  <c r="X58" i="3"/>
  <c r="X24" i="3"/>
  <c r="X52" i="3"/>
  <c r="X53" i="3"/>
  <c r="V15" i="3"/>
  <c r="X6" i="3" l="1"/>
  <c r="Y4" i="3"/>
  <c r="Y5" i="3"/>
  <c r="Y10" i="3" s="1"/>
  <c r="Y18" i="3" s="1"/>
  <c r="X11" i="3"/>
  <c r="X12" i="3" s="1"/>
  <c r="X13" i="3" s="1"/>
  <c r="X18" i="3"/>
  <c r="W14" i="3"/>
  <c r="W15" i="3" s="1"/>
  <c r="Y7" i="3"/>
  <c r="Y58" i="3"/>
  <c r="Y40" i="3"/>
  <c r="Y60" i="3" s="1"/>
  <c r="Y39" i="3"/>
  <c r="Y59" i="3" s="1"/>
  <c r="Z8" i="3"/>
  <c r="Y24" i="3"/>
  <c r="Y53" i="3"/>
  <c r="Y52" i="3"/>
  <c r="Y6" i="3" l="1"/>
  <c r="X14" i="3"/>
  <c r="X15" i="3" s="1"/>
  <c r="Z5" i="3"/>
  <c r="Z10" i="3" s="1"/>
  <c r="Z18" i="3" s="1"/>
  <c r="Z4" i="3"/>
  <c r="Z7" i="3"/>
  <c r="Y11" i="3"/>
  <c r="Y12" i="3" s="1"/>
  <c r="Y13" i="3" s="1"/>
  <c r="Z39" i="3"/>
  <c r="Z59" i="3" s="1"/>
  <c r="AA8" i="3"/>
  <c r="Z40" i="3"/>
  <c r="Z60" i="3" s="1"/>
  <c r="Z58" i="3"/>
  <c r="Z52" i="3"/>
  <c r="Z53" i="3"/>
  <c r="Z24" i="3"/>
  <c r="Z6" i="3" l="1"/>
  <c r="AA5" i="3"/>
  <c r="AA10" i="3" s="1"/>
  <c r="AA4" i="3"/>
  <c r="AA7" i="3"/>
  <c r="Y14" i="3"/>
  <c r="Z11" i="3"/>
  <c r="Z12" i="3" s="1"/>
  <c r="AA39" i="3"/>
  <c r="AA59" i="3" s="1"/>
  <c r="AA40" i="3"/>
  <c r="AA60" i="3" s="1"/>
  <c r="AB8" i="3"/>
  <c r="AA58" i="3"/>
  <c r="AA53" i="3"/>
  <c r="AA52" i="3"/>
  <c r="AA24" i="3"/>
  <c r="AA6" i="3" l="1"/>
  <c r="AA18" i="3"/>
  <c r="AA11" i="3"/>
  <c r="AA12" i="3" s="1"/>
  <c r="AA13" i="3" s="1"/>
  <c r="AB5" i="3"/>
  <c r="AB10" i="3" s="1"/>
  <c r="AB4" i="3"/>
  <c r="Z14" i="3"/>
  <c r="Z13" i="3"/>
  <c r="Y15" i="3"/>
  <c r="AB7" i="3"/>
  <c r="AB40" i="3"/>
  <c r="AB58" i="3"/>
  <c r="AC8" i="3"/>
  <c r="AB39" i="3"/>
  <c r="AB53" i="3"/>
  <c r="AB24" i="3"/>
  <c r="AB52" i="3"/>
  <c r="Z15" i="3" l="1"/>
  <c r="AB6" i="3"/>
  <c r="AA14" i="3"/>
  <c r="AA15" i="3" s="1"/>
  <c r="AB11" i="3"/>
  <c r="AB12" i="3" s="1"/>
  <c r="AB13" i="3" s="1"/>
  <c r="AB18" i="3"/>
  <c r="AC4" i="3"/>
  <c r="AC5" i="3"/>
  <c r="AC10" i="3" s="1"/>
  <c r="AC7" i="3"/>
  <c r="AC40" i="3"/>
  <c r="AC58" i="3"/>
  <c r="AC39" i="3"/>
  <c r="AD8" i="3"/>
  <c r="AC52" i="3"/>
  <c r="AC53" i="3"/>
  <c r="AC24" i="3"/>
  <c r="AB60" i="3"/>
  <c r="AB59" i="3"/>
  <c r="AC6" i="3" l="1"/>
  <c r="AB14" i="3"/>
  <c r="AB15" i="3" s="1"/>
  <c r="AC11" i="3"/>
  <c r="AC12" i="3" s="1"/>
  <c r="AC13" i="3" s="1"/>
  <c r="AC18" i="3"/>
  <c r="AD4" i="3"/>
  <c r="AD5" i="3"/>
  <c r="AD10" i="3" s="1"/>
  <c r="AD7" i="3"/>
  <c r="AD39" i="3"/>
  <c r="AD59" i="3" s="1"/>
  <c r="AD58" i="3"/>
  <c r="AE8" i="3"/>
  <c r="AD40" i="3"/>
  <c r="AD60" i="3" s="1"/>
  <c r="AD53" i="3"/>
  <c r="AD52" i="3"/>
  <c r="AD24" i="3"/>
  <c r="AC59" i="3"/>
  <c r="AC60" i="3"/>
  <c r="AD6" i="3" l="1"/>
  <c r="AC14" i="3"/>
  <c r="AC15" i="3" s="1"/>
  <c r="AD11" i="3"/>
  <c r="AD12" i="3" s="1"/>
  <c r="AD13" i="3" s="1"/>
  <c r="AD18" i="3"/>
  <c r="AE4" i="3"/>
  <c r="AE5" i="3"/>
  <c r="AE10" i="3" s="1"/>
  <c r="AE7" i="3"/>
  <c r="AE40" i="3"/>
  <c r="AE58" i="3"/>
  <c r="AF8" i="3"/>
  <c r="AE39" i="3"/>
  <c r="AE52" i="3"/>
  <c r="AE24" i="3"/>
  <c r="AE53" i="3"/>
  <c r="AE6" i="3" l="1"/>
  <c r="AD14" i="3"/>
  <c r="AD15" i="3" s="1"/>
  <c r="AE11" i="3"/>
  <c r="AE12" i="3" s="1"/>
  <c r="AE13" i="3" s="1"/>
  <c r="AE18" i="3"/>
  <c r="AF4" i="3"/>
  <c r="AF5" i="3"/>
  <c r="AF10" i="3" s="1"/>
  <c r="AF7" i="3"/>
  <c r="AE59" i="3"/>
  <c r="AE60" i="3"/>
  <c r="AG8" i="3"/>
  <c r="AF40" i="3"/>
  <c r="AF60" i="3" s="1"/>
  <c r="AF58" i="3"/>
  <c r="AF39" i="3"/>
  <c r="AF59" i="3" s="1"/>
  <c r="AF52" i="3"/>
  <c r="AF53" i="3"/>
  <c r="AF24" i="3"/>
  <c r="AF6" i="3" l="1"/>
  <c r="AF11" i="3"/>
  <c r="AF12" i="3" s="1"/>
  <c r="AF13" i="3" s="1"/>
  <c r="AF18" i="3"/>
  <c r="AG5" i="3"/>
  <c r="AG10" i="3" s="1"/>
  <c r="AG4" i="3"/>
  <c r="AE14" i="3"/>
  <c r="AE15" i="3" s="1"/>
  <c r="AG7" i="3"/>
  <c r="AG40" i="3"/>
  <c r="AG58" i="3"/>
  <c r="AH8" i="3"/>
  <c r="AG39" i="3"/>
  <c r="AG59" i="3" s="1"/>
  <c r="AG24" i="3"/>
  <c r="AG52" i="3"/>
  <c r="AG53" i="3"/>
  <c r="AF14" i="3" l="1"/>
  <c r="AG6" i="3"/>
  <c r="AG11" i="3"/>
  <c r="AG12" i="3" s="1"/>
  <c r="AG13" i="3" s="1"/>
  <c r="AG18" i="3"/>
  <c r="AH4" i="3"/>
  <c r="AH5" i="3"/>
  <c r="AH10" i="3" s="1"/>
  <c r="AH18" i="3" s="1"/>
  <c r="AH7" i="3"/>
  <c r="AG60" i="3"/>
  <c r="AH58" i="3"/>
  <c r="AH40" i="3"/>
  <c r="AH60" i="3" s="1"/>
  <c r="AH39" i="3"/>
  <c r="AI8" i="3"/>
  <c r="AH52" i="3"/>
  <c r="AH53" i="3"/>
  <c r="AH24" i="3"/>
  <c r="AF15" i="3"/>
  <c r="AG14" i="3" l="1"/>
  <c r="AH6" i="3"/>
  <c r="AI4" i="3"/>
  <c r="AI5" i="3"/>
  <c r="AI10" i="3" s="1"/>
  <c r="AI7" i="3"/>
  <c r="AG15" i="3"/>
  <c r="AH11" i="3"/>
  <c r="AH12" i="3" s="1"/>
  <c r="AH13" i="3" s="1"/>
  <c r="AI40" i="3"/>
  <c r="AI58" i="3"/>
  <c r="AI39" i="3"/>
  <c r="AI59" i="3" s="1"/>
  <c r="AJ8" i="3"/>
  <c r="AI53" i="3"/>
  <c r="AI52" i="3"/>
  <c r="AI24" i="3"/>
  <c r="AH59" i="3"/>
  <c r="AI6" i="3" l="1"/>
  <c r="AI11" i="3"/>
  <c r="AI12" i="3" s="1"/>
  <c r="AI13" i="3" s="1"/>
  <c r="AI18" i="3"/>
  <c r="AJ4" i="3"/>
  <c r="AJ5" i="3"/>
  <c r="AJ10" i="3" s="1"/>
  <c r="AJ7" i="3"/>
  <c r="AH14" i="3"/>
  <c r="AH15" i="3" s="1"/>
  <c r="AJ40" i="3"/>
  <c r="AJ60" i="3" s="1"/>
  <c r="AJ39" i="3"/>
  <c r="AJ59" i="3" s="1"/>
  <c r="AK8" i="3"/>
  <c r="AJ58" i="3"/>
  <c r="AJ24" i="3"/>
  <c r="AJ53" i="3"/>
  <c r="AJ52" i="3"/>
  <c r="AI60" i="3"/>
  <c r="AJ6" i="3" l="1"/>
  <c r="AI14" i="3"/>
  <c r="AI15" i="3" s="1"/>
  <c r="AJ11" i="3"/>
  <c r="AJ12" i="3" s="1"/>
  <c r="AJ13" i="3" s="1"/>
  <c r="AJ18" i="3"/>
  <c r="AK4" i="3"/>
  <c r="AK5" i="3"/>
  <c r="AK10" i="3" s="1"/>
  <c r="AK18" i="3" s="1"/>
  <c r="AK7" i="3"/>
  <c r="AK58" i="3"/>
  <c r="AK40" i="3"/>
  <c r="AK60" i="3" s="1"/>
  <c r="AK39" i="3"/>
  <c r="AK59" i="3" s="1"/>
  <c r="AL8" i="3"/>
  <c r="AK24" i="3"/>
  <c r="AK53" i="3"/>
  <c r="AK52" i="3"/>
  <c r="AJ14" i="3" l="1"/>
  <c r="AJ15" i="3" s="1"/>
  <c r="AK11" i="3"/>
  <c r="AK12" i="3" s="1"/>
  <c r="AK13" i="3" s="1"/>
  <c r="AK6" i="3"/>
  <c r="AL4" i="3"/>
  <c r="AL5" i="3"/>
  <c r="AL10" i="3" s="1"/>
  <c r="AL7" i="3"/>
  <c r="AK14" i="3"/>
  <c r="AL58" i="3"/>
  <c r="AL40" i="3"/>
  <c r="AL60" i="3" s="1"/>
  <c r="AL39" i="3"/>
  <c r="AL59" i="3" s="1"/>
  <c r="AM8" i="3"/>
  <c r="AL52" i="3"/>
  <c r="AL53" i="3"/>
  <c r="AL24" i="3"/>
  <c r="AL18" i="3" l="1"/>
  <c r="AL11" i="3"/>
  <c r="AL12" i="3" s="1"/>
  <c r="AL13" i="3" s="1"/>
  <c r="AL6" i="3"/>
  <c r="AM4" i="3"/>
  <c r="AM5" i="3"/>
  <c r="AM10" i="3" s="1"/>
  <c r="AM7" i="3"/>
  <c r="AL14" i="3"/>
  <c r="AM39" i="3"/>
  <c r="AM59" i="3" s="1"/>
  <c r="AN8" i="3"/>
  <c r="AM58" i="3"/>
  <c r="AM40" i="3"/>
  <c r="AM60" i="3" s="1"/>
  <c r="AM53" i="3"/>
  <c r="AM24" i="3"/>
  <c r="AM52" i="3"/>
  <c r="AK15" i="3"/>
  <c r="AM6" i="3" l="1"/>
  <c r="AM11" i="3"/>
  <c r="AM12" i="3" s="1"/>
  <c r="AM13" i="3" s="1"/>
  <c r="AM18" i="3"/>
  <c r="AN4" i="3"/>
  <c r="AN5" i="3"/>
  <c r="AN10" i="3" s="1"/>
  <c r="AN7" i="3"/>
  <c r="AN40" i="3"/>
  <c r="AN60" i="3" s="1"/>
  <c r="AN58" i="3"/>
  <c r="AO8" i="3"/>
  <c r="AN39" i="3"/>
  <c r="AN59" i="3" s="1"/>
  <c r="AN52" i="3"/>
  <c r="AN24" i="3"/>
  <c r="AN53" i="3"/>
  <c r="AL15" i="3"/>
  <c r="AM14" i="3" l="1"/>
  <c r="AN18" i="3"/>
  <c r="AN11" i="3"/>
  <c r="AN12" i="3" s="1"/>
  <c r="AN13" i="3" s="1"/>
  <c r="AN6" i="3"/>
  <c r="AO4" i="3"/>
  <c r="AO5" i="3"/>
  <c r="AO10" i="3" s="1"/>
  <c r="AO7" i="3"/>
  <c r="AN14" i="3"/>
  <c r="AM15" i="3"/>
  <c r="AO40" i="3"/>
  <c r="AO58" i="3"/>
  <c r="AO39" i="3"/>
  <c r="AP8" i="3"/>
  <c r="AO53" i="3"/>
  <c r="AO24" i="3"/>
  <c r="AO52" i="3"/>
  <c r="AO6" i="3" l="1"/>
  <c r="AO11" i="3"/>
  <c r="AO12" i="3" s="1"/>
  <c r="AO13" i="3" s="1"/>
  <c r="AO18" i="3"/>
  <c r="AP4" i="3"/>
  <c r="AP5" i="3"/>
  <c r="AP10" i="3" s="1"/>
  <c r="AP7" i="3"/>
  <c r="AQ8" i="3"/>
  <c r="AP58" i="3"/>
  <c r="AP40" i="3"/>
  <c r="AP60" i="3" s="1"/>
  <c r="AP39" i="3"/>
  <c r="AP59" i="3" s="1"/>
  <c r="AP24" i="3"/>
  <c r="AP53" i="3"/>
  <c r="AP52" i="3"/>
  <c r="AO59" i="3"/>
  <c r="AO60" i="3"/>
  <c r="AN15" i="3"/>
  <c r="AP6" i="3" l="1"/>
  <c r="AO14" i="3"/>
  <c r="AO15" i="3" s="1"/>
  <c r="AP11" i="3"/>
  <c r="AP12" i="3" s="1"/>
  <c r="AP13" i="3" s="1"/>
  <c r="AP18" i="3"/>
  <c r="AQ5" i="3"/>
  <c r="AQ10" i="3" s="1"/>
  <c r="AQ4" i="3"/>
  <c r="AQ7" i="3"/>
  <c r="AQ40" i="3"/>
  <c r="AQ58" i="3"/>
  <c r="AR8" i="3"/>
  <c r="AQ39" i="3"/>
  <c r="AQ53" i="3"/>
  <c r="AQ52" i="3"/>
  <c r="AQ24" i="3"/>
  <c r="AP14" i="3" l="1"/>
  <c r="AQ6" i="3"/>
  <c r="AQ18" i="3"/>
  <c r="AQ11" i="3"/>
  <c r="AQ12" i="3" s="1"/>
  <c r="AQ13" i="3" s="1"/>
  <c r="AR4" i="3"/>
  <c r="AR5" i="3"/>
  <c r="AR10" i="3" s="1"/>
  <c r="AR7" i="3"/>
  <c r="AQ60" i="3"/>
  <c r="AQ59" i="3"/>
  <c r="AR40" i="3"/>
  <c r="AR60" i="3" s="1"/>
  <c r="AR39" i="3"/>
  <c r="AR59" i="3" s="1"/>
  <c r="AR58" i="3"/>
  <c r="AS8" i="3"/>
  <c r="AR52" i="3"/>
  <c r="AR24" i="3"/>
  <c r="AR53" i="3"/>
  <c r="AP15" i="3"/>
  <c r="AR6" i="3" l="1"/>
  <c r="AQ14" i="3"/>
  <c r="AQ15" i="3" s="1"/>
  <c r="AR11" i="3"/>
  <c r="AR12" i="3" s="1"/>
  <c r="AR13" i="3" s="1"/>
  <c r="AR18" i="3"/>
  <c r="AS4" i="3"/>
  <c r="AS5" i="3"/>
  <c r="AS10" i="3" s="1"/>
  <c r="AS18" i="3" s="1"/>
  <c r="AS7" i="3"/>
  <c r="AT8" i="3"/>
  <c r="AS58" i="3"/>
  <c r="AS40" i="3"/>
  <c r="AS60" i="3" s="1"/>
  <c r="AS39" i="3"/>
  <c r="AS59" i="3" s="1"/>
  <c r="AS52" i="3"/>
  <c r="AS53" i="3"/>
  <c r="AS24" i="3"/>
  <c r="AS6" i="3" l="1"/>
  <c r="AR14" i="3"/>
  <c r="AT4" i="3"/>
  <c r="AT5" i="3"/>
  <c r="AT10" i="3" s="1"/>
  <c r="AT7" i="3"/>
  <c r="AS11" i="3"/>
  <c r="AS12" i="3" s="1"/>
  <c r="AS13" i="3" s="1"/>
  <c r="AT58" i="3"/>
  <c r="AT40" i="3"/>
  <c r="AT60" i="3" s="1"/>
  <c r="AT39" i="3"/>
  <c r="AT59" i="3" s="1"/>
  <c r="AU8" i="3"/>
  <c r="AT52" i="3"/>
  <c r="AT53" i="3"/>
  <c r="AT24" i="3"/>
  <c r="AR15" i="3"/>
  <c r="AT6" i="3" l="1"/>
  <c r="AU4" i="3"/>
  <c r="AU5" i="3"/>
  <c r="AU10" i="3" s="1"/>
  <c r="AT11" i="3"/>
  <c r="AT12" i="3" s="1"/>
  <c r="AT13" i="3" s="1"/>
  <c r="AT18" i="3"/>
  <c r="AU7" i="3"/>
  <c r="AS14" i="3"/>
  <c r="AS15" i="3" s="1"/>
  <c r="AU58" i="3"/>
  <c r="AU40" i="3"/>
  <c r="AU60" i="3" s="1"/>
  <c r="AV8" i="3"/>
  <c r="AU39" i="3"/>
  <c r="AU59" i="3" s="1"/>
  <c r="AU24" i="3"/>
  <c r="AU52" i="3"/>
  <c r="AU53" i="3"/>
  <c r="AT14" i="3" l="1"/>
  <c r="AU6" i="3"/>
  <c r="AU11" i="3"/>
  <c r="AU12" i="3" s="1"/>
  <c r="AU13" i="3" s="1"/>
  <c r="AU18" i="3"/>
  <c r="AV5" i="3"/>
  <c r="AV10" i="3" s="1"/>
  <c r="AV4" i="3"/>
  <c r="AV7" i="3"/>
  <c r="AV39" i="3"/>
  <c r="AV59" i="3" s="1"/>
  <c r="AV58" i="3"/>
  <c r="AV40" i="3"/>
  <c r="AV60" i="3" s="1"/>
  <c r="AW8" i="3"/>
  <c r="AV24" i="3"/>
  <c r="AV52" i="3"/>
  <c r="AV53" i="3"/>
  <c r="AT15" i="3"/>
  <c r="AV6" i="3" l="1"/>
  <c r="AU14" i="3"/>
  <c r="AU15" i="3" s="1"/>
  <c r="AV11" i="3"/>
  <c r="AV12" i="3" s="1"/>
  <c r="AV13" i="3" s="1"/>
  <c r="AV18" i="3"/>
  <c r="AW4" i="3"/>
  <c r="AW5" i="3"/>
  <c r="AW10" i="3" s="1"/>
  <c r="AW7" i="3"/>
  <c r="AW58" i="3"/>
  <c r="AW39" i="3"/>
  <c r="AW59" i="3" s="1"/>
  <c r="AX8" i="3"/>
  <c r="AW40" i="3"/>
  <c r="AW60" i="3" s="1"/>
  <c r="AW53" i="3"/>
  <c r="AW52" i="3"/>
  <c r="AW24" i="3"/>
  <c r="AW6" i="3" l="1"/>
  <c r="AV14" i="3"/>
  <c r="AW11" i="3"/>
  <c r="AW12" i="3" s="1"/>
  <c r="AW13" i="3" s="1"/>
  <c r="AW18" i="3"/>
  <c r="AX4" i="3"/>
  <c r="AX5" i="3"/>
  <c r="AX10" i="3" s="1"/>
  <c r="AX7" i="3"/>
  <c r="AX58" i="3"/>
  <c r="AX40" i="3"/>
  <c r="AX60" i="3" s="1"/>
  <c r="AX39" i="3"/>
  <c r="AX59" i="3" s="1"/>
  <c r="AY8" i="3"/>
  <c r="AX24" i="3"/>
  <c r="AX53" i="3"/>
  <c r="AX52" i="3"/>
  <c r="AV15" i="3"/>
  <c r="AX6" i="3" l="1"/>
  <c r="AW14" i="3"/>
  <c r="AW15" i="3" s="1"/>
  <c r="AX18" i="3"/>
  <c r="AX11" i="3"/>
  <c r="AX12" i="3" s="1"/>
  <c r="AX13" i="3" s="1"/>
  <c r="AY4" i="3"/>
  <c r="AY5" i="3"/>
  <c r="AY10" i="3" s="1"/>
  <c r="AY7" i="3"/>
  <c r="AY58" i="3"/>
  <c r="AY40" i="3"/>
  <c r="AY60" i="3" s="1"/>
  <c r="AZ8" i="3"/>
  <c r="AY39" i="3"/>
  <c r="AY59" i="3" s="1"/>
  <c r="AY24" i="3"/>
  <c r="AY52" i="3"/>
  <c r="AY53" i="3"/>
  <c r="AY6" i="3" l="1"/>
  <c r="AX14" i="3"/>
  <c r="AX15" i="3" s="1"/>
  <c r="AY18" i="3"/>
  <c r="AY11" i="3"/>
  <c r="AY12" i="3" s="1"/>
  <c r="AY13" i="3" s="1"/>
  <c r="AZ4" i="3"/>
  <c r="AZ5" i="3"/>
  <c r="AZ10" i="3" s="1"/>
  <c r="AZ7" i="3"/>
  <c r="BA8" i="3"/>
  <c r="AZ39" i="3"/>
  <c r="AZ59" i="3" s="1"/>
  <c r="AZ58" i="3"/>
  <c r="AZ40" i="3"/>
  <c r="AZ60" i="3" s="1"/>
  <c r="AZ53" i="3"/>
  <c r="AZ52" i="3"/>
  <c r="AZ24" i="3"/>
  <c r="AY14" i="3" l="1"/>
  <c r="AY15" i="3" s="1"/>
  <c r="AZ18" i="3"/>
  <c r="AZ11" i="3"/>
  <c r="AZ12" i="3" s="1"/>
  <c r="AZ13" i="3" s="1"/>
  <c r="AZ6" i="3"/>
  <c r="BA4" i="3"/>
  <c r="BA5" i="3"/>
  <c r="BA10" i="3" s="1"/>
  <c r="BA7" i="3"/>
  <c r="BA40" i="3"/>
  <c r="BA39" i="3"/>
  <c r="BA58" i="3"/>
  <c r="BB8" i="3"/>
  <c r="BA53" i="3"/>
  <c r="BA24" i="3"/>
  <c r="BA52" i="3"/>
  <c r="AZ14" i="3" l="1"/>
  <c r="AZ15" i="3" s="1"/>
  <c r="BA6" i="3"/>
  <c r="BA11" i="3"/>
  <c r="BA12" i="3" s="1"/>
  <c r="BA13" i="3" s="1"/>
  <c r="BA18" i="3"/>
  <c r="BB4" i="3"/>
  <c r="BB5" i="3"/>
  <c r="BB10" i="3" s="1"/>
  <c r="BB7" i="3"/>
  <c r="BA59" i="3"/>
  <c r="BB40" i="3"/>
  <c r="BB60" i="3" s="1"/>
  <c r="BB58" i="3"/>
  <c r="BB39" i="3"/>
  <c r="BB59" i="3" s="1"/>
  <c r="BC8" i="3"/>
  <c r="BB53" i="3"/>
  <c r="BB24" i="3"/>
  <c r="BB52" i="3"/>
  <c r="BA60" i="3"/>
  <c r="BB6" i="3" l="1"/>
  <c r="BA14" i="3"/>
  <c r="BA15" i="3" s="1"/>
  <c r="BB11" i="3"/>
  <c r="BB12" i="3" s="1"/>
  <c r="BB13" i="3" s="1"/>
  <c r="BB18" i="3"/>
  <c r="BC4" i="3"/>
  <c r="BC5" i="3"/>
  <c r="BC10" i="3" s="1"/>
  <c r="BC18" i="3" s="1"/>
  <c r="BC7" i="3"/>
  <c r="BD8" i="3"/>
  <c r="BC39" i="3"/>
  <c r="BC59" i="3" s="1"/>
  <c r="BC40" i="3"/>
  <c r="BC58" i="3"/>
  <c r="BC24" i="3"/>
  <c r="BC52" i="3"/>
  <c r="BC53" i="3"/>
  <c r="BC6" i="3" l="1"/>
  <c r="BB14" i="3"/>
  <c r="BB15" i="3" s="1"/>
  <c r="BD4" i="3"/>
  <c r="BD5" i="3"/>
  <c r="BD10" i="3" s="1"/>
  <c r="BD7" i="3"/>
  <c r="BC11" i="3"/>
  <c r="BC12" i="3" s="1"/>
  <c r="BC60" i="3"/>
  <c r="BD40" i="3"/>
  <c r="BD60" i="3" s="1"/>
  <c r="BD58" i="3"/>
  <c r="BE8" i="3"/>
  <c r="BD39" i="3"/>
  <c r="BD24" i="3"/>
  <c r="BD52" i="3"/>
  <c r="BD53" i="3"/>
  <c r="BD6" i="3" l="1"/>
  <c r="BC14" i="3"/>
  <c r="BC13" i="3"/>
  <c r="BE4" i="3"/>
  <c r="BE5" i="3"/>
  <c r="BE10" i="3" s="1"/>
  <c r="BE18" i="3" s="1"/>
  <c r="BD11" i="3"/>
  <c r="BD12" i="3" s="1"/>
  <c r="BD13" i="3" s="1"/>
  <c r="BD18" i="3"/>
  <c r="BE7" i="3"/>
  <c r="BD59" i="3"/>
  <c r="BE40" i="3"/>
  <c r="BE60" i="3" s="1"/>
  <c r="BE58" i="3"/>
  <c r="BE39" i="3"/>
  <c r="BE59" i="3" s="1"/>
  <c r="BF8" i="3"/>
  <c r="BE53" i="3"/>
  <c r="BE24" i="3"/>
  <c r="BE52" i="3"/>
  <c r="BD14" i="3" l="1"/>
  <c r="BD15" i="3" s="1"/>
  <c r="BE6" i="3"/>
  <c r="BC15" i="3"/>
  <c r="BF4" i="3"/>
  <c r="BF5" i="3"/>
  <c r="BF10" i="3" s="1"/>
  <c r="BE11" i="3"/>
  <c r="BE12" i="3" s="1"/>
  <c r="BE13" i="3" s="1"/>
  <c r="BF7" i="3"/>
  <c r="BF58" i="3"/>
  <c r="BF40" i="3"/>
  <c r="BF60" i="3" s="1"/>
  <c r="BF39" i="3"/>
  <c r="BF59" i="3" s="1"/>
  <c r="BG8" i="3"/>
  <c r="BF24" i="3"/>
  <c r="BF53" i="3"/>
  <c r="BF52" i="3"/>
  <c r="BF6" i="3" l="1"/>
  <c r="BE14" i="3"/>
  <c r="BE15" i="3" s="1"/>
  <c r="BG5" i="3"/>
  <c r="BG10" i="3" s="1"/>
  <c r="BG4" i="3"/>
  <c r="BF11" i="3"/>
  <c r="BF12" i="3" s="1"/>
  <c r="BF13" i="3" s="1"/>
  <c r="BF18" i="3"/>
  <c r="BG7" i="3"/>
  <c r="BG40" i="3"/>
  <c r="BG60" i="3" s="1"/>
  <c r="BG58" i="3"/>
  <c r="BH8" i="3"/>
  <c r="BG39" i="3"/>
  <c r="BG59" i="3" s="1"/>
  <c r="BG52" i="3"/>
  <c r="BG53" i="3"/>
  <c r="BG24" i="3"/>
  <c r="BG6" i="3" l="1"/>
  <c r="BG11" i="3"/>
  <c r="BG12" i="3" s="1"/>
  <c r="BG13" i="3" s="1"/>
  <c r="BG18" i="3"/>
  <c r="BH5" i="3"/>
  <c r="BH10" i="3" s="1"/>
  <c r="BH18" i="3" s="1"/>
  <c r="BH4" i="3"/>
  <c r="BF14" i="3"/>
  <c r="BF15" i="3" s="1"/>
  <c r="BH7" i="3"/>
  <c r="BH40" i="3"/>
  <c r="BH60" i="3" s="1"/>
  <c r="BH58" i="3"/>
  <c r="BH39" i="3"/>
  <c r="BH59" i="3" s="1"/>
  <c r="BI8" i="3"/>
  <c r="BH52" i="3"/>
  <c r="BH24" i="3"/>
  <c r="BH53" i="3"/>
  <c r="BG14" i="3" l="1"/>
  <c r="BG15" i="3" s="1"/>
  <c r="BH6" i="3"/>
  <c r="BH11" i="3"/>
  <c r="BH12" i="3" s="1"/>
  <c r="BH13" i="3" s="1"/>
  <c r="BI5" i="3"/>
  <c r="BI10" i="3" s="1"/>
  <c r="BI4" i="3"/>
  <c r="BI7" i="3"/>
  <c r="BI39" i="3"/>
  <c r="BI59" i="3" s="1"/>
  <c r="BI40" i="3"/>
  <c r="BI60" i="3" s="1"/>
  <c r="BI58" i="3"/>
  <c r="BJ8" i="3"/>
  <c r="BI52" i="3"/>
  <c r="BI53" i="3"/>
  <c r="BI24" i="3"/>
  <c r="BH14" i="3" l="1"/>
  <c r="BI6" i="3"/>
  <c r="BI18" i="3"/>
  <c r="BI11" i="3"/>
  <c r="BI12" i="3" s="1"/>
  <c r="BI13" i="3" s="1"/>
  <c r="BJ4" i="3"/>
  <c r="BJ5" i="3"/>
  <c r="BJ10" i="3" s="1"/>
  <c r="BJ7" i="3"/>
  <c r="BH15" i="3"/>
  <c r="BJ58" i="3"/>
  <c r="BJ39" i="3"/>
  <c r="BJ59" i="3" s="1"/>
  <c r="BK8" i="3"/>
  <c r="BJ40" i="3"/>
  <c r="BJ60" i="3" s="1"/>
  <c r="BJ52" i="3"/>
  <c r="BJ24" i="3"/>
  <c r="BJ53" i="3"/>
  <c r="BJ6" i="3" l="1"/>
  <c r="BJ18" i="3"/>
  <c r="BJ11" i="3"/>
  <c r="BJ12" i="3" s="1"/>
  <c r="BJ13" i="3" s="1"/>
  <c r="BI14" i="3"/>
  <c r="BI15" i="3" s="1"/>
  <c r="BK5" i="3"/>
  <c r="BK10" i="3" s="1"/>
  <c r="BK4" i="3"/>
  <c r="BK7" i="3"/>
  <c r="BK58" i="3"/>
  <c r="BK40" i="3"/>
  <c r="BK60" i="3" s="1"/>
  <c r="BK39" i="3"/>
  <c r="BK59" i="3" s="1"/>
  <c r="BL8" i="3"/>
  <c r="BK52" i="3"/>
  <c r="BK24" i="3"/>
  <c r="BK53" i="3"/>
  <c r="BK6" i="3" l="1"/>
  <c r="BJ14" i="3"/>
  <c r="BJ15" i="3" s="1"/>
  <c r="BL4" i="3"/>
  <c r="BL5" i="3"/>
  <c r="BL10" i="3" s="1"/>
  <c r="BL18" i="3" s="1"/>
  <c r="BK11" i="3"/>
  <c r="BK12" i="3" s="1"/>
  <c r="BK13" i="3" s="1"/>
  <c r="BK18" i="3"/>
  <c r="BL7" i="3"/>
  <c r="BL58" i="3"/>
  <c r="BM8" i="3"/>
  <c r="BL39" i="3"/>
  <c r="BL59" i="3" s="1"/>
  <c r="BL40" i="3"/>
  <c r="BL60" i="3" s="1"/>
  <c r="BL52" i="3"/>
  <c r="BL24" i="3"/>
  <c r="BL53" i="3"/>
  <c r="BL6" i="3" l="1"/>
  <c r="BK14" i="3"/>
  <c r="BK15" i="3" s="1"/>
  <c r="BM4" i="3"/>
  <c r="BM5" i="3"/>
  <c r="BM10" i="3" s="1"/>
  <c r="BL11" i="3"/>
  <c r="BL12" i="3" s="1"/>
  <c r="BL13" i="3" s="1"/>
  <c r="BM7" i="3"/>
  <c r="BN8" i="3"/>
  <c r="BM39" i="3"/>
  <c r="BM58" i="3"/>
  <c r="BM40" i="3"/>
  <c r="BM24" i="3"/>
  <c r="BM53" i="3"/>
  <c r="BM52" i="3"/>
  <c r="BL14" i="3" l="1"/>
  <c r="BM6" i="3"/>
  <c r="BM18" i="3"/>
  <c r="BM11" i="3"/>
  <c r="BM12" i="3" s="1"/>
  <c r="BM13" i="3" s="1"/>
  <c r="BN4" i="3"/>
  <c r="BN5" i="3"/>
  <c r="BN10" i="3" s="1"/>
  <c r="BN18" i="3" s="1"/>
  <c r="BN7" i="3"/>
  <c r="BM14" i="3"/>
  <c r="BM59" i="3"/>
  <c r="BM60" i="3"/>
  <c r="BN40" i="3"/>
  <c r="BN60" i="3" s="1"/>
  <c r="BO8" i="3"/>
  <c r="BN58" i="3"/>
  <c r="BN39" i="3"/>
  <c r="BN59" i="3" s="1"/>
  <c r="BN52" i="3"/>
  <c r="BN24" i="3"/>
  <c r="BN53" i="3"/>
  <c r="BL15" i="3"/>
  <c r="BN6" i="3" l="1"/>
  <c r="BO4" i="3"/>
  <c r="BO5" i="3"/>
  <c r="BO10" i="3" s="1"/>
  <c r="BO7" i="3"/>
  <c r="BN11" i="3"/>
  <c r="BN12" i="3" s="1"/>
  <c r="BN13" i="3" s="1"/>
  <c r="BM15" i="3"/>
  <c r="BO40" i="3"/>
  <c r="BO39" i="3"/>
  <c r="BO59" i="3" s="1"/>
  <c r="BO58" i="3"/>
  <c r="BP8" i="3"/>
  <c r="BO24" i="3"/>
  <c r="BO53" i="3"/>
  <c r="BO52" i="3"/>
  <c r="BO18" i="3" l="1"/>
  <c r="BO11" i="3"/>
  <c r="BO12" i="3" s="1"/>
  <c r="BO13" i="3" s="1"/>
  <c r="BO6" i="3"/>
  <c r="BP4" i="3"/>
  <c r="BP5" i="3"/>
  <c r="BP10" i="3" s="1"/>
  <c r="BP18" i="3" s="1"/>
  <c r="BP7" i="3"/>
  <c r="BO14" i="3"/>
  <c r="BN14" i="3"/>
  <c r="BQ8" i="3"/>
  <c r="BP58" i="3"/>
  <c r="BP40" i="3"/>
  <c r="BP60" i="3" s="1"/>
  <c r="BP39" i="3"/>
  <c r="BP52" i="3"/>
  <c r="BP53" i="3"/>
  <c r="BP24" i="3"/>
  <c r="BO60" i="3"/>
  <c r="BN15" i="3"/>
  <c r="BP6" i="3" l="1"/>
  <c r="BQ5" i="3"/>
  <c r="BQ10" i="3" s="1"/>
  <c r="BQ4" i="3"/>
  <c r="BQ7" i="3"/>
  <c r="BP11" i="3"/>
  <c r="BP12" i="3" s="1"/>
  <c r="BP13" i="3" s="1"/>
  <c r="BP59" i="3"/>
  <c r="BQ58" i="3"/>
  <c r="BQ40" i="3"/>
  <c r="BQ39" i="3"/>
  <c r="BQ59" i="3" s="1"/>
  <c r="BR8" i="3"/>
  <c r="BQ24" i="3"/>
  <c r="BQ52" i="3"/>
  <c r="BQ53" i="3"/>
  <c r="BO15" i="3"/>
  <c r="BQ6" i="3" l="1"/>
  <c r="BR4" i="3"/>
  <c r="BR5" i="3"/>
  <c r="BR10" i="3" s="1"/>
  <c r="BQ11" i="3"/>
  <c r="BQ12" i="3" s="1"/>
  <c r="BQ13" i="3" s="1"/>
  <c r="BQ18" i="3"/>
  <c r="BR7" i="3"/>
  <c r="BP14" i="3"/>
  <c r="BR40" i="3"/>
  <c r="BR60" i="3" s="1"/>
  <c r="BR58" i="3"/>
  <c r="BR39" i="3"/>
  <c r="BS8" i="3"/>
  <c r="BR53" i="3"/>
  <c r="BR52" i="3"/>
  <c r="BR24" i="3"/>
  <c r="BQ60" i="3"/>
  <c r="BP15" i="3"/>
  <c r="BR6" i="3" l="1"/>
  <c r="BS4" i="3"/>
  <c r="BS5" i="3"/>
  <c r="BS10" i="3" s="1"/>
  <c r="BQ14" i="3"/>
  <c r="BQ15" i="3" s="1"/>
  <c r="BR11" i="3"/>
  <c r="BR12" i="3" s="1"/>
  <c r="BR13" i="3" s="1"/>
  <c r="BR18" i="3"/>
  <c r="BS7" i="3"/>
  <c r="BS39" i="3"/>
  <c r="BS59" i="3" s="1"/>
  <c r="BS40" i="3"/>
  <c r="BS58" i="3"/>
  <c r="BT8" i="3"/>
  <c r="BS24" i="3"/>
  <c r="BS53" i="3"/>
  <c r="BS52" i="3"/>
  <c r="BR59" i="3"/>
  <c r="BS6" i="3" l="1"/>
  <c r="BR14" i="3"/>
  <c r="BR15" i="3" s="1"/>
  <c r="BT4" i="3"/>
  <c r="BT5" i="3"/>
  <c r="BT10" i="3" s="1"/>
  <c r="BT18" i="3" s="1"/>
  <c r="BS11" i="3"/>
  <c r="BS12" i="3" s="1"/>
  <c r="BS13" i="3" s="1"/>
  <c r="BS18" i="3"/>
  <c r="BT7" i="3"/>
  <c r="BT58" i="3"/>
  <c r="BT39" i="3"/>
  <c r="BT59" i="3" s="1"/>
  <c r="BU8" i="3"/>
  <c r="BT40" i="3"/>
  <c r="BT60" i="3" s="1"/>
  <c r="BT52" i="3"/>
  <c r="BT24" i="3"/>
  <c r="BT53" i="3"/>
  <c r="BS60" i="3"/>
  <c r="BT6" i="3" l="1"/>
  <c r="BS14" i="3"/>
  <c r="BS15" i="3" s="1"/>
  <c r="BU4" i="3"/>
  <c r="BU5" i="3"/>
  <c r="BU10" i="3" s="1"/>
  <c r="BU7" i="3"/>
  <c r="BT11" i="3"/>
  <c r="BT12" i="3" s="1"/>
  <c r="BT13" i="3" s="1"/>
  <c r="BU40" i="3"/>
  <c r="BU60" i="3" s="1"/>
  <c r="BU58" i="3"/>
  <c r="BU39" i="3"/>
  <c r="BU59" i="3" s="1"/>
  <c r="BV8" i="3"/>
  <c r="BU24" i="3"/>
  <c r="BU53" i="3"/>
  <c r="BU52" i="3"/>
  <c r="BU18" i="3" l="1"/>
  <c r="BU11" i="3"/>
  <c r="BU12" i="3" s="1"/>
  <c r="BU13" i="3" s="1"/>
  <c r="BU6" i="3"/>
  <c r="BV4" i="3"/>
  <c r="BV5" i="3"/>
  <c r="BV10" i="3" s="1"/>
  <c r="BV7" i="3"/>
  <c r="BU14" i="3"/>
  <c r="BT14" i="3"/>
  <c r="BV58" i="3"/>
  <c r="BW8" i="3"/>
  <c r="BV39" i="3"/>
  <c r="BV59" i="3" s="1"/>
  <c r="BV24" i="3"/>
  <c r="BV52" i="3"/>
  <c r="BV53" i="3"/>
  <c r="BV40" i="3" l="1"/>
  <c r="BV60" i="3" s="1"/>
  <c r="BV6" i="3"/>
  <c r="BW4" i="3"/>
  <c r="BW5" i="3"/>
  <c r="BW10" i="3" s="1"/>
  <c r="BV11" i="3"/>
  <c r="BV12" i="3" s="1"/>
  <c r="BV13" i="3" s="1"/>
  <c r="BV18" i="3"/>
  <c r="BT15" i="3"/>
  <c r="BW7" i="3"/>
  <c r="BU15" i="3"/>
  <c r="BW39" i="3"/>
  <c r="BW59" i="3" s="1"/>
  <c r="BX8" i="3"/>
  <c r="BW58" i="3"/>
  <c r="BW40" i="3"/>
  <c r="BW60" i="3" s="1"/>
  <c r="BW52" i="3"/>
  <c r="BW53" i="3"/>
  <c r="BW24" i="3"/>
  <c r="BW6" i="3" l="1"/>
  <c r="BV14" i="3"/>
  <c r="BV15" i="3" s="1"/>
  <c r="BX4" i="3"/>
  <c r="BX5" i="3"/>
  <c r="BX10" i="3" s="1"/>
  <c r="BW11" i="3"/>
  <c r="BW12" i="3" s="1"/>
  <c r="BW13" i="3" s="1"/>
  <c r="BW18" i="3"/>
  <c r="BX7" i="3"/>
  <c r="BY8" i="3"/>
  <c r="BX39" i="3"/>
  <c r="BX59" i="3" s="1"/>
  <c r="BX24" i="3"/>
  <c r="BX53" i="3"/>
  <c r="BX52" i="3"/>
  <c r="BX58" i="3"/>
  <c r="BX6" i="3" l="1"/>
  <c r="BX18" i="3"/>
  <c r="BX11" i="3"/>
  <c r="BX12" i="3" s="1"/>
  <c r="BX13" i="3" s="1"/>
  <c r="BW14" i="3"/>
  <c r="BW15" i="3" s="1"/>
  <c r="BY5" i="3"/>
  <c r="BY10" i="3" s="1"/>
  <c r="BY4" i="3"/>
  <c r="BY7" i="3"/>
  <c r="BX40" i="3"/>
  <c r="BX60" i="3" s="1"/>
  <c r="BY58" i="3"/>
  <c r="BY40" i="3"/>
  <c r="BY39" i="3"/>
  <c r="BZ8" i="3"/>
  <c r="BY52" i="3"/>
  <c r="BY53" i="3"/>
  <c r="BY24" i="3"/>
  <c r="BY6" i="3" l="1"/>
  <c r="BX14" i="3"/>
  <c r="BX15" i="3" s="1"/>
  <c r="BY11" i="3"/>
  <c r="BY12" i="3" s="1"/>
  <c r="BY13" i="3" s="1"/>
  <c r="BY18" i="3"/>
  <c r="BZ4" i="3"/>
  <c r="BZ5" i="3"/>
  <c r="BZ10" i="3" s="1"/>
  <c r="BZ18" i="3" s="1"/>
  <c r="BZ7" i="3"/>
  <c r="BY59" i="3"/>
  <c r="CA8" i="3"/>
  <c r="BZ39" i="3"/>
  <c r="BZ59" i="3" s="1"/>
  <c r="BZ40" i="3"/>
  <c r="BZ60" i="3" s="1"/>
  <c r="BZ58" i="3"/>
  <c r="BZ24" i="3"/>
  <c r="BZ53" i="3"/>
  <c r="BZ52" i="3"/>
  <c r="BY60" i="3"/>
  <c r="BZ6" i="3" l="1"/>
  <c r="CA5" i="3"/>
  <c r="CA10" i="3" s="1"/>
  <c r="CA18" i="3" s="1"/>
  <c r="CA4" i="3"/>
  <c r="BY14" i="3"/>
  <c r="BY15" i="3" s="1"/>
  <c r="CA7" i="3"/>
  <c r="BZ11" i="3"/>
  <c r="BZ12" i="3" s="1"/>
  <c r="BZ13" i="3" s="1"/>
  <c r="CA39" i="3"/>
  <c r="CB8" i="3"/>
  <c r="CA40" i="3"/>
  <c r="CA58" i="3"/>
  <c r="CA53" i="3"/>
  <c r="CA52" i="3"/>
  <c r="CA24" i="3"/>
  <c r="CA6" i="3" l="1"/>
  <c r="CB4" i="3"/>
  <c r="CB5" i="3"/>
  <c r="CB10" i="3" s="1"/>
  <c r="CA11" i="3"/>
  <c r="CA12" i="3" s="1"/>
  <c r="CA13" i="3" s="1"/>
  <c r="CB7" i="3"/>
  <c r="BZ14" i="3"/>
  <c r="BZ15" i="3" s="1"/>
  <c r="CA59" i="3"/>
  <c r="CA60" i="3"/>
  <c r="CB40" i="3"/>
  <c r="CB60" i="3" s="1"/>
  <c r="CB58" i="3"/>
  <c r="CB39" i="3"/>
  <c r="CB59" i="3" s="1"/>
  <c r="CC8" i="3"/>
  <c r="CB53" i="3"/>
  <c r="CB52" i="3"/>
  <c r="CB24" i="3"/>
  <c r="CB6" i="3" l="1"/>
  <c r="CB11" i="3"/>
  <c r="CB12" i="3" s="1"/>
  <c r="CB13" i="3" s="1"/>
  <c r="CB18" i="3"/>
  <c r="CC5" i="3"/>
  <c r="CC10" i="3" s="1"/>
  <c r="CC4" i="3"/>
  <c r="CA14" i="3"/>
  <c r="CA15" i="3" s="1"/>
  <c r="CC7" i="3"/>
  <c r="CC58" i="3"/>
  <c r="CC40" i="3"/>
  <c r="CC39" i="3"/>
  <c r="CC59" i="3" s="1"/>
  <c r="CD8" i="3"/>
  <c r="CC52" i="3"/>
  <c r="CC24" i="3"/>
  <c r="CC53" i="3"/>
  <c r="CC6" i="3" l="1"/>
  <c r="CC11" i="3"/>
  <c r="CC12" i="3" s="1"/>
  <c r="CC13" i="3" s="1"/>
  <c r="CC18" i="3"/>
  <c r="CD5" i="3"/>
  <c r="CD10" i="3" s="1"/>
  <c r="CD4" i="3"/>
  <c r="CB14" i="3"/>
  <c r="CB15" i="3" s="1"/>
  <c r="CD7" i="3"/>
  <c r="CC60" i="3"/>
  <c r="CD39" i="3"/>
  <c r="CE8" i="3"/>
  <c r="CD40" i="3"/>
  <c r="CD60" i="3" s="1"/>
  <c r="CD58" i="3"/>
  <c r="CD52" i="3"/>
  <c r="CD24" i="3"/>
  <c r="CD53" i="3"/>
  <c r="CD6" i="3" l="1"/>
  <c r="CC14" i="3"/>
  <c r="CC15" i="3" s="1"/>
  <c r="CD11" i="3"/>
  <c r="CD12" i="3" s="1"/>
  <c r="CD13" i="3" s="1"/>
  <c r="CD18" i="3"/>
  <c r="CE5" i="3"/>
  <c r="CE10" i="3" s="1"/>
  <c r="CE18" i="3" s="1"/>
  <c r="CE4" i="3"/>
  <c r="CE7" i="3"/>
  <c r="CE40" i="3"/>
  <c r="CE58" i="3"/>
  <c r="CE39" i="3"/>
  <c r="CE59" i="3" s="1"/>
  <c r="CF8" i="3"/>
  <c r="CE24" i="3"/>
  <c r="CE52" i="3"/>
  <c r="CE53" i="3"/>
  <c r="CD59" i="3"/>
  <c r="CD14" i="3" l="1"/>
  <c r="CD15" i="3" s="1"/>
  <c r="CE6" i="3"/>
  <c r="CF5" i="3"/>
  <c r="CF10" i="3" s="1"/>
  <c r="CF4" i="3"/>
  <c r="CF7" i="3"/>
  <c r="CE11" i="3"/>
  <c r="CE12" i="3" s="1"/>
  <c r="CE13" i="3" s="1"/>
  <c r="CF39" i="3"/>
  <c r="CF59" i="3" s="1"/>
  <c r="CF40" i="3"/>
  <c r="CF60" i="3" s="1"/>
  <c r="CF58" i="3"/>
  <c r="CG8" i="3"/>
  <c r="CF24" i="3"/>
  <c r="CF53" i="3"/>
  <c r="CF52" i="3"/>
  <c r="CE60" i="3"/>
  <c r="CF6" i="3" l="1"/>
  <c r="CF11" i="3"/>
  <c r="CF12" i="3" s="1"/>
  <c r="CF13" i="3" s="1"/>
  <c r="CF18" i="3"/>
  <c r="CG4" i="3"/>
  <c r="CG5" i="3"/>
  <c r="CG10" i="3" s="1"/>
  <c r="CG7" i="3"/>
  <c r="CE14" i="3"/>
  <c r="CE15" i="3" s="1"/>
  <c r="CH8" i="3"/>
  <c r="CG40" i="3"/>
  <c r="CG60" i="3" s="1"/>
  <c r="CG58" i="3"/>
  <c r="CG39" i="3"/>
  <c r="CG59" i="3" s="1"/>
  <c r="CG24" i="3"/>
  <c r="CG52" i="3"/>
  <c r="CG53" i="3"/>
  <c r="CG6" i="3" l="1"/>
  <c r="CG18" i="3"/>
  <c r="CG11" i="3"/>
  <c r="CG12" i="3" s="1"/>
  <c r="CG13" i="3" s="1"/>
  <c r="CH5" i="3"/>
  <c r="CH10" i="3" s="1"/>
  <c r="CH18" i="3" s="1"/>
  <c r="CH4" i="3"/>
  <c r="CF14" i="3"/>
  <c r="CF15" i="3" s="1"/>
  <c r="CH7" i="3"/>
  <c r="CH58" i="3"/>
  <c r="CH40" i="3"/>
  <c r="CH60" i="3" s="1"/>
  <c r="CH39" i="3"/>
  <c r="CH59" i="3" s="1"/>
  <c r="CI8" i="3"/>
  <c r="CH52" i="3"/>
  <c r="CH53" i="3"/>
  <c r="CH24" i="3"/>
  <c r="CH6" i="3" l="1"/>
  <c r="CG14" i="3"/>
  <c r="CG15" i="3" s="1"/>
  <c r="CI4" i="3"/>
  <c r="CI5" i="3"/>
  <c r="CI10" i="3" s="1"/>
  <c r="CI7" i="3"/>
  <c r="CH11" i="3"/>
  <c r="CH12" i="3" s="1"/>
  <c r="CH13" i="3" s="1"/>
  <c r="CI40" i="3"/>
  <c r="CI60" i="3" s="1"/>
  <c r="CI58" i="3"/>
  <c r="CJ8" i="3"/>
  <c r="CI39" i="3"/>
  <c r="CI59" i="3" s="1"/>
  <c r="CI52" i="3"/>
  <c r="CI24" i="3"/>
  <c r="CI53" i="3"/>
  <c r="CI6" i="3" l="1"/>
  <c r="CI18" i="3"/>
  <c r="CI11" i="3"/>
  <c r="CI12" i="3" s="1"/>
  <c r="CI13" i="3" s="1"/>
  <c r="CJ5" i="3"/>
  <c r="CJ10" i="3" s="1"/>
  <c r="CJ18" i="3" s="1"/>
  <c r="CJ4" i="3"/>
  <c r="CJ7" i="3"/>
  <c r="CH14" i="3"/>
  <c r="CH15" i="3" s="1"/>
  <c r="CJ58" i="3"/>
  <c r="CK8" i="3"/>
  <c r="CJ39" i="3"/>
  <c r="CJ59" i="3" s="1"/>
  <c r="CJ40" i="3"/>
  <c r="CJ60" i="3" s="1"/>
  <c r="CJ52" i="3"/>
  <c r="CJ53" i="3"/>
  <c r="CJ24" i="3"/>
  <c r="CI14" i="3" l="1"/>
  <c r="CI15" i="3" s="1"/>
  <c r="CJ6" i="3"/>
  <c r="CK4" i="3"/>
  <c r="CK5" i="3"/>
  <c r="CK10" i="3" s="1"/>
  <c r="CK7" i="3"/>
  <c r="CJ11" i="3"/>
  <c r="CJ12" i="3" s="1"/>
  <c r="CJ13" i="3" s="1"/>
  <c r="CK39" i="3"/>
  <c r="CL8" i="3"/>
  <c r="CK40" i="3"/>
  <c r="CK58" i="3"/>
  <c r="CK53" i="3"/>
  <c r="CK24" i="3"/>
  <c r="CK52" i="3"/>
  <c r="CK6" i="3" l="1"/>
  <c r="CK11" i="3"/>
  <c r="CK12" i="3" s="1"/>
  <c r="CK13" i="3" s="1"/>
  <c r="CK18" i="3"/>
  <c r="CL4" i="3"/>
  <c r="CL5" i="3"/>
  <c r="CL10" i="3" s="1"/>
  <c r="CL7" i="3"/>
  <c r="CJ14" i="3"/>
  <c r="CJ15" i="3" s="1"/>
  <c r="CL39" i="3"/>
  <c r="CL59" i="3" s="1"/>
  <c r="CL40" i="3"/>
  <c r="CL60" i="3" s="1"/>
  <c r="CL58" i="3"/>
  <c r="CM8" i="3"/>
  <c r="CL24" i="3"/>
  <c r="CL52" i="3"/>
  <c r="CL53" i="3"/>
  <c r="CK60" i="3"/>
  <c r="CK59" i="3"/>
  <c r="CL6" i="3" l="1"/>
  <c r="CL18" i="3"/>
  <c r="CL11" i="3"/>
  <c r="CL12" i="3" s="1"/>
  <c r="CL13" i="3" s="1"/>
  <c r="CM4" i="3"/>
  <c r="CM5" i="3"/>
  <c r="CM10" i="3" s="1"/>
  <c r="CK14" i="3"/>
  <c r="CK15" i="3" s="1"/>
  <c r="CM7" i="3"/>
  <c r="CM40" i="3"/>
  <c r="CM58" i="3"/>
  <c r="CM39" i="3"/>
  <c r="CN8" i="3"/>
  <c r="CM24" i="3"/>
  <c r="CM53" i="3"/>
  <c r="CM52" i="3"/>
  <c r="CM6" i="3" l="1"/>
  <c r="CM18" i="3"/>
  <c r="CM11" i="3"/>
  <c r="CM12" i="3" s="1"/>
  <c r="CM13" i="3" s="1"/>
  <c r="CL14" i="3"/>
  <c r="CL15" i="3" s="1"/>
  <c r="CN4" i="3"/>
  <c r="CN5" i="3"/>
  <c r="CN10" i="3" s="1"/>
  <c r="CN7" i="3"/>
  <c r="CO8" i="3"/>
  <c r="CN39" i="3"/>
  <c r="CN59" i="3" s="1"/>
  <c r="CN40" i="3"/>
  <c r="CN60" i="3" s="1"/>
  <c r="CN58" i="3"/>
  <c r="CN52" i="3"/>
  <c r="CN53" i="3"/>
  <c r="CN24" i="3"/>
  <c r="CM59" i="3"/>
  <c r="CM60" i="3"/>
  <c r="CN6" i="3" l="1"/>
  <c r="CM14" i="3"/>
  <c r="CM15" i="3" s="1"/>
  <c r="CN18" i="3"/>
  <c r="CN11" i="3"/>
  <c r="CN12" i="3" s="1"/>
  <c r="CN13" i="3" s="1"/>
  <c r="CO4" i="3"/>
  <c r="CO5" i="3"/>
  <c r="CO10" i="3" s="1"/>
  <c r="CO7" i="3"/>
  <c r="CO40" i="3"/>
  <c r="CO58" i="3"/>
  <c r="CP8" i="3"/>
  <c r="CO39" i="3"/>
  <c r="CO24" i="3"/>
  <c r="CO52" i="3"/>
  <c r="CO53" i="3"/>
  <c r="CO6" i="3" l="1"/>
  <c r="CN14" i="3"/>
  <c r="CN15" i="3" s="1"/>
  <c r="CO18" i="3"/>
  <c r="CO11" i="3"/>
  <c r="CO12" i="3" s="1"/>
  <c r="CO13" i="3" s="1"/>
  <c r="CP5" i="3"/>
  <c r="CP10" i="3" s="1"/>
  <c r="CP4" i="3"/>
  <c r="CP7" i="3"/>
  <c r="CO60" i="3"/>
  <c r="CO59" i="3"/>
  <c r="CP40" i="3"/>
  <c r="CP60" i="3" s="1"/>
  <c r="CQ8" i="3"/>
  <c r="CP58" i="3"/>
  <c r="CP39" i="3"/>
  <c r="CP59" i="3" s="1"/>
  <c r="CP24" i="3"/>
  <c r="CP52" i="3"/>
  <c r="CP53" i="3"/>
  <c r="CP6" i="3" l="1"/>
  <c r="CP11" i="3"/>
  <c r="CP12" i="3" s="1"/>
  <c r="CP13" i="3" s="1"/>
  <c r="CP18" i="3"/>
  <c r="CQ4" i="3"/>
  <c r="CQ5" i="3"/>
  <c r="CQ10" i="3" s="1"/>
  <c r="CQ18" i="3" s="1"/>
  <c r="CO14" i="3"/>
  <c r="CO15" i="3" s="1"/>
  <c r="CQ7" i="3"/>
  <c r="CQ39" i="3"/>
  <c r="CQ40" i="3"/>
  <c r="CQ60" i="3" s="1"/>
  <c r="CQ58" i="3"/>
  <c r="CR8" i="3"/>
  <c r="CQ24" i="3"/>
  <c r="CQ53" i="3"/>
  <c r="CQ52" i="3"/>
  <c r="CP14" i="3" l="1"/>
  <c r="CQ6" i="3"/>
  <c r="CR4" i="3"/>
  <c r="CR5" i="3"/>
  <c r="CR10" i="3" s="1"/>
  <c r="CR7" i="3"/>
  <c r="CQ11" i="3"/>
  <c r="CQ12" i="3" s="1"/>
  <c r="CQ13" i="3" s="1"/>
  <c r="CP15" i="3"/>
  <c r="CR58" i="3"/>
  <c r="CR39" i="3"/>
  <c r="CR59" i="3" s="1"/>
  <c r="CS8" i="3"/>
  <c r="CR40" i="3"/>
  <c r="CR60" i="3" s="1"/>
  <c r="CR24" i="3"/>
  <c r="CR53" i="3"/>
  <c r="CR52" i="3"/>
  <c r="CQ59" i="3"/>
  <c r="CR6" i="3" l="1"/>
  <c r="CR11" i="3"/>
  <c r="CR12" i="3" s="1"/>
  <c r="CR13" i="3" s="1"/>
  <c r="CR18" i="3"/>
  <c r="CS4" i="3"/>
  <c r="CS5" i="3"/>
  <c r="CS10" i="3" s="1"/>
  <c r="CS18" i="3" s="1"/>
  <c r="CS7" i="3"/>
  <c r="CQ14" i="3"/>
  <c r="CQ15" i="3" s="1"/>
  <c r="CS58" i="3"/>
  <c r="CS40" i="3"/>
  <c r="CS60" i="3" s="1"/>
  <c r="CS39" i="3"/>
  <c r="CS59" i="3" s="1"/>
  <c r="CT8" i="3"/>
  <c r="CS24" i="3"/>
  <c r="CS52" i="3"/>
  <c r="CS53" i="3"/>
  <c r="CS6" i="3" l="1"/>
  <c r="CR14" i="3"/>
  <c r="CR15" i="3" s="1"/>
  <c r="CT4" i="3"/>
  <c r="CT5" i="3"/>
  <c r="CT10" i="3" s="1"/>
  <c r="CT7" i="3"/>
  <c r="CS11" i="3"/>
  <c r="CS12" i="3" s="1"/>
  <c r="CS13" i="3" s="1"/>
  <c r="CT40" i="3"/>
  <c r="CT60" i="3" s="1"/>
  <c r="CT58" i="3"/>
  <c r="CU8" i="3"/>
  <c r="CT39" i="3"/>
  <c r="CT59" i="3" s="1"/>
  <c r="CT24" i="3"/>
  <c r="CT52" i="3"/>
  <c r="CT53" i="3"/>
  <c r="CT6" i="3" l="1"/>
  <c r="CT11" i="3"/>
  <c r="CT12" i="3" s="1"/>
  <c r="CT13" i="3" s="1"/>
  <c r="CT18" i="3"/>
  <c r="CU4" i="3"/>
  <c r="CU5" i="3"/>
  <c r="CU10" i="3" s="1"/>
  <c r="CU7" i="3"/>
  <c r="CS14" i="3"/>
  <c r="CS15" i="3" s="1"/>
  <c r="CU39" i="3"/>
  <c r="CU59" i="3" s="1"/>
  <c r="CV8" i="3"/>
  <c r="CU58" i="3"/>
  <c r="CU40" i="3"/>
  <c r="CU60" i="3" s="1"/>
  <c r="CU24" i="3"/>
  <c r="CU52" i="3"/>
  <c r="CU53" i="3"/>
  <c r="CT14" i="3" l="1"/>
  <c r="CT15" i="3" s="1"/>
  <c r="CV39" i="3"/>
  <c r="CV59" i="3" s="1"/>
  <c r="CU6" i="3"/>
  <c r="CV7" i="3"/>
  <c r="CV5" i="3"/>
  <c r="CV10" i="3" s="1"/>
  <c r="CV4" i="3"/>
  <c r="CU11" i="3"/>
  <c r="CU12" i="3" s="1"/>
  <c r="CU13" i="3" s="1"/>
  <c r="CU18" i="3"/>
  <c r="CW8" i="3"/>
  <c r="CV24" i="3"/>
  <c r="CV52" i="3"/>
  <c r="CV53" i="3"/>
  <c r="CV58" i="3"/>
  <c r="CV6" i="3" l="1"/>
  <c r="CV11" i="3"/>
  <c r="CV12" i="3" s="1"/>
  <c r="CV13" i="3" s="1"/>
  <c r="CV18" i="3"/>
  <c r="CW5" i="3"/>
  <c r="CW10" i="3" s="1"/>
  <c r="CW4" i="3"/>
  <c r="CU14" i="3"/>
  <c r="CU15" i="3" s="1"/>
  <c r="CW7" i="3"/>
  <c r="CV40" i="3"/>
  <c r="CV60" i="3" s="1"/>
  <c r="CW40" i="3"/>
  <c r="CW58" i="3"/>
  <c r="CX8" i="3"/>
  <c r="CW39" i="3"/>
  <c r="CW53" i="3"/>
  <c r="CW52" i="3"/>
  <c r="CW24" i="3"/>
  <c r="CW6" i="3" l="1"/>
  <c r="CV14" i="3"/>
  <c r="CV15" i="3" s="1"/>
  <c r="CX4" i="3"/>
  <c r="CX5" i="3"/>
  <c r="CX10" i="3" s="1"/>
  <c r="CW11" i="3"/>
  <c r="CW12" i="3" s="1"/>
  <c r="CW13" i="3" s="1"/>
  <c r="CW18" i="3"/>
  <c r="CX7" i="3"/>
  <c r="CW59" i="3"/>
  <c r="CX58" i="3"/>
  <c r="CX39" i="3"/>
  <c r="CX59" i="3" s="1"/>
  <c r="CX40" i="3"/>
  <c r="CX60" i="3" s="1"/>
  <c r="CY8" i="3"/>
  <c r="CX53" i="3"/>
  <c r="CX24" i="3"/>
  <c r="CX52" i="3"/>
  <c r="CW60" i="3"/>
  <c r="CX6" i="3" l="1"/>
  <c r="CX11" i="3"/>
  <c r="CX12" i="3" s="1"/>
  <c r="CX13" i="3" s="1"/>
  <c r="CX18" i="3"/>
  <c r="CY4" i="3"/>
  <c r="CY5" i="3"/>
  <c r="CY10" i="3" s="1"/>
  <c r="CW14" i="3"/>
  <c r="CW15" i="3" s="1"/>
  <c r="CY7" i="3"/>
  <c r="CY58" i="3"/>
  <c r="CY39" i="3"/>
  <c r="CZ8" i="3"/>
  <c r="CY40" i="3"/>
  <c r="CY24" i="3"/>
  <c r="CY53" i="3"/>
  <c r="CY52" i="3"/>
  <c r="CY6" i="3" l="1"/>
  <c r="CY18" i="3"/>
  <c r="CY11" i="3"/>
  <c r="CY12" i="3" s="1"/>
  <c r="CY13" i="3" s="1"/>
  <c r="CX14" i="3"/>
  <c r="CX15" i="3" s="1"/>
  <c r="CZ4" i="3"/>
  <c r="CZ5" i="3"/>
  <c r="CZ10" i="3" s="1"/>
  <c r="CZ7" i="3"/>
  <c r="CZ40" i="3"/>
  <c r="CZ60" i="3" s="1"/>
  <c r="CZ58" i="3"/>
  <c r="DA8" i="3"/>
  <c r="CZ39" i="3"/>
  <c r="CZ59" i="3" s="1"/>
  <c r="CZ24" i="3"/>
  <c r="CZ52" i="3"/>
  <c r="CZ53" i="3"/>
  <c r="CY60" i="3"/>
  <c r="CY59" i="3"/>
  <c r="CY14" i="3" l="1"/>
  <c r="CZ6" i="3"/>
  <c r="DA5" i="3"/>
  <c r="DA10" i="3" s="1"/>
  <c r="DA4" i="3"/>
  <c r="CZ11" i="3"/>
  <c r="CZ12" i="3" s="1"/>
  <c r="CZ13" i="3" s="1"/>
  <c r="CZ18" i="3"/>
  <c r="DA7" i="3"/>
  <c r="DA40" i="3"/>
  <c r="DA39" i="3"/>
  <c r="DA58" i="3"/>
  <c r="DB8" i="3"/>
  <c r="DA53" i="3"/>
  <c r="DA24" i="3"/>
  <c r="DA52" i="3"/>
  <c r="CY15" i="3"/>
  <c r="DA6" i="3" l="1"/>
  <c r="CZ14" i="3"/>
  <c r="CZ15" i="3" s="1"/>
  <c r="DA18" i="3"/>
  <c r="DA11" i="3"/>
  <c r="DA12" i="3" s="1"/>
  <c r="DA13" i="3" s="1"/>
  <c r="DB5" i="3"/>
  <c r="DB10" i="3" s="1"/>
  <c r="DB18" i="3" s="1"/>
  <c r="DB4" i="3"/>
  <c r="DB7" i="3"/>
  <c r="DA59" i="3"/>
  <c r="DA60" i="3"/>
  <c r="DB39" i="3"/>
  <c r="DB59" i="3" s="1"/>
  <c r="DC8" i="3"/>
  <c r="DB58" i="3"/>
  <c r="DB40" i="3"/>
  <c r="DB60" i="3" s="1"/>
  <c r="DB52" i="3"/>
  <c r="DB24" i="3"/>
  <c r="DB53" i="3"/>
  <c r="DB6" i="3" l="1"/>
  <c r="DA14" i="3"/>
  <c r="DA15" i="3" s="1"/>
  <c r="DC5" i="3"/>
  <c r="DC10" i="3" s="1"/>
  <c r="DC4" i="3"/>
  <c r="DC7" i="3"/>
  <c r="DB11" i="3"/>
  <c r="DB12" i="3" s="1"/>
  <c r="DB13" i="3" s="1"/>
  <c r="DC39" i="3"/>
  <c r="DC58" i="3"/>
  <c r="DC40" i="3"/>
  <c r="DC60" i="3" s="1"/>
  <c r="DD8" i="3"/>
  <c r="DC53" i="3"/>
  <c r="DC24" i="3"/>
  <c r="DC52" i="3"/>
  <c r="DC6" i="3" l="1"/>
  <c r="DC18" i="3"/>
  <c r="DC11" i="3"/>
  <c r="DC12" i="3" s="1"/>
  <c r="DC13" i="3" s="1"/>
  <c r="DD5" i="3"/>
  <c r="DD10" i="3" s="1"/>
  <c r="DD18" i="3" s="1"/>
  <c r="DD4" i="3"/>
  <c r="DD7" i="3"/>
  <c r="DB14" i="3"/>
  <c r="DB15" i="3" s="1"/>
  <c r="DE8" i="3"/>
  <c r="DD58" i="3"/>
  <c r="DD40" i="3"/>
  <c r="DD60" i="3" s="1"/>
  <c r="DD39" i="3"/>
  <c r="DD59" i="3" s="1"/>
  <c r="DD24" i="3"/>
  <c r="DD52" i="3"/>
  <c r="DD53" i="3"/>
  <c r="DC59" i="3"/>
  <c r="DE24" i="3" l="1"/>
  <c r="DD6" i="3"/>
  <c r="DE4" i="3"/>
  <c r="DE5" i="3"/>
  <c r="DE10" i="3" s="1"/>
  <c r="DE18" i="3" s="1"/>
  <c r="DC14" i="3"/>
  <c r="DC15" i="3" s="1"/>
  <c r="DE7" i="3"/>
  <c r="DD11" i="3"/>
  <c r="DD12" i="3" s="1"/>
  <c r="DD13" i="3" s="1"/>
  <c r="DF8" i="3"/>
  <c r="DE40" i="3"/>
  <c r="DE60" i="3" s="1"/>
  <c r="DE58" i="3"/>
  <c r="DE39" i="3"/>
  <c r="DE59" i="3" s="1"/>
  <c r="DE52" i="3"/>
  <c r="DE53" i="3"/>
  <c r="DE6" i="3" l="1"/>
  <c r="DF4" i="3"/>
  <c r="DF5" i="3"/>
  <c r="DF10" i="3" s="1"/>
  <c r="DE11" i="3"/>
  <c r="DE12" i="3" s="1"/>
  <c r="DE13" i="3" s="1"/>
  <c r="DF7" i="3"/>
  <c r="DD14" i="3"/>
  <c r="DD15" i="3" s="1"/>
  <c r="DF58" i="3"/>
  <c r="DF40" i="3"/>
  <c r="DF60" i="3" s="1"/>
  <c r="DF39" i="3"/>
  <c r="DF59" i="3" s="1"/>
  <c r="DG8" i="3"/>
  <c r="DF53" i="3"/>
  <c r="DF52" i="3"/>
  <c r="DF24" i="3"/>
  <c r="DE14" i="3" l="1"/>
  <c r="DE15" i="3" s="1"/>
  <c r="DF6" i="3"/>
  <c r="DG4" i="3"/>
  <c r="DG5" i="3"/>
  <c r="DG10" i="3" s="1"/>
  <c r="DF11" i="3"/>
  <c r="DF12" i="3" s="1"/>
  <c r="DF13" i="3" s="1"/>
  <c r="DF18" i="3"/>
  <c r="DG7" i="3"/>
  <c r="DG40" i="3"/>
  <c r="DG60" i="3" s="1"/>
  <c r="DG58" i="3"/>
  <c r="DH8" i="3"/>
  <c r="DG39" i="3"/>
  <c r="DG59" i="3" s="1"/>
  <c r="DG24" i="3"/>
  <c r="DG52" i="3"/>
  <c r="DG53" i="3"/>
  <c r="DG6" i="3" l="1"/>
  <c r="DF14" i="3"/>
  <c r="DF15" i="3" s="1"/>
  <c r="DH4" i="3"/>
  <c r="DH5" i="3"/>
  <c r="DH10" i="3" s="1"/>
  <c r="DG11" i="3"/>
  <c r="DG12" i="3" s="1"/>
  <c r="DG13" i="3" s="1"/>
  <c r="DG18" i="3"/>
  <c r="DH7" i="3"/>
  <c r="DH40" i="3"/>
  <c r="DH60" i="3" s="1"/>
  <c r="DH58" i="3"/>
  <c r="DH39" i="3"/>
  <c r="DH59" i="3" s="1"/>
  <c r="DI8" i="3"/>
  <c r="DH24" i="3"/>
  <c r="DH52" i="3"/>
  <c r="DH53" i="3"/>
  <c r="DG14" i="3" l="1"/>
  <c r="DH6" i="3"/>
  <c r="DI4" i="3"/>
  <c r="DI5" i="3"/>
  <c r="DI10" i="3" s="1"/>
  <c r="DH11" i="3"/>
  <c r="DH12" i="3" s="1"/>
  <c r="DH13" i="3" s="1"/>
  <c r="DH18" i="3"/>
  <c r="DI7" i="3"/>
  <c r="DG15" i="3"/>
  <c r="DI40" i="3"/>
  <c r="DI58" i="3"/>
  <c r="DI39" i="3"/>
  <c r="DJ8" i="3"/>
  <c r="DI24" i="3"/>
  <c r="DI53" i="3"/>
  <c r="DI52" i="3"/>
  <c r="DI6" i="3" l="1"/>
  <c r="DH14" i="3"/>
  <c r="DH15" i="3" s="1"/>
  <c r="DI11" i="3"/>
  <c r="DI12" i="3" s="1"/>
  <c r="DI13" i="3" s="1"/>
  <c r="DI18" i="3"/>
  <c r="DJ4" i="3"/>
  <c r="DJ5" i="3"/>
  <c r="DJ10" i="3" s="1"/>
  <c r="DJ18" i="3" s="1"/>
  <c r="DJ7" i="3"/>
  <c r="DJ40" i="3"/>
  <c r="DJ60" i="3" s="1"/>
  <c r="DK8" i="3"/>
  <c r="DJ58" i="3"/>
  <c r="DJ39" i="3"/>
  <c r="DJ59" i="3" s="1"/>
  <c r="DJ52" i="3"/>
  <c r="DJ24" i="3"/>
  <c r="DJ53" i="3"/>
  <c r="DI59" i="3"/>
  <c r="DI60" i="3"/>
  <c r="DJ6" i="3" l="1"/>
  <c r="DJ11" i="3"/>
  <c r="DJ12" i="3" s="1"/>
  <c r="DJ13" i="3" s="1"/>
  <c r="DK4" i="3"/>
  <c r="DK5" i="3"/>
  <c r="DK10" i="3" s="1"/>
  <c r="DI14" i="3"/>
  <c r="DI15" i="3" s="1"/>
  <c r="DK7" i="3"/>
  <c r="DK58" i="3"/>
  <c r="DK40" i="3"/>
  <c r="DK39" i="3"/>
  <c r="DL8" i="3"/>
  <c r="DK24" i="3"/>
  <c r="DK52" i="3"/>
  <c r="DK53" i="3"/>
  <c r="DJ14" i="3" l="1"/>
  <c r="DK6" i="3"/>
  <c r="DL4" i="3"/>
  <c r="DL5" i="3"/>
  <c r="DL10" i="3" s="1"/>
  <c r="DK11" i="3"/>
  <c r="DK12" i="3" s="1"/>
  <c r="DK13" i="3" s="1"/>
  <c r="DK18" i="3"/>
  <c r="DL7" i="3"/>
  <c r="DL58" i="3"/>
  <c r="DL39" i="3"/>
  <c r="DL59" i="3" s="1"/>
  <c r="DM8" i="3"/>
  <c r="DL40" i="3"/>
  <c r="DL60" i="3" s="1"/>
  <c r="DL52" i="3"/>
  <c r="DL53" i="3"/>
  <c r="DL24" i="3"/>
  <c r="DK59" i="3"/>
  <c r="DK60" i="3"/>
  <c r="DJ15" i="3"/>
  <c r="DL6" i="3" l="1"/>
  <c r="DK14" i="3"/>
  <c r="DK15" i="3" s="1"/>
  <c r="DM5" i="3"/>
  <c r="DM10" i="3" s="1"/>
  <c r="DM4" i="3"/>
  <c r="DL11" i="3"/>
  <c r="DL12" i="3" s="1"/>
  <c r="DL13" i="3" s="1"/>
  <c r="DL18" i="3"/>
  <c r="DM7" i="3"/>
  <c r="DM40" i="3"/>
  <c r="DM58" i="3"/>
  <c r="DM39" i="3"/>
  <c r="DN8" i="3"/>
  <c r="DM53" i="3"/>
  <c r="DM24" i="3"/>
  <c r="DM52" i="3"/>
  <c r="DM6" i="3" l="1"/>
  <c r="DM18" i="3"/>
  <c r="DM11" i="3"/>
  <c r="DM12" i="3" s="1"/>
  <c r="DM13" i="3" s="1"/>
  <c r="DN4" i="3"/>
  <c r="DN5" i="3"/>
  <c r="DN10" i="3" s="1"/>
  <c r="DL14" i="3"/>
  <c r="DL15" i="3" s="1"/>
  <c r="DN7" i="3"/>
  <c r="DO8" i="3"/>
  <c r="DN40" i="3"/>
  <c r="DN60" i="3" s="1"/>
  <c r="DN58" i="3"/>
  <c r="DN39" i="3"/>
  <c r="DN59" i="3" s="1"/>
  <c r="DN53" i="3"/>
  <c r="DN24" i="3"/>
  <c r="DN52" i="3"/>
  <c r="DM59" i="3"/>
  <c r="DM60" i="3"/>
  <c r="DN6" i="3" l="1"/>
  <c r="DM14" i="3"/>
  <c r="DM15" i="3" s="1"/>
  <c r="DO5" i="3"/>
  <c r="DO10" i="3" s="1"/>
  <c r="DO4" i="3"/>
  <c r="DN11" i="3"/>
  <c r="DN12" i="3" s="1"/>
  <c r="DN13" i="3" s="1"/>
  <c r="DN18" i="3"/>
  <c r="DO7" i="3"/>
  <c r="DO39" i="3"/>
  <c r="DP8" i="3"/>
  <c r="DO58" i="3"/>
  <c r="DO40" i="3"/>
  <c r="DO24" i="3"/>
  <c r="DO53" i="3"/>
  <c r="DO52" i="3"/>
  <c r="DO6" i="3" l="1"/>
  <c r="DO18" i="3"/>
  <c r="DO11" i="3"/>
  <c r="DO12" i="3" s="1"/>
  <c r="DO13" i="3" s="1"/>
  <c r="DP5" i="3"/>
  <c r="DP10" i="3" s="1"/>
  <c r="DP4" i="3"/>
  <c r="DN14" i="3"/>
  <c r="DN15" i="3" s="1"/>
  <c r="DP7" i="3"/>
  <c r="DP40" i="3"/>
  <c r="DP60" i="3" s="1"/>
  <c r="DP58" i="3"/>
  <c r="DP39" i="3"/>
  <c r="DP59" i="3" s="1"/>
  <c r="DQ8" i="3"/>
  <c r="DP24" i="3"/>
  <c r="DP53" i="3"/>
  <c r="DP52" i="3"/>
  <c r="DO60" i="3"/>
  <c r="DO59" i="3"/>
  <c r="DO14" i="3" l="1"/>
  <c r="DP6" i="3"/>
  <c r="DQ4" i="3"/>
  <c r="DQ5" i="3"/>
  <c r="DQ10" i="3" s="1"/>
  <c r="DP11" i="3"/>
  <c r="DP12" i="3" s="1"/>
  <c r="DP13" i="3" s="1"/>
  <c r="DP18" i="3"/>
  <c r="DQ7" i="3"/>
  <c r="DQ58" i="3"/>
  <c r="DQ39" i="3"/>
  <c r="DQ59" i="3" s="1"/>
  <c r="DQ40" i="3"/>
  <c r="DQ60" i="3" s="1"/>
  <c r="DR8" i="3"/>
  <c r="DQ24" i="3"/>
  <c r="DQ53" i="3"/>
  <c r="DQ52" i="3"/>
  <c r="DO15" i="3"/>
  <c r="DQ6" i="3" l="1"/>
  <c r="DP14" i="3"/>
  <c r="DP15" i="3" s="1"/>
  <c r="DQ11" i="3"/>
  <c r="DQ12" i="3" s="1"/>
  <c r="DQ13" i="3" s="1"/>
  <c r="DQ18" i="3"/>
  <c r="DR4" i="3"/>
  <c r="DR5" i="3"/>
  <c r="DR10" i="3" s="1"/>
  <c r="DR7" i="3"/>
  <c r="DR39" i="3"/>
  <c r="DR59" i="3" s="1"/>
  <c r="DS8" i="3"/>
  <c r="DR40" i="3"/>
  <c r="DR60" i="3" s="1"/>
  <c r="DR58" i="3"/>
  <c r="DR53" i="3"/>
  <c r="DR52" i="3"/>
  <c r="DR24" i="3"/>
  <c r="DR18" i="3" l="1"/>
  <c r="DR11" i="3"/>
  <c r="DR12" i="3" s="1"/>
  <c r="DR13" i="3" s="1"/>
  <c r="DR6" i="3"/>
  <c r="DQ14" i="3"/>
  <c r="DQ15" i="3" s="1"/>
  <c r="DS4" i="3"/>
  <c r="DS5" i="3"/>
  <c r="DS10" i="3" s="1"/>
  <c r="DS7" i="3"/>
  <c r="DS39" i="3"/>
  <c r="DS59" i="3" s="1"/>
  <c r="DS40" i="3"/>
  <c r="DS60" i="3" s="1"/>
  <c r="DS58" i="3"/>
  <c r="DT8" i="3"/>
  <c r="DS24" i="3"/>
  <c r="DS52" i="3"/>
  <c r="DS53" i="3"/>
  <c r="DR14" i="3" l="1"/>
  <c r="N10" i="15"/>
  <c r="E15" i="15" s="1"/>
  <c r="DS6" i="3"/>
  <c r="DS11" i="3"/>
  <c r="DS12" i="3" s="1"/>
  <c r="DS13" i="3" s="1"/>
  <c r="DS18" i="3"/>
  <c r="DT4" i="3"/>
  <c r="DT5" i="3"/>
  <c r="DT10" i="3" s="1"/>
  <c r="DT7" i="3"/>
  <c r="L5" i="10" s="1"/>
  <c r="L6" i="10" s="1"/>
  <c r="L7" i="10" s="1"/>
  <c r="DT58" i="3"/>
  <c r="DT39" i="3"/>
  <c r="DT40" i="3" s="1"/>
  <c r="DT52" i="3"/>
  <c r="DT53" i="3"/>
  <c r="DT24" i="3"/>
  <c r="DR15" i="3"/>
  <c r="G5" i="10"/>
  <c r="G6" i="10" s="1"/>
  <c r="G7" i="10" s="1"/>
  <c r="H5" i="10"/>
  <c r="H6" i="10" s="1"/>
  <c r="H7" i="10" s="1"/>
  <c r="I5" i="10"/>
  <c r="I6" i="10" s="1"/>
  <c r="I7" i="10" s="1"/>
  <c r="F5" i="10" l="1"/>
  <c r="F6" i="10" s="1"/>
  <c r="F7" i="10" s="1"/>
  <c r="E5" i="10"/>
  <c r="E6" i="10" s="1"/>
  <c r="E7" i="10" s="1"/>
  <c r="K5" i="10"/>
  <c r="K6" i="10" s="1"/>
  <c r="K7" i="10" s="1"/>
  <c r="J5" i="10"/>
  <c r="J6" i="10" s="1"/>
  <c r="J7" i="10" s="1"/>
  <c r="DT6" i="3"/>
  <c r="DS14" i="3"/>
  <c r="DT18" i="3"/>
  <c r="M5" i="10"/>
  <c r="M6" i="10" s="1"/>
  <c r="M7" i="10" s="1"/>
  <c r="J27" i="10"/>
  <c r="M54" i="10"/>
  <c r="M28" i="10"/>
  <c r="G29" i="10"/>
  <c r="K29" i="10"/>
  <c r="I30" i="10"/>
  <c r="J53" i="10"/>
  <c r="J29" i="10"/>
  <c r="F29" i="10"/>
  <c r="K54" i="10"/>
  <c r="E54" i="10"/>
  <c r="D28" i="10"/>
  <c r="H28" i="10"/>
  <c r="I28" i="10"/>
  <c r="D53" i="10"/>
  <c r="E26" i="10"/>
  <c r="L26" i="10"/>
  <c r="D30" i="10"/>
  <c r="H53" i="10"/>
  <c r="G53" i="10"/>
  <c r="I29" i="10"/>
  <c r="F54" i="10"/>
  <c r="F26" i="10"/>
  <c r="L28" i="10"/>
  <c r="H29" i="10"/>
  <c r="F27" i="10"/>
  <c r="D29" i="10"/>
  <c r="D50" i="10"/>
  <c r="L54" i="10"/>
  <c r="D54" i="10"/>
  <c r="L27" i="10"/>
  <c r="G27" i="10"/>
  <c r="J26" i="10"/>
  <c r="J28" i="10"/>
  <c r="H30" i="10"/>
  <c r="E28" i="10"/>
  <c r="I54" i="10"/>
  <c r="K28" i="10"/>
  <c r="F53" i="10"/>
  <c r="J30" i="10"/>
  <c r="K53" i="10"/>
  <c r="H26" i="10"/>
  <c r="D27" i="10"/>
  <c r="L29" i="10"/>
  <c r="K26" i="10"/>
  <c r="F30" i="10"/>
  <c r="M30" i="10"/>
  <c r="G28" i="10"/>
  <c r="D55" i="10"/>
  <c r="G26" i="10"/>
  <c r="J54" i="10"/>
  <c r="H54" i="10"/>
  <c r="D56" i="10"/>
  <c r="M27" i="10"/>
  <c r="D57" i="10"/>
  <c r="K30" i="10"/>
  <c r="D49" i="10"/>
  <c r="F28" i="10"/>
  <c r="M26" i="10"/>
  <c r="D21" i="10"/>
  <c r="E29" i="10"/>
  <c r="D26" i="10"/>
  <c r="D5" i="10"/>
  <c r="D6" i="10" s="1"/>
  <c r="D7" i="10" s="1"/>
  <c r="I27" i="10"/>
  <c r="M53" i="10"/>
  <c r="G54" i="10"/>
  <c r="L30" i="10"/>
  <c r="G30" i="10"/>
  <c r="E30" i="10"/>
  <c r="M29" i="10"/>
  <c r="E53" i="10"/>
  <c r="L53" i="10"/>
  <c r="I53" i="10"/>
  <c r="H27" i="10"/>
  <c r="K27" i="10"/>
  <c r="I26" i="10"/>
  <c r="E27" i="10"/>
  <c r="E37" i="10"/>
  <c r="E57" i="10"/>
  <c r="E36" i="10"/>
  <c r="I55" i="10"/>
  <c r="I56" i="10"/>
  <c r="I57" i="10"/>
  <c r="J56" i="10"/>
  <c r="J57" i="10"/>
  <c r="K55" i="10"/>
  <c r="DS15" i="3"/>
  <c r="DT11" i="3"/>
  <c r="DT12" i="3" s="1"/>
  <c r="DT13" i="3" s="1"/>
  <c r="E50" i="10"/>
  <c r="F50" i="10"/>
  <c r="G50" i="10"/>
  <c r="H50" i="10"/>
  <c r="I50" i="10"/>
  <c r="J50" i="10"/>
  <c r="K50" i="10"/>
  <c r="L50" i="10"/>
  <c r="M50" i="10"/>
  <c r="E49" i="10"/>
  <c r="F49" i="10"/>
  <c r="G49" i="10"/>
  <c r="H49" i="10"/>
  <c r="I49" i="10"/>
  <c r="J49" i="10"/>
  <c r="K49" i="10"/>
  <c r="L49" i="10"/>
  <c r="M49" i="10"/>
  <c r="DT59" i="3"/>
  <c r="D36" i="10"/>
  <c r="F36" i="10"/>
  <c r="G36" i="10"/>
  <c r="H36" i="10"/>
  <c r="I36" i="10"/>
  <c r="J36" i="10"/>
  <c r="K36" i="10"/>
  <c r="L36" i="10"/>
  <c r="M36" i="10"/>
  <c r="DT60" i="3"/>
  <c r="D37" i="10"/>
  <c r="F37" i="10"/>
  <c r="G37" i="10"/>
  <c r="H37" i="10"/>
  <c r="I37" i="10"/>
  <c r="J37" i="10"/>
  <c r="K37" i="10"/>
  <c r="L37" i="10"/>
  <c r="M37" i="10"/>
  <c r="E21" i="10"/>
  <c r="F21" i="10"/>
  <c r="G21" i="10"/>
  <c r="H21" i="10"/>
  <c r="I21" i="10"/>
  <c r="J21" i="10"/>
  <c r="K21" i="10"/>
  <c r="L21" i="10"/>
  <c r="M21" i="10"/>
  <c r="E55" i="10"/>
  <c r="F55" i="10"/>
  <c r="G55" i="10"/>
  <c r="H55" i="10"/>
  <c r="J55" i="10"/>
  <c r="L55" i="10"/>
  <c r="M55" i="10"/>
  <c r="M31" i="10" l="1"/>
  <c r="F31" i="10"/>
  <c r="J31" i="10"/>
  <c r="D1" i="3" a="1"/>
  <c r="D1" i="3" s="1"/>
  <c r="G31" i="10"/>
  <c r="D31" i="10"/>
  <c r="K31" i="10"/>
  <c r="H31" i="10"/>
  <c r="L31" i="10"/>
  <c r="I31" i="10"/>
  <c r="E31" i="10"/>
  <c r="D58" i="10"/>
  <c r="D59" i="10" s="1"/>
  <c r="I58" i="10"/>
  <c r="J58" i="10"/>
  <c r="M8" i="10"/>
  <c r="DT14" i="3"/>
  <c r="F57" i="10"/>
  <c r="G57" i="10"/>
  <c r="H57" i="10"/>
  <c r="K57" i="10"/>
  <c r="L57" i="10"/>
  <c r="M57" i="10"/>
  <c r="E56" i="10"/>
  <c r="E58" i="10" s="1"/>
  <c r="F56" i="10"/>
  <c r="G56" i="10"/>
  <c r="H56" i="10"/>
  <c r="K56" i="10"/>
  <c r="L56" i="10"/>
  <c r="M56" i="10"/>
  <c r="D9" i="10"/>
  <c r="E9" i="10"/>
  <c r="F9" i="10"/>
  <c r="G9" i="10"/>
  <c r="H9" i="10"/>
  <c r="I9" i="10"/>
  <c r="J9" i="10"/>
  <c r="K9" i="10"/>
  <c r="L9" i="10"/>
  <c r="M9" i="10"/>
  <c r="D8" i="10"/>
  <c r="E8" i="10"/>
  <c r="F8" i="10"/>
  <c r="G8" i="10"/>
  <c r="H8" i="10"/>
  <c r="I8" i="10"/>
  <c r="J8" i="10"/>
  <c r="K8" i="10"/>
  <c r="L8" i="10"/>
  <c r="E1" i="3" l="1"/>
  <c r="E3" i="3" s="1"/>
  <c r="F1" i="3"/>
  <c r="G1" i="3"/>
  <c r="H1" i="3"/>
  <c r="I1" i="3"/>
  <c r="J1" i="3"/>
  <c r="K1" i="3"/>
  <c r="L1" i="3"/>
  <c r="M1" i="3"/>
  <c r="N1" i="3"/>
  <c r="O1" i="3"/>
  <c r="P1" i="3"/>
  <c r="Q1" i="3"/>
  <c r="R1" i="3"/>
  <c r="S1" i="3"/>
  <c r="T1" i="3"/>
  <c r="U1" i="3"/>
  <c r="V1" i="3"/>
  <c r="W1" i="3"/>
  <c r="X1" i="3"/>
  <c r="Y1" i="3"/>
  <c r="Z1" i="3"/>
  <c r="AA1" i="3"/>
  <c r="AB1" i="3"/>
  <c r="AC1" i="3"/>
  <c r="AD1" i="3"/>
  <c r="AE1" i="3"/>
  <c r="AF1" i="3"/>
  <c r="AG1" i="3"/>
  <c r="AH1" i="3"/>
  <c r="AI1" i="3"/>
  <c r="AJ1" i="3"/>
  <c r="AK1" i="3"/>
  <c r="AL1" i="3"/>
  <c r="AM1" i="3"/>
  <c r="AN1" i="3"/>
  <c r="AO1" i="3"/>
  <c r="AP1" i="3"/>
  <c r="AQ1" i="3"/>
  <c r="AR1" i="3"/>
  <c r="AS1" i="3"/>
  <c r="AT1" i="3"/>
  <c r="AU1" i="3"/>
  <c r="AV1" i="3"/>
  <c r="AW1" i="3"/>
  <c r="AX1" i="3"/>
  <c r="AY1" i="3"/>
  <c r="AZ1" i="3"/>
  <c r="BA1" i="3"/>
  <c r="BB1" i="3"/>
  <c r="BC1" i="3"/>
  <c r="BD1" i="3"/>
  <c r="BE1" i="3"/>
  <c r="BF1" i="3"/>
  <c r="BG1" i="3"/>
  <c r="BH1" i="3"/>
  <c r="BI1" i="3"/>
  <c r="BJ1" i="3"/>
  <c r="BK1" i="3"/>
  <c r="BL1" i="3"/>
  <c r="BM1" i="3"/>
  <c r="BN1" i="3"/>
  <c r="BO1" i="3"/>
  <c r="BP1" i="3"/>
  <c r="BQ1" i="3"/>
  <c r="BR1" i="3"/>
  <c r="BS1" i="3"/>
  <c r="BT1" i="3"/>
  <c r="BU1" i="3"/>
  <c r="BV1" i="3"/>
  <c r="BW1" i="3"/>
  <c r="BX1" i="3"/>
  <c r="BY1" i="3"/>
  <c r="BZ1" i="3"/>
  <c r="CA1" i="3"/>
  <c r="CB1" i="3"/>
  <c r="CC1" i="3"/>
  <c r="CD1" i="3"/>
  <c r="CE1" i="3"/>
  <c r="CF1" i="3"/>
  <c r="CG1" i="3"/>
  <c r="CH1" i="3"/>
  <c r="CI1" i="3"/>
  <c r="CJ1" i="3"/>
  <c r="CK1" i="3"/>
  <c r="CL1" i="3"/>
  <c r="CM1" i="3"/>
  <c r="CN1" i="3"/>
  <c r="CO1" i="3"/>
  <c r="CP1" i="3"/>
  <c r="CQ1" i="3"/>
  <c r="CR1" i="3"/>
  <c r="CS1" i="3"/>
  <c r="CT1" i="3"/>
  <c r="CU1" i="3"/>
  <c r="CV1" i="3"/>
  <c r="CW1" i="3"/>
  <c r="CX1" i="3"/>
  <c r="CY1" i="3"/>
  <c r="CZ1" i="3"/>
  <c r="DA1" i="3"/>
  <c r="DB1" i="3"/>
  <c r="DC1" i="3"/>
  <c r="DD1" i="3"/>
  <c r="DE1" i="3"/>
  <c r="DF1" i="3"/>
  <c r="DG1" i="3"/>
  <c r="DH1" i="3"/>
  <c r="DI1" i="3"/>
  <c r="DJ1" i="3"/>
  <c r="DK1" i="3"/>
  <c r="DL1" i="3"/>
  <c r="DM1" i="3"/>
  <c r="DN1" i="3"/>
  <c r="DO1" i="3"/>
  <c r="DP1" i="3"/>
  <c r="DQ1" i="3"/>
  <c r="DR1" i="3"/>
  <c r="DS1" i="3"/>
  <c r="DT1" i="3"/>
  <c r="G58" i="10"/>
  <c r="DT15" i="3"/>
  <c r="M58" i="10"/>
  <c r="K58" i="10"/>
  <c r="H58" i="10"/>
  <c r="L58" i="10"/>
  <c r="F58" i="10"/>
  <c r="E59" i="10"/>
  <c r="G10" i="10"/>
  <c r="E10" i="10"/>
  <c r="J10" i="10"/>
  <c r="I10" i="10"/>
  <c r="K10" i="10"/>
  <c r="F10" i="10"/>
  <c r="D10" i="10"/>
  <c r="H10" i="10"/>
  <c r="M10" i="10"/>
  <c r="L10" i="10"/>
  <c r="F3" i="3" l="1"/>
  <c r="G3" i="3" s="1"/>
  <c r="H3" i="3" s="1"/>
  <c r="I3" i="3" s="1"/>
  <c r="J3" i="3" s="1"/>
  <c r="K3" i="3" s="1"/>
  <c r="L3" i="3" s="1"/>
  <c r="M3" i="3" s="1"/>
  <c r="N3" i="3" s="1"/>
  <c r="O3" i="3" s="1"/>
  <c r="P3" i="3" s="1"/>
  <c r="Q3" i="3" s="1"/>
  <c r="R3" i="3" s="1"/>
  <c r="S3" i="3" s="1"/>
  <c r="T3" i="3" s="1"/>
  <c r="U3" i="3" s="1"/>
  <c r="V3" i="3" s="1"/>
  <c r="W3" i="3" s="1"/>
  <c r="X3" i="3" s="1"/>
  <c r="Y3" i="3" s="1"/>
  <c r="Z3" i="3" s="1"/>
  <c r="AA3" i="3" s="1"/>
  <c r="AB3" i="3" s="1"/>
  <c r="AC3" i="3" s="1"/>
  <c r="AD3" i="3" s="1"/>
  <c r="AE3" i="3" s="1"/>
  <c r="AF3" i="3" s="1"/>
  <c r="AG3" i="3" s="1"/>
  <c r="AH3" i="3" s="1"/>
  <c r="AI3" i="3" s="1"/>
  <c r="AJ3" i="3" s="1"/>
  <c r="AK3" i="3" s="1"/>
  <c r="AL3" i="3" s="1"/>
  <c r="AM3" i="3" s="1"/>
  <c r="AN3" i="3" s="1"/>
  <c r="AO3" i="3" s="1"/>
  <c r="AP3" i="3" s="1"/>
  <c r="AQ3" i="3" s="1"/>
  <c r="AR3" i="3" s="1"/>
  <c r="AS3" i="3" s="1"/>
  <c r="AT3" i="3" s="1"/>
  <c r="AU3" i="3" s="1"/>
  <c r="AV3" i="3" s="1"/>
  <c r="AW3" i="3" s="1"/>
  <c r="AX3" i="3" s="1"/>
  <c r="AY3" i="3" s="1"/>
  <c r="AZ3" i="3" s="1"/>
  <c r="BA3" i="3" s="1"/>
  <c r="BB3" i="3" s="1"/>
  <c r="BC3" i="3" s="1"/>
  <c r="BD3" i="3" s="1"/>
  <c r="BE3" i="3" s="1"/>
  <c r="BF3" i="3" s="1"/>
  <c r="BG3" i="3" s="1"/>
  <c r="BH3" i="3" s="1"/>
  <c r="BI3" i="3" s="1"/>
  <c r="BJ3" i="3" s="1"/>
  <c r="BK3" i="3" s="1"/>
  <c r="BL3" i="3" s="1"/>
  <c r="BM3" i="3" s="1"/>
  <c r="BN3" i="3" s="1"/>
  <c r="BO3" i="3" s="1"/>
  <c r="BP3" i="3" s="1"/>
  <c r="BQ3" i="3" s="1"/>
  <c r="BR3" i="3" s="1"/>
  <c r="BS3" i="3" s="1"/>
  <c r="BT3" i="3" s="1"/>
  <c r="BU3" i="3" s="1"/>
  <c r="BV3" i="3" s="1"/>
  <c r="BW3" i="3" s="1"/>
  <c r="BX3" i="3" s="1"/>
  <c r="BY3" i="3" s="1"/>
  <c r="BZ3" i="3" s="1"/>
  <c r="CA3" i="3" s="1"/>
  <c r="CB3" i="3" s="1"/>
  <c r="CC3" i="3" s="1"/>
  <c r="CD3" i="3" s="1"/>
  <c r="CE3" i="3" s="1"/>
  <c r="CF3" i="3" s="1"/>
  <c r="CG3" i="3" s="1"/>
  <c r="CH3" i="3" s="1"/>
  <c r="CI3" i="3" s="1"/>
  <c r="CJ3" i="3" s="1"/>
  <c r="CK3" i="3" s="1"/>
  <c r="CL3" i="3" s="1"/>
  <c r="CM3" i="3" s="1"/>
  <c r="CN3" i="3" s="1"/>
  <c r="CO3" i="3" s="1"/>
  <c r="CP3" i="3" s="1"/>
  <c r="CQ3" i="3" s="1"/>
  <c r="CR3" i="3" s="1"/>
  <c r="CS3" i="3" s="1"/>
  <c r="CT3" i="3" s="1"/>
  <c r="CU3" i="3" s="1"/>
  <c r="CV3" i="3" s="1"/>
  <c r="CW3" i="3" s="1"/>
  <c r="CX3" i="3" s="1"/>
  <c r="CY3" i="3" s="1"/>
  <c r="CZ3" i="3" s="1"/>
  <c r="DA3" i="3" s="1"/>
  <c r="DB3" i="3" s="1"/>
  <c r="DC3" i="3" s="1"/>
  <c r="DD3" i="3" s="1"/>
  <c r="DE3" i="3" s="1"/>
  <c r="DF3" i="3" s="1"/>
  <c r="DG3" i="3" s="1"/>
  <c r="DH3" i="3" s="1"/>
  <c r="DI3" i="3" s="1"/>
  <c r="DJ3" i="3" s="1"/>
  <c r="DK3" i="3" s="1"/>
  <c r="DL3" i="3" s="1"/>
  <c r="DM3" i="3" s="1"/>
  <c r="DN3" i="3" s="1"/>
  <c r="DO3" i="3" s="1"/>
  <c r="DP3" i="3" s="1"/>
  <c r="DQ3" i="3" s="1"/>
  <c r="DR3" i="3" s="1"/>
  <c r="DS3" i="3" s="1"/>
  <c r="DT3" i="3" s="1"/>
  <c r="E2" i="3"/>
  <c r="F2" i="3" s="1"/>
  <c r="G2" i="3" s="1"/>
  <c r="H2" i="3" s="1"/>
  <c r="I2" i="3" s="1"/>
  <c r="J2" i="3" s="1"/>
  <c r="K2" i="3" s="1"/>
  <c r="L2" i="3" s="1"/>
  <c r="M2" i="3" s="1"/>
  <c r="N2" i="3" s="1"/>
  <c r="O2" i="3" s="1"/>
  <c r="P2" i="3" s="1"/>
  <c r="Q2" i="3" s="1"/>
  <c r="R2" i="3" s="1"/>
  <c r="S2" i="3" s="1"/>
  <c r="T2" i="3" s="1"/>
  <c r="U2" i="3" s="1"/>
  <c r="V2" i="3" s="1"/>
  <c r="W2" i="3" s="1"/>
  <c r="X2" i="3" s="1"/>
  <c r="Y2" i="3" s="1"/>
  <c r="Z2" i="3" s="1"/>
  <c r="AA2" i="3" s="1"/>
  <c r="AB2" i="3" s="1"/>
  <c r="AC2" i="3" s="1"/>
  <c r="AD2" i="3" s="1"/>
  <c r="AE2" i="3" s="1"/>
  <c r="AF2" i="3" s="1"/>
  <c r="AG2" i="3" s="1"/>
  <c r="AH2" i="3" s="1"/>
  <c r="AI2" i="3" s="1"/>
  <c r="AJ2" i="3" s="1"/>
  <c r="AK2" i="3" s="1"/>
  <c r="AL2" i="3" s="1"/>
  <c r="AM2" i="3" s="1"/>
  <c r="AN2" i="3" s="1"/>
  <c r="AO2" i="3" s="1"/>
  <c r="AP2" i="3" s="1"/>
  <c r="AQ2" i="3" s="1"/>
  <c r="AR2" i="3" s="1"/>
  <c r="AS2" i="3" s="1"/>
  <c r="AT2" i="3" s="1"/>
  <c r="AU2" i="3" s="1"/>
  <c r="AV2" i="3" s="1"/>
  <c r="AW2" i="3" s="1"/>
  <c r="AX2" i="3" s="1"/>
  <c r="AY2" i="3" s="1"/>
  <c r="AZ2" i="3" s="1"/>
  <c r="BA2" i="3" s="1"/>
  <c r="BB2" i="3" s="1"/>
  <c r="BC2" i="3" s="1"/>
  <c r="BD2" i="3" s="1"/>
  <c r="BE2" i="3" s="1"/>
  <c r="BF2" i="3" s="1"/>
  <c r="BG2" i="3" s="1"/>
  <c r="BH2" i="3" s="1"/>
  <c r="BI2" i="3" s="1"/>
  <c r="BJ2" i="3" s="1"/>
  <c r="BK2" i="3" s="1"/>
  <c r="BL2" i="3" s="1"/>
  <c r="BM2" i="3" s="1"/>
  <c r="BN2" i="3" s="1"/>
  <c r="BO2" i="3" s="1"/>
  <c r="BP2" i="3" s="1"/>
  <c r="BQ2" i="3" s="1"/>
  <c r="BR2" i="3" s="1"/>
  <c r="BS2" i="3" s="1"/>
  <c r="BT2" i="3" s="1"/>
  <c r="BU2" i="3" s="1"/>
  <c r="BV2" i="3" s="1"/>
  <c r="BW2" i="3" s="1"/>
  <c r="BX2" i="3" s="1"/>
  <c r="BY2" i="3" s="1"/>
  <c r="BZ2" i="3" s="1"/>
  <c r="CA2" i="3" s="1"/>
  <c r="CB2" i="3" s="1"/>
  <c r="CC2" i="3" s="1"/>
  <c r="CD2" i="3" s="1"/>
  <c r="CE2" i="3" s="1"/>
  <c r="CF2" i="3" s="1"/>
  <c r="CG2" i="3" s="1"/>
  <c r="CH2" i="3" s="1"/>
  <c r="CI2" i="3" s="1"/>
  <c r="CJ2" i="3" s="1"/>
  <c r="CK2" i="3" s="1"/>
  <c r="CL2" i="3" s="1"/>
  <c r="CM2" i="3" s="1"/>
  <c r="CN2" i="3" s="1"/>
  <c r="CO2" i="3" s="1"/>
  <c r="CP2" i="3" s="1"/>
  <c r="CQ2" i="3" s="1"/>
  <c r="CR2" i="3" s="1"/>
  <c r="CS2" i="3" s="1"/>
  <c r="CT2" i="3" s="1"/>
  <c r="CU2" i="3" s="1"/>
  <c r="CV2" i="3" s="1"/>
  <c r="CW2" i="3" s="1"/>
  <c r="CX2" i="3" s="1"/>
  <c r="CY2" i="3" s="1"/>
  <c r="CZ2" i="3" s="1"/>
  <c r="DA2" i="3" s="1"/>
  <c r="DB2" i="3" s="1"/>
  <c r="DC2" i="3" s="1"/>
  <c r="DD2" i="3" s="1"/>
  <c r="DE2" i="3" s="1"/>
  <c r="DF2" i="3" s="1"/>
  <c r="DG2" i="3" s="1"/>
  <c r="DH2" i="3" s="1"/>
  <c r="DI2" i="3" s="1"/>
  <c r="DJ2" i="3" s="1"/>
  <c r="DK2" i="3" s="1"/>
  <c r="DL2" i="3" s="1"/>
  <c r="DM2" i="3" s="1"/>
  <c r="DN2" i="3" s="1"/>
  <c r="DO2" i="3" s="1"/>
  <c r="DP2" i="3" s="1"/>
  <c r="DQ2" i="3" s="1"/>
  <c r="DR2" i="3" s="1"/>
  <c r="DS2" i="3" s="1"/>
  <c r="DT2" i="3" s="1"/>
  <c r="H59" i="10"/>
  <c r="K59" i="10"/>
  <c r="G59" i="10"/>
  <c r="F59" i="10"/>
  <c r="J59" i="10"/>
  <c r="I59" i="10"/>
  <c r="M59" i="10"/>
  <c r="L59" i="10"/>
  <c r="E16" i="3" l="1"/>
  <c r="F16" i="3"/>
  <c r="D13" i="10"/>
  <c r="E13" i="10"/>
  <c r="F13" i="10"/>
  <c r="G13" i="10"/>
  <c r="H13" i="10"/>
  <c r="I13" i="10"/>
  <c r="J13" i="10"/>
  <c r="K13" i="10"/>
  <c r="L13" i="10"/>
  <c r="M13" i="10"/>
  <c r="C14" i="10"/>
  <c r="E19" i="3"/>
  <c r="F19" i="3" s="1"/>
  <c r="C16" i="10"/>
  <c r="E21" i="3"/>
  <c r="F21" i="3" s="1"/>
  <c r="E20" i="3"/>
  <c r="C15" i="10"/>
  <c r="G21" i="3" l="1"/>
  <c r="H21" i="3" s="1"/>
  <c r="I21" i="3" s="1"/>
  <c r="J21" i="3" s="1"/>
  <c r="K21" i="3" s="1"/>
  <c r="L21" i="3" s="1"/>
  <c r="M21" i="3" s="1"/>
  <c r="N21" i="3" s="1"/>
  <c r="O21" i="3" s="1"/>
  <c r="P21" i="3" s="1"/>
  <c r="Q21" i="3" s="1"/>
  <c r="R21" i="3" s="1"/>
  <c r="S21" i="3" s="1"/>
  <c r="T21" i="3" s="1"/>
  <c r="U21" i="3" s="1"/>
  <c r="V21" i="3" s="1"/>
  <c r="W21" i="3" s="1"/>
  <c r="X21" i="3" s="1"/>
  <c r="Y21" i="3" s="1"/>
  <c r="Z21" i="3" s="1"/>
  <c r="AA21" i="3" s="1"/>
  <c r="AB21" i="3" s="1"/>
  <c r="AC21" i="3" s="1"/>
  <c r="K18" i="1"/>
  <c r="G19" i="3"/>
  <c r="H19" i="3" s="1"/>
  <c r="I19" i="3" s="1"/>
  <c r="J19" i="3" s="1"/>
  <c r="K19" i="3" s="1"/>
  <c r="L19" i="3" s="1"/>
  <c r="M19" i="3" s="1"/>
  <c r="N19" i="3" s="1"/>
  <c r="O19" i="3" s="1"/>
  <c r="P19" i="3" s="1"/>
  <c r="Q19" i="3" s="1"/>
  <c r="R19" i="3" s="1"/>
  <c r="S19" i="3" s="1"/>
  <c r="T19" i="3" s="1"/>
  <c r="U19" i="3" s="1"/>
  <c r="V19" i="3" s="1"/>
  <c r="W19" i="3" s="1"/>
  <c r="X19" i="3" s="1"/>
  <c r="Y19" i="3" s="1"/>
  <c r="Z19" i="3" s="1"/>
  <c r="AA19" i="3" s="1"/>
  <c r="AB19" i="3" s="1"/>
  <c r="AC19" i="3" s="1"/>
  <c r="AD19" i="3" s="1"/>
  <c r="AE19" i="3" s="1"/>
  <c r="AF19" i="3" s="1"/>
  <c r="AG19" i="3" s="1"/>
  <c r="AH19" i="3" s="1"/>
  <c r="AI19" i="3" s="1"/>
  <c r="AJ19" i="3" s="1"/>
  <c r="AK19" i="3" s="1"/>
  <c r="AL19" i="3" s="1"/>
  <c r="AM19" i="3" s="1"/>
  <c r="AN19" i="3" s="1"/>
  <c r="AO19" i="3" s="1"/>
  <c r="G16" i="3"/>
  <c r="K13" i="1" s="1"/>
  <c r="H16" i="3"/>
  <c r="F20" i="3"/>
  <c r="K16" i="1" l="1"/>
  <c r="N11" i="15" s="1"/>
  <c r="E16" i="15" s="1"/>
  <c r="G20" i="3"/>
  <c r="H20" i="3" s="1"/>
  <c r="I20" i="3" s="1"/>
  <c r="J20" i="3" s="1"/>
  <c r="K17" i="1"/>
  <c r="D14" i="10"/>
  <c r="D16" i="10"/>
  <c r="I16" i="3"/>
  <c r="E14" i="10"/>
  <c r="K20" i="3"/>
  <c r="L20" i="3" s="1"/>
  <c r="M20" i="3" s="1"/>
  <c r="N20" i="3" s="1"/>
  <c r="O20" i="3" s="1"/>
  <c r="P20" i="3" s="1"/>
  <c r="Q20" i="3" s="1"/>
  <c r="R20" i="3" s="1"/>
  <c r="S20" i="3" s="1"/>
  <c r="T20" i="3" s="1"/>
  <c r="U20" i="3" s="1"/>
  <c r="V20" i="3" s="1"/>
  <c r="W20" i="3" s="1"/>
  <c r="X20" i="3" s="1"/>
  <c r="Y20" i="3" s="1"/>
  <c r="Z20" i="3" s="1"/>
  <c r="AA20" i="3" s="1"/>
  <c r="AB20" i="3" s="1"/>
  <c r="AC20" i="3" s="1"/>
  <c r="L18" i="1"/>
  <c r="N13" i="15"/>
  <c r="F14" i="10"/>
  <c r="E16" i="10"/>
  <c r="AD21" i="3"/>
  <c r="AE21" i="3" s="1"/>
  <c r="AF21" i="3" s="1"/>
  <c r="AG21" i="3" s="1"/>
  <c r="AH21" i="3" s="1"/>
  <c r="AI21" i="3" s="1"/>
  <c r="AJ21" i="3" s="1"/>
  <c r="AK21" i="3" s="1"/>
  <c r="AL21" i="3" s="1"/>
  <c r="AM21" i="3" s="1"/>
  <c r="AN21" i="3" s="1"/>
  <c r="AO21" i="3" s="1"/>
  <c r="AP19" i="3"/>
  <c r="AQ19" i="3" s="1"/>
  <c r="AR19" i="3" s="1"/>
  <c r="AS19" i="3" s="1"/>
  <c r="AT19" i="3" s="1"/>
  <c r="AU19" i="3" s="1"/>
  <c r="AV19" i="3" s="1"/>
  <c r="AW19" i="3" s="1"/>
  <c r="AX19" i="3" s="1"/>
  <c r="AY19" i="3" s="1"/>
  <c r="AZ19" i="3" s="1"/>
  <c r="BA19" i="3" s="1"/>
  <c r="L16" i="1" l="1"/>
  <c r="D15" i="10"/>
  <c r="J16" i="3"/>
  <c r="F16" i="10"/>
  <c r="L17" i="1"/>
  <c r="N12" i="15"/>
  <c r="E17" i="15" s="1"/>
  <c r="BB19" i="3"/>
  <c r="BC19" i="3" s="1"/>
  <c r="BD19" i="3" s="1"/>
  <c r="BE19" i="3" s="1"/>
  <c r="BF19" i="3" s="1"/>
  <c r="BG19" i="3" s="1"/>
  <c r="BH19" i="3" s="1"/>
  <c r="BI19" i="3" s="1"/>
  <c r="BJ19" i="3" s="1"/>
  <c r="BK19" i="3" s="1"/>
  <c r="BL19" i="3" s="1"/>
  <c r="BM19" i="3" s="1"/>
  <c r="G14" i="10"/>
  <c r="AP21" i="3"/>
  <c r="AQ21" i="3" s="1"/>
  <c r="AR21" i="3" s="1"/>
  <c r="AS21" i="3" s="1"/>
  <c r="AT21" i="3" s="1"/>
  <c r="AU21" i="3" s="1"/>
  <c r="AV21" i="3" s="1"/>
  <c r="AW21" i="3" s="1"/>
  <c r="AX21" i="3" s="1"/>
  <c r="AY21" i="3" s="1"/>
  <c r="AZ21" i="3" s="1"/>
  <c r="BA21" i="3" s="1"/>
  <c r="AD20" i="3"/>
  <c r="AE20" i="3" s="1"/>
  <c r="AF20" i="3" s="1"/>
  <c r="AG20" i="3" s="1"/>
  <c r="AH20" i="3" s="1"/>
  <c r="AI20" i="3" s="1"/>
  <c r="AJ20" i="3" s="1"/>
  <c r="AK20" i="3" s="1"/>
  <c r="AL20" i="3" s="1"/>
  <c r="AM20" i="3" s="1"/>
  <c r="AN20" i="3" s="1"/>
  <c r="AO20" i="3" s="1"/>
  <c r="E15" i="10"/>
  <c r="K16" i="3" l="1"/>
  <c r="H14" i="10"/>
  <c r="F15" i="10"/>
  <c r="AP20" i="3"/>
  <c r="AQ20" i="3" s="1"/>
  <c r="AR20" i="3" s="1"/>
  <c r="AS20" i="3" s="1"/>
  <c r="AT20" i="3" s="1"/>
  <c r="AU20" i="3" s="1"/>
  <c r="AV20" i="3" s="1"/>
  <c r="AW20" i="3" s="1"/>
  <c r="AX20" i="3" s="1"/>
  <c r="AY20" i="3" s="1"/>
  <c r="AZ20" i="3" s="1"/>
  <c r="BA20" i="3" s="1"/>
  <c r="G16" i="10"/>
  <c r="BB21" i="3"/>
  <c r="BC21" i="3" s="1"/>
  <c r="BD21" i="3" s="1"/>
  <c r="BE21" i="3" s="1"/>
  <c r="BF21" i="3" s="1"/>
  <c r="BG21" i="3" s="1"/>
  <c r="BH21" i="3" s="1"/>
  <c r="BI21" i="3" s="1"/>
  <c r="BJ21" i="3" s="1"/>
  <c r="BK21" i="3" s="1"/>
  <c r="BL21" i="3" s="1"/>
  <c r="BM21" i="3" s="1"/>
  <c r="BN19" i="3"/>
  <c r="BO19" i="3" s="1"/>
  <c r="BP19" i="3" s="1"/>
  <c r="BQ19" i="3" s="1"/>
  <c r="BR19" i="3" s="1"/>
  <c r="BS19" i="3" s="1"/>
  <c r="BT19" i="3" s="1"/>
  <c r="BU19" i="3" s="1"/>
  <c r="BV19" i="3" s="1"/>
  <c r="BW19" i="3" s="1"/>
  <c r="BX19" i="3" s="1"/>
  <c r="BY19" i="3" s="1"/>
  <c r="L16" i="3" l="1"/>
  <c r="N8" i="15"/>
  <c r="E13" i="15" s="1"/>
  <c r="L13" i="1"/>
  <c r="BN21" i="3"/>
  <c r="BO21" i="3" s="1"/>
  <c r="BP21" i="3" s="1"/>
  <c r="BQ21" i="3" s="1"/>
  <c r="BR21" i="3" s="1"/>
  <c r="BS21" i="3" s="1"/>
  <c r="BT21" i="3" s="1"/>
  <c r="BU21" i="3" s="1"/>
  <c r="BV21" i="3" s="1"/>
  <c r="BW21" i="3" s="1"/>
  <c r="BX21" i="3" s="1"/>
  <c r="BY21" i="3" s="1"/>
  <c r="H16" i="10"/>
  <c r="BB20" i="3"/>
  <c r="BC20" i="3" s="1"/>
  <c r="BD20" i="3" s="1"/>
  <c r="BE20" i="3" s="1"/>
  <c r="BF20" i="3" s="1"/>
  <c r="BG20" i="3" s="1"/>
  <c r="BH20" i="3" s="1"/>
  <c r="BI20" i="3" s="1"/>
  <c r="BJ20" i="3" s="1"/>
  <c r="BK20" i="3" s="1"/>
  <c r="BL20" i="3" s="1"/>
  <c r="BM20" i="3" s="1"/>
  <c r="BZ19" i="3"/>
  <c r="CA19" i="3" s="1"/>
  <c r="CB19" i="3" s="1"/>
  <c r="CC19" i="3" s="1"/>
  <c r="CD19" i="3" s="1"/>
  <c r="CE19" i="3" s="1"/>
  <c r="CF19" i="3" s="1"/>
  <c r="CG19" i="3" s="1"/>
  <c r="CH19" i="3" s="1"/>
  <c r="CI19" i="3" s="1"/>
  <c r="CJ19" i="3" s="1"/>
  <c r="CK19" i="3" s="1"/>
  <c r="G15" i="10"/>
  <c r="I14" i="10"/>
  <c r="M16" i="3" l="1"/>
  <c r="I16" i="10"/>
  <c r="J14" i="10"/>
  <c r="CL19" i="3"/>
  <c r="CM19" i="3" s="1"/>
  <c r="CN19" i="3" s="1"/>
  <c r="CO19" i="3" s="1"/>
  <c r="CP19" i="3" s="1"/>
  <c r="CQ19" i="3" s="1"/>
  <c r="CR19" i="3" s="1"/>
  <c r="CS19" i="3" s="1"/>
  <c r="CT19" i="3" s="1"/>
  <c r="CU19" i="3" s="1"/>
  <c r="CV19" i="3" s="1"/>
  <c r="CW19" i="3" s="1"/>
  <c r="H15" i="10"/>
  <c r="BN20" i="3"/>
  <c r="BO20" i="3" s="1"/>
  <c r="BP20" i="3" s="1"/>
  <c r="BQ20" i="3" s="1"/>
  <c r="BR20" i="3" s="1"/>
  <c r="BS20" i="3" s="1"/>
  <c r="BT20" i="3" s="1"/>
  <c r="BU20" i="3" s="1"/>
  <c r="BV20" i="3" s="1"/>
  <c r="BW20" i="3" s="1"/>
  <c r="BX20" i="3" s="1"/>
  <c r="BY20" i="3" s="1"/>
  <c r="BZ21" i="3"/>
  <c r="CA21" i="3" s="1"/>
  <c r="CB21" i="3" s="1"/>
  <c r="CC21" i="3" s="1"/>
  <c r="CD21" i="3" s="1"/>
  <c r="CE21" i="3" s="1"/>
  <c r="CF21" i="3" s="1"/>
  <c r="CG21" i="3" s="1"/>
  <c r="CH21" i="3" s="1"/>
  <c r="CI21" i="3" s="1"/>
  <c r="CJ21" i="3" s="1"/>
  <c r="CK21" i="3" s="1"/>
  <c r="I15" i="10" l="1"/>
  <c r="N16" i="3"/>
  <c r="J16" i="10"/>
  <c r="CL21" i="3"/>
  <c r="CM21" i="3" s="1"/>
  <c r="CN21" i="3" s="1"/>
  <c r="CO21" i="3" s="1"/>
  <c r="CP21" i="3" s="1"/>
  <c r="CQ21" i="3" s="1"/>
  <c r="CR21" i="3" s="1"/>
  <c r="CS21" i="3" s="1"/>
  <c r="CT21" i="3" s="1"/>
  <c r="CU21" i="3" s="1"/>
  <c r="CV21" i="3" s="1"/>
  <c r="CW21" i="3" s="1"/>
  <c r="CX19" i="3"/>
  <c r="CY19" i="3" s="1"/>
  <c r="CZ19" i="3" s="1"/>
  <c r="DA19" i="3" s="1"/>
  <c r="DB19" i="3" s="1"/>
  <c r="DC19" i="3" s="1"/>
  <c r="DD19" i="3" s="1"/>
  <c r="DE19" i="3" s="1"/>
  <c r="DF19" i="3" s="1"/>
  <c r="DG19" i="3" s="1"/>
  <c r="DH19" i="3" s="1"/>
  <c r="DI19" i="3" s="1"/>
  <c r="BZ20" i="3"/>
  <c r="CA20" i="3" s="1"/>
  <c r="CB20" i="3" s="1"/>
  <c r="CC20" i="3" s="1"/>
  <c r="CD20" i="3" s="1"/>
  <c r="CE20" i="3" s="1"/>
  <c r="CF20" i="3" s="1"/>
  <c r="CG20" i="3" s="1"/>
  <c r="CH20" i="3" s="1"/>
  <c r="CI20" i="3" s="1"/>
  <c r="CJ20" i="3" s="1"/>
  <c r="CK20" i="3" s="1"/>
  <c r="K14" i="10"/>
  <c r="L14" i="10" l="1"/>
  <c r="O16" i="3"/>
  <c r="J15" i="10"/>
  <c r="CX21" i="3"/>
  <c r="CY21" i="3" s="1"/>
  <c r="CZ21" i="3" s="1"/>
  <c r="DA21" i="3" s="1"/>
  <c r="DB21" i="3" s="1"/>
  <c r="DC21" i="3" s="1"/>
  <c r="DD21" i="3" s="1"/>
  <c r="DE21" i="3" s="1"/>
  <c r="DF21" i="3" s="1"/>
  <c r="DG21" i="3" s="1"/>
  <c r="DH21" i="3" s="1"/>
  <c r="DI21" i="3" s="1"/>
  <c r="CL20" i="3"/>
  <c r="CM20" i="3" s="1"/>
  <c r="CN20" i="3" s="1"/>
  <c r="CO20" i="3" s="1"/>
  <c r="CP20" i="3" s="1"/>
  <c r="CQ20" i="3" s="1"/>
  <c r="CR20" i="3" s="1"/>
  <c r="CS20" i="3" s="1"/>
  <c r="CT20" i="3" s="1"/>
  <c r="CU20" i="3" s="1"/>
  <c r="CV20" i="3" s="1"/>
  <c r="CW20" i="3" s="1"/>
  <c r="K16" i="10"/>
  <c r="DJ19" i="3"/>
  <c r="DK19" i="3" s="1"/>
  <c r="DL19" i="3" s="1"/>
  <c r="DM19" i="3" s="1"/>
  <c r="DN19" i="3" s="1"/>
  <c r="DO19" i="3" s="1"/>
  <c r="DP19" i="3" s="1"/>
  <c r="DQ19" i="3" s="1"/>
  <c r="DR19" i="3" s="1"/>
  <c r="DS19" i="3" s="1"/>
  <c r="DT19" i="3" s="1"/>
  <c r="K15" i="10" l="1"/>
  <c r="P16" i="3"/>
  <c r="M14" i="10"/>
  <c r="DJ21" i="3"/>
  <c r="DK21" i="3" s="1"/>
  <c r="DL21" i="3" s="1"/>
  <c r="DM21" i="3" s="1"/>
  <c r="DN21" i="3" s="1"/>
  <c r="DO21" i="3" s="1"/>
  <c r="DP21" i="3" s="1"/>
  <c r="DQ21" i="3" s="1"/>
  <c r="DR21" i="3" s="1"/>
  <c r="DS21" i="3" s="1"/>
  <c r="DT21" i="3" s="1"/>
  <c r="CX20" i="3"/>
  <c r="CY20" i="3" s="1"/>
  <c r="CZ20" i="3" s="1"/>
  <c r="DA20" i="3" s="1"/>
  <c r="DB20" i="3" s="1"/>
  <c r="DC20" i="3" s="1"/>
  <c r="DD20" i="3" s="1"/>
  <c r="DE20" i="3" s="1"/>
  <c r="DF20" i="3" s="1"/>
  <c r="DG20" i="3" s="1"/>
  <c r="DH20" i="3" s="1"/>
  <c r="DI20" i="3" s="1"/>
  <c r="L16" i="10"/>
  <c r="M16" i="10" l="1"/>
  <c r="Q16" i="3"/>
  <c r="L15" i="10"/>
  <c r="DJ20" i="3"/>
  <c r="DK20" i="3" s="1"/>
  <c r="DL20" i="3" s="1"/>
  <c r="DM20" i="3" s="1"/>
  <c r="DN20" i="3" s="1"/>
  <c r="DO20" i="3" s="1"/>
  <c r="DP20" i="3" s="1"/>
  <c r="DQ20" i="3" s="1"/>
  <c r="DR20" i="3" s="1"/>
  <c r="DS20" i="3" s="1"/>
  <c r="DT20" i="3" s="1"/>
  <c r="R16" i="3" l="1"/>
  <c r="M15" i="10"/>
  <c r="C12" i="10"/>
  <c r="S16" i="3" l="1"/>
  <c r="E22" i="3"/>
  <c r="F17" i="3"/>
  <c r="T16" i="3" l="1"/>
  <c r="G17" i="3"/>
  <c r="K14" i="1" s="1"/>
  <c r="K22" i="1" s="1"/>
  <c r="K27" i="1" s="1"/>
  <c r="F22" i="3"/>
  <c r="E26" i="3"/>
  <c r="E36" i="3"/>
  <c r="E23" i="3"/>
  <c r="E25" i="3"/>
  <c r="U16" i="3" l="1"/>
  <c r="E37" i="3"/>
  <c r="F25" i="3"/>
  <c r="F23" i="3"/>
  <c r="F26" i="3"/>
  <c r="F36" i="3"/>
  <c r="F37" i="3" s="1"/>
  <c r="G22" i="3"/>
  <c r="H17" i="3"/>
  <c r="V16" i="3" l="1"/>
  <c r="I17" i="3"/>
  <c r="H22" i="3"/>
  <c r="G26" i="3"/>
  <c r="G36" i="3"/>
  <c r="G37" i="3" s="1"/>
  <c r="G23" i="3"/>
  <c r="G25" i="3"/>
  <c r="F51" i="3"/>
  <c r="F54" i="3" s="1"/>
  <c r="F61" i="3" s="1"/>
  <c r="F41" i="3"/>
  <c r="E51" i="3"/>
  <c r="E41" i="3"/>
  <c r="W16" i="3" l="1"/>
  <c r="F42" i="3"/>
  <c r="E42" i="3"/>
  <c r="E54" i="3"/>
  <c r="E61" i="3" s="1"/>
  <c r="G51" i="3"/>
  <c r="G54" i="3" s="1"/>
  <c r="G61" i="3" s="1"/>
  <c r="G41" i="3"/>
  <c r="G42" i="3" s="1"/>
  <c r="H23" i="3"/>
  <c r="H25" i="3"/>
  <c r="H26" i="3"/>
  <c r="H36" i="3"/>
  <c r="J17" i="3"/>
  <c r="I22" i="3"/>
  <c r="K25" i="1" l="1"/>
  <c r="X16" i="3"/>
  <c r="N9" i="15"/>
  <c r="K19" i="1"/>
  <c r="L14" i="1"/>
  <c r="G62" i="3"/>
  <c r="E62" i="3"/>
  <c r="F62" i="3"/>
  <c r="I26" i="3"/>
  <c r="I25" i="3"/>
  <c r="I36" i="3"/>
  <c r="I37" i="3" s="1"/>
  <c r="I23" i="3"/>
  <c r="J22" i="3"/>
  <c r="K17" i="3"/>
  <c r="H37" i="3"/>
  <c r="K29" i="1" l="1"/>
  <c r="L29" i="1"/>
  <c r="E14" i="15"/>
  <c r="E18" i="15" s="1"/>
  <c r="E20" i="15" s="1"/>
  <c r="E21" i="15" s="1"/>
  <c r="K24" i="1"/>
  <c r="K21" i="1"/>
  <c r="K26" i="1" s="1"/>
  <c r="Y16" i="3"/>
  <c r="N14" i="15"/>
  <c r="L19" i="1"/>
  <c r="I51" i="3"/>
  <c r="I54" i="3" s="1"/>
  <c r="I61" i="3" s="1"/>
  <c r="I41" i="3"/>
  <c r="H51" i="3"/>
  <c r="H41" i="3"/>
  <c r="K22" i="3"/>
  <c r="L17" i="3"/>
  <c r="J23" i="3"/>
  <c r="J26" i="3"/>
  <c r="J36" i="3"/>
  <c r="J37" i="3" s="1"/>
  <c r="J25" i="3"/>
  <c r="E25" i="15" l="1"/>
  <c r="E26" i="15" s="1"/>
  <c r="K31" i="1"/>
  <c r="Z16" i="3"/>
  <c r="N16" i="15"/>
  <c r="J41" i="3"/>
  <c r="J42" i="3" s="1"/>
  <c r="J51" i="3"/>
  <c r="J54" i="3" s="1"/>
  <c r="J61" i="3" s="1"/>
  <c r="M17" i="3"/>
  <c r="L22" i="3"/>
  <c r="K26" i="3"/>
  <c r="K25" i="3"/>
  <c r="K36" i="3"/>
  <c r="K23" i="3"/>
  <c r="I42" i="3"/>
  <c r="H42" i="3"/>
  <c r="H54" i="3"/>
  <c r="H61" i="3" s="1"/>
  <c r="AA16" i="3" l="1"/>
  <c r="H62" i="3"/>
  <c r="J62" i="3"/>
  <c r="I62" i="3"/>
  <c r="K37" i="3"/>
  <c r="L36" i="3"/>
  <c r="L37" i="3" s="1"/>
  <c r="L26" i="3"/>
  <c r="L23" i="3"/>
  <c r="L25" i="3"/>
  <c r="M22" i="3"/>
  <c r="N17" i="3"/>
  <c r="AB16" i="3" l="1"/>
  <c r="O17" i="3"/>
  <c r="N22" i="3"/>
  <c r="M36" i="3"/>
  <c r="M37" i="3" s="1"/>
  <c r="M23" i="3"/>
  <c r="M26" i="3"/>
  <c r="M25" i="3"/>
  <c r="L41" i="3"/>
  <c r="L51" i="3"/>
  <c r="L54" i="3" s="1"/>
  <c r="L61" i="3" s="1"/>
  <c r="K41" i="3"/>
  <c r="K51" i="3"/>
  <c r="AC16" i="3" l="1"/>
  <c r="L42" i="3"/>
  <c r="K42" i="3"/>
  <c r="K54" i="3"/>
  <c r="K61" i="3" s="1"/>
  <c r="M41" i="3"/>
  <c r="M51" i="3"/>
  <c r="M54" i="3" s="1"/>
  <c r="M61" i="3" s="1"/>
  <c r="N26" i="3"/>
  <c r="N36" i="3"/>
  <c r="N37" i="3" s="1"/>
  <c r="N23" i="3"/>
  <c r="N25" i="3"/>
  <c r="O22" i="3"/>
  <c r="P17" i="3"/>
  <c r="AD16" i="3" l="1"/>
  <c r="M42" i="3"/>
  <c r="P22" i="3"/>
  <c r="Q17" i="3"/>
  <c r="O36" i="3"/>
  <c r="O37" i="3" s="1"/>
  <c r="O23" i="3"/>
  <c r="O25" i="3"/>
  <c r="O26" i="3"/>
  <c r="L62" i="3"/>
  <c r="K62" i="3"/>
  <c r="M62" i="3"/>
  <c r="N51" i="3"/>
  <c r="N41" i="3"/>
  <c r="N42" i="3" s="1"/>
  <c r="AE16" i="3" l="1"/>
  <c r="O51" i="3"/>
  <c r="O54" i="3" s="1"/>
  <c r="O61" i="3" s="1"/>
  <c r="O41" i="3"/>
  <c r="O42" i="3" s="1"/>
  <c r="N54" i="3"/>
  <c r="N61" i="3" s="1"/>
  <c r="R17" i="3"/>
  <c r="Q22" i="3"/>
  <c r="P23" i="3"/>
  <c r="P26" i="3"/>
  <c r="P25" i="3"/>
  <c r="P36" i="3"/>
  <c r="P37" i="3" s="1"/>
  <c r="AF16" i="3" l="1"/>
  <c r="Q23" i="3"/>
  <c r="Q36" i="3"/>
  <c r="Q25" i="3"/>
  <c r="Q26" i="3"/>
  <c r="P41" i="3"/>
  <c r="P42" i="3" s="1"/>
  <c r="P51" i="3"/>
  <c r="O62" i="3"/>
  <c r="N62" i="3"/>
  <c r="R22" i="3"/>
  <c r="S17" i="3"/>
  <c r="AG16" i="3" l="1"/>
  <c r="Q37" i="3"/>
  <c r="S22" i="3"/>
  <c r="T17" i="3"/>
  <c r="R26" i="3"/>
  <c r="R23" i="3"/>
  <c r="R36" i="3"/>
  <c r="R37" i="3" s="1"/>
  <c r="R25" i="3"/>
  <c r="P54" i="3"/>
  <c r="P61" i="3" s="1"/>
  <c r="D48" i="10"/>
  <c r="D51" i="10" s="1"/>
  <c r="AH16" i="3" l="1"/>
  <c r="U17" i="3"/>
  <c r="T22" i="3"/>
  <c r="S26" i="3"/>
  <c r="S36" i="3"/>
  <c r="S25" i="3"/>
  <c r="S23" i="3"/>
  <c r="Q51" i="3"/>
  <c r="Q41" i="3"/>
  <c r="Q42" i="3" s="1"/>
  <c r="P62" i="3"/>
  <c r="R51" i="3"/>
  <c r="R54" i="3" s="1"/>
  <c r="R61" i="3" s="1"/>
  <c r="R41" i="3"/>
  <c r="AI16" i="3" l="1"/>
  <c r="Q54" i="3"/>
  <c r="Q61" i="3" s="1"/>
  <c r="S37" i="3"/>
  <c r="R42" i="3"/>
  <c r="T25" i="3"/>
  <c r="T26" i="3"/>
  <c r="T36" i="3"/>
  <c r="T37" i="3" s="1"/>
  <c r="T23" i="3"/>
  <c r="V17" i="3"/>
  <c r="U22" i="3"/>
  <c r="AJ16" i="3" l="1"/>
  <c r="V22" i="3"/>
  <c r="W17" i="3"/>
  <c r="T41" i="3"/>
  <c r="T51" i="3"/>
  <c r="T54" i="3" s="1"/>
  <c r="T61" i="3" s="1"/>
  <c r="U26" i="3"/>
  <c r="U36" i="3"/>
  <c r="U37" i="3" s="1"/>
  <c r="U25" i="3"/>
  <c r="U23" i="3"/>
  <c r="S51" i="3"/>
  <c r="S41" i="3"/>
  <c r="S42" i="3" s="1"/>
  <c r="R62" i="3"/>
  <c r="Q62" i="3"/>
  <c r="AK16" i="3" l="1"/>
  <c r="S54" i="3"/>
  <c r="S61" i="3" s="1"/>
  <c r="S62" i="3" s="1"/>
  <c r="U41" i="3"/>
  <c r="U42" i="3" s="1"/>
  <c r="U51" i="3"/>
  <c r="U54" i="3" s="1"/>
  <c r="U61" i="3" s="1"/>
  <c r="T42" i="3"/>
  <c r="W22" i="3"/>
  <c r="X17" i="3"/>
  <c r="V36" i="3"/>
  <c r="V25" i="3"/>
  <c r="V26" i="3"/>
  <c r="V23" i="3"/>
  <c r="AL16" i="3" l="1"/>
  <c r="T62" i="3"/>
  <c r="U62" i="3"/>
  <c r="V37" i="3"/>
  <c r="X22" i="3"/>
  <c r="Y17" i="3"/>
  <c r="W23" i="3"/>
  <c r="W36" i="3"/>
  <c r="W37" i="3" s="1"/>
  <c r="W26" i="3"/>
  <c r="W25" i="3"/>
  <c r="AM16" i="3" l="1"/>
  <c r="W41" i="3"/>
  <c r="W51" i="3"/>
  <c r="W54" i="3" s="1"/>
  <c r="W61" i="3" s="1"/>
  <c r="Y22" i="3"/>
  <c r="Z17" i="3"/>
  <c r="X23" i="3"/>
  <c r="X36" i="3"/>
  <c r="X37" i="3" s="1"/>
  <c r="X26" i="3"/>
  <c r="X25" i="3"/>
  <c r="V51" i="3"/>
  <c r="V41" i="3"/>
  <c r="V42" i="3" s="1"/>
  <c r="AN16" i="3" l="1"/>
  <c r="V54" i="3"/>
  <c r="V61" i="3" s="1"/>
  <c r="V62" i="3" s="1"/>
  <c r="X51" i="3"/>
  <c r="X54" i="3" s="1"/>
  <c r="X61" i="3" s="1"/>
  <c r="X41" i="3"/>
  <c r="X42" i="3" s="1"/>
  <c r="AA17" i="3"/>
  <c r="Z22" i="3"/>
  <c r="Y36" i="3"/>
  <c r="Y37" i="3" s="1"/>
  <c r="Y26" i="3"/>
  <c r="Y23" i="3"/>
  <c r="Y25" i="3"/>
  <c r="W42" i="3"/>
  <c r="AO16" i="3" l="1"/>
  <c r="X62" i="3"/>
  <c r="Y51" i="3"/>
  <c r="Y41" i="3"/>
  <c r="Y42" i="3" s="1"/>
  <c r="AA22" i="3"/>
  <c r="AB17" i="3"/>
  <c r="W62" i="3"/>
  <c r="Z25" i="3"/>
  <c r="Z36" i="3"/>
  <c r="Z37" i="3" s="1"/>
  <c r="Z23" i="3"/>
  <c r="Z26" i="3"/>
  <c r="AP16" i="3" l="1"/>
  <c r="AA25" i="3"/>
  <c r="AA26" i="3"/>
  <c r="AA36" i="3"/>
  <c r="AA37" i="3" s="1"/>
  <c r="AA23" i="3"/>
  <c r="AC17" i="3"/>
  <c r="AB22" i="3"/>
  <c r="Y54" i="3"/>
  <c r="Y61" i="3" s="1"/>
  <c r="Y62" i="3" s="1"/>
  <c r="Z41" i="3"/>
  <c r="Z42" i="3" s="1"/>
  <c r="Z51" i="3"/>
  <c r="Z54" i="3" s="1"/>
  <c r="Z61" i="3" s="1"/>
  <c r="AQ16" i="3" l="1"/>
  <c r="Z62" i="3"/>
  <c r="AB23" i="3"/>
  <c r="AB26" i="3"/>
  <c r="AB36" i="3"/>
  <c r="AB37" i="3" s="1"/>
  <c r="AB25" i="3"/>
  <c r="AC22" i="3"/>
  <c r="AD17" i="3"/>
  <c r="AA51" i="3"/>
  <c r="AA54" i="3" s="1"/>
  <c r="AA61" i="3" s="1"/>
  <c r="AA62" i="3" s="1"/>
  <c r="AA41" i="3"/>
  <c r="AA42" i="3" s="1"/>
  <c r="AR16" i="3" l="1"/>
  <c r="AE17" i="3"/>
  <c r="AD22" i="3"/>
  <c r="AC36" i="3"/>
  <c r="AC25" i="3"/>
  <c r="AC26" i="3"/>
  <c r="AC23" i="3"/>
  <c r="AB51" i="3"/>
  <c r="AB54" i="3" s="1"/>
  <c r="AB61" i="3" s="1"/>
  <c r="AB62" i="3" s="1"/>
  <c r="AB41" i="3"/>
  <c r="AB42" i="3" s="1"/>
  <c r="AS16" i="3" l="1"/>
  <c r="AC37" i="3"/>
  <c r="AD36" i="3"/>
  <c r="AD37" i="3" s="1"/>
  <c r="AD25" i="3"/>
  <c r="AD23" i="3"/>
  <c r="AD26" i="3"/>
  <c r="AE22" i="3"/>
  <c r="AF17" i="3"/>
  <c r="AT16" i="3" l="1"/>
  <c r="AD41" i="3"/>
  <c r="AD51" i="3"/>
  <c r="AD54" i="3" s="1"/>
  <c r="AD61" i="3" s="1"/>
  <c r="AC51" i="3"/>
  <c r="AC41" i="3"/>
  <c r="AC42" i="3" s="1"/>
  <c r="AF22" i="3"/>
  <c r="AG17" i="3"/>
  <c r="AE23" i="3"/>
  <c r="AE36" i="3"/>
  <c r="AE26" i="3"/>
  <c r="AE25" i="3"/>
  <c r="AU16" i="3" l="1"/>
  <c r="AC54" i="3"/>
  <c r="AC61" i="3" s="1"/>
  <c r="AC62" i="3" s="1"/>
  <c r="AF36" i="3"/>
  <c r="AF37" i="3" s="1"/>
  <c r="AF23" i="3"/>
  <c r="AF26" i="3"/>
  <c r="AF25" i="3"/>
  <c r="AD42" i="3"/>
  <c r="AE37" i="3"/>
  <c r="AH17" i="3"/>
  <c r="AG22" i="3"/>
  <c r="AV16" i="3" l="1"/>
  <c r="AD62" i="3"/>
  <c r="AG36" i="3"/>
  <c r="AG37" i="3" s="1"/>
  <c r="AG26" i="3"/>
  <c r="AG23" i="3"/>
  <c r="AG25" i="3"/>
  <c r="AH22" i="3"/>
  <c r="AI17" i="3"/>
  <c r="AF51" i="3"/>
  <c r="AF54" i="3" s="1"/>
  <c r="AF61" i="3" s="1"/>
  <c r="AF41" i="3"/>
  <c r="AE41" i="3"/>
  <c r="AE42" i="3" s="1"/>
  <c r="AE51" i="3"/>
  <c r="AW16" i="3" l="1"/>
  <c r="AH36" i="3"/>
  <c r="AH26" i="3"/>
  <c r="AH23" i="3"/>
  <c r="AH25" i="3"/>
  <c r="AG51" i="3"/>
  <c r="AG54" i="3" s="1"/>
  <c r="AG61" i="3" s="1"/>
  <c r="AG41" i="3"/>
  <c r="AG42" i="3" s="1"/>
  <c r="AE54" i="3"/>
  <c r="AE61" i="3" s="1"/>
  <c r="AE62" i="3" s="1"/>
  <c r="AF42" i="3"/>
  <c r="AJ17" i="3"/>
  <c r="AI22" i="3"/>
  <c r="AX16" i="3" l="1"/>
  <c r="AF62" i="3"/>
  <c r="AJ22" i="3"/>
  <c r="AK17" i="3"/>
  <c r="AI36" i="3"/>
  <c r="AI37" i="3" s="1"/>
  <c r="AI25" i="3"/>
  <c r="AI23" i="3"/>
  <c r="AI26" i="3"/>
  <c r="AG62" i="3"/>
  <c r="AH37" i="3"/>
  <c r="AY16" i="3" l="1"/>
  <c r="AI51" i="3"/>
  <c r="AI54" i="3" s="1"/>
  <c r="AI61" i="3" s="1"/>
  <c r="AI41" i="3"/>
  <c r="AL17" i="3"/>
  <c r="AK22" i="3"/>
  <c r="AH41" i="3"/>
  <c r="AH42" i="3" s="1"/>
  <c r="AH51" i="3"/>
  <c r="AJ25" i="3"/>
  <c r="AJ26" i="3"/>
  <c r="AJ23" i="3"/>
  <c r="AJ36" i="3"/>
  <c r="AZ16" i="3" l="1"/>
  <c r="AM17" i="3"/>
  <c r="AL22" i="3"/>
  <c r="AI42" i="3"/>
  <c r="AJ37" i="3"/>
  <c r="AH54" i="3"/>
  <c r="AH61" i="3" s="1"/>
  <c r="AH62" i="3" s="1"/>
  <c r="AK36" i="3"/>
  <c r="AK37" i="3" s="1"/>
  <c r="AK23" i="3"/>
  <c r="AK26" i="3"/>
  <c r="AK25" i="3"/>
  <c r="BA16" i="3" l="1"/>
  <c r="AI62" i="3"/>
  <c r="AK41" i="3"/>
  <c r="AK51" i="3"/>
  <c r="AK54" i="3" s="1"/>
  <c r="AK61" i="3" s="1"/>
  <c r="AJ51" i="3"/>
  <c r="AJ41" i="3"/>
  <c r="AJ42" i="3" s="1"/>
  <c r="AL36" i="3"/>
  <c r="AL37" i="3" s="1"/>
  <c r="AL23" i="3"/>
  <c r="AL25" i="3"/>
  <c r="AL26" i="3"/>
  <c r="AM22" i="3"/>
  <c r="AN17" i="3"/>
  <c r="BB16" i="3" l="1"/>
  <c r="AO17" i="3"/>
  <c r="AN22" i="3"/>
  <c r="AL51" i="3"/>
  <c r="AL54" i="3" s="1"/>
  <c r="AL61" i="3" s="1"/>
  <c r="AL41" i="3"/>
  <c r="AL42" i="3" s="1"/>
  <c r="AM26" i="3"/>
  <c r="AM36" i="3"/>
  <c r="AM37" i="3" s="1"/>
  <c r="AM23" i="3"/>
  <c r="AM25" i="3"/>
  <c r="AJ54" i="3"/>
  <c r="AJ61" i="3" s="1"/>
  <c r="AJ62" i="3" s="1"/>
  <c r="AK42" i="3"/>
  <c r="BC16" i="3" l="1"/>
  <c r="AM41" i="3"/>
  <c r="AM42" i="3" s="1"/>
  <c r="AM51" i="3"/>
  <c r="AK62" i="3"/>
  <c r="AL62" i="3"/>
  <c r="AN26" i="3"/>
  <c r="AN23" i="3"/>
  <c r="AN36" i="3"/>
  <c r="AN37" i="3" s="1"/>
  <c r="AN25" i="3"/>
  <c r="AO22" i="3"/>
  <c r="AP17" i="3"/>
  <c r="BD16" i="3" l="1"/>
  <c r="AQ17" i="3"/>
  <c r="AP22" i="3"/>
  <c r="AO23" i="3"/>
  <c r="AO36" i="3"/>
  <c r="AO26" i="3"/>
  <c r="AO25" i="3"/>
  <c r="AN51" i="3"/>
  <c r="AN54" i="3" s="1"/>
  <c r="AN61" i="3" s="1"/>
  <c r="AN41" i="3"/>
  <c r="AN42" i="3" s="1"/>
  <c r="AM54" i="3"/>
  <c r="AM61" i="3" s="1"/>
  <c r="AM62" i="3" s="1"/>
  <c r="BE16" i="3" l="1"/>
  <c r="F48" i="10"/>
  <c r="F51" i="10" s="1"/>
  <c r="AN62" i="3"/>
  <c r="AO37" i="3"/>
  <c r="AP25" i="3"/>
  <c r="AP26" i="3"/>
  <c r="AP36" i="3"/>
  <c r="AP37" i="3" s="1"/>
  <c r="AP23" i="3"/>
  <c r="AQ22" i="3"/>
  <c r="AR17" i="3"/>
  <c r="BF16" i="3" l="1"/>
  <c r="AS17" i="3"/>
  <c r="AR22" i="3"/>
  <c r="AQ36" i="3"/>
  <c r="AQ23" i="3"/>
  <c r="AQ25" i="3"/>
  <c r="AQ26" i="3"/>
  <c r="AP51" i="3"/>
  <c r="AP54" i="3" s="1"/>
  <c r="AP61" i="3" s="1"/>
  <c r="AP41" i="3"/>
  <c r="AO41" i="3"/>
  <c r="AO42" i="3" s="1"/>
  <c r="AO51" i="3"/>
  <c r="BG16" i="3" l="1"/>
  <c r="AO54" i="3"/>
  <c r="AO61" i="3" s="1"/>
  <c r="AO62" i="3" s="1"/>
  <c r="AP42" i="3"/>
  <c r="AQ37" i="3"/>
  <c r="AR36" i="3"/>
  <c r="AR37" i="3" s="1"/>
  <c r="AR25" i="3"/>
  <c r="AR26" i="3"/>
  <c r="AR23" i="3"/>
  <c r="AT17" i="3"/>
  <c r="AS22" i="3"/>
  <c r="AP62" i="3" l="1"/>
  <c r="BH16" i="3"/>
  <c r="AT22" i="3"/>
  <c r="AU17" i="3"/>
  <c r="AQ51" i="3"/>
  <c r="AQ41" i="3"/>
  <c r="AQ42" i="3" s="1"/>
  <c r="AS36" i="3"/>
  <c r="AS37" i="3" s="1"/>
  <c r="AS25" i="3"/>
  <c r="AS23" i="3"/>
  <c r="AS26" i="3"/>
  <c r="AR51" i="3"/>
  <c r="AR54" i="3" s="1"/>
  <c r="AR61" i="3" s="1"/>
  <c r="AR41" i="3"/>
  <c r="BI16" i="3" l="1"/>
  <c r="AR42" i="3"/>
  <c r="AS41" i="3"/>
  <c r="AS42" i="3" s="1"/>
  <c r="AS51" i="3"/>
  <c r="AS54" i="3" s="1"/>
  <c r="AS61" i="3" s="1"/>
  <c r="AQ54" i="3"/>
  <c r="AQ61" i="3" s="1"/>
  <c r="AQ62" i="3" s="1"/>
  <c r="AU22" i="3"/>
  <c r="AV17" i="3"/>
  <c r="AT36" i="3"/>
  <c r="AT23" i="3"/>
  <c r="AT25" i="3"/>
  <c r="AT26" i="3"/>
  <c r="BJ16" i="3" l="1"/>
  <c r="AR62" i="3"/>
  <c r="AS62" i="3"/>
  <c r="AV22" i="3"/>
  <c r="AW17" i="3"/>
  <c r="AU26" i="3"/>
  <c r="AU23" i="3"/>
  <c r="AU25" i="3"/>
  <c r="AU36" i="3"/>
  <c r="AU37" i="3" s="1"/>
  <c r="AT37" i="3"/>
  <c r="BK16" i="3" l="1"/>
  <c r="AW22" i="3"/>
  <c r="AX17" i="3"/>
  <c r="AT51" i="3"/>
  <c r="AT41" i="3"/>
  <c r="AT42" i="3" s="1"/>
  <c r="AU41" i="3"/>
  <c r="AU51" i="3"/>
  <c r="AU54" i="3" s="1"/>
  <c r="AU61" i="3" s="1"/>
  <c r="AV25" i="3"/>
  <c r="AV23" i="3"/>
  <c r="AV26" i="3"/>
  <c r="AV36" i="3"/>
  <c r="BL16" i="3" l="1"/>
  <c r="AV37" i="3"/>
  <c r="AU42" i="3"/>
  <c r="AT54" i="3"/>
  <c r="AT61" i="3" s="1"/>
  <c r="AT62" i="3" s="1"/>
  <c r="AX22" i="3"/>
  <c r="AY17" i="3"/>
  <c r="AW26" i="3"/>
  <c r="AW25" i="3"/>
  <c r="AW23" i="3"/>
  <c r="AW36" i="3"/>
  <c r="AW37" i="3" s="1"/>
  <c r="BM16" i="3" l="1"/>
  <c r="AW51" i="3"/>
  <c r="AW54" i="3" s="1"/>
  <c r="AW61" i="3" s="1"/>
  <c r="AW41" i="3"/>
  <c r="AZ17" i="3"/>
  <c r="AY22" i="3"/>
  <c r="AX26" i="3"/>
  <c r="AX23" i="3"/>
  <c r="AX25" i="3"/>
  <c r="AX36" i="3"/>
  <c r="AX37" i="3" s="1"/>
  <c r="AV51" i="3"/>
  <c r="AV41" i="3"/>
  <c r="AV42" i="3" s="1"/>
  <c r="AU62" i="3"/>
  <c r="BN16" i="3" l="1"/>
  <c r="AV54" i="3"/>
  <c r="AV61" i="3" s="1"/>
  <c r="AV62" i="3" s="1"/>
  <c r="AX51" i="3"/>
  <c r="AX54" i="3" s="1"/>
  <c r="AX61" i="3" s="1"/>
  <c r="AX41" i="3"/>
  <c r="AX42" i="3" s="1"/>
  <c r="AY36" i="3"/>
  <c r="AY37" i="3" s="1"/>
  <c r="AY26" i="3"/>
  <c r="AY23" i="3"/>
  <c r="AY25" i="3"/>
  <c r="AZ22" i="3"/>
  <c r="BA17" i="3"/>
  <c r="AW42" i="3"/>
  <c r="BO16" i="3" l="1"/>
  <c r="AW62" i="3"/>
  <c r="AX62" i="3"/>
  <c r="AZ23" i="3"/>
  <c r="AZ36" i="3"/>
  <c r="AZ37" i="3" s="1"/>
  <c r="AZ26" i="3"/>
  <c r="AZ25" i="3"/>
  <c r="BA22" i="3"/>
  <c r="D112" i="1" s="1"/>
  <c r="BB17" i="3"/>
  <c r="AY51" i="3"/>
  <c r="AY41" i="3"/>
  <c r="AY42" i="3" s="1"/>
  <c r="BP16" i="3" l="1"/>
  <c r="AY54" i="3"/>
  <c r="AY61" i="3" s="1"/>
  <c r="AY62" i="3" s="1"/>
  <c r="BB22" i="3"/>
  <c r="BC17" i="3"/>
  <c r="BA36" i="3"/>
  <c r="BA26" i="3"/>
  <c r="BA25" i="3"/>
  <c r="BA23" i="3"/>
  <c r="AZ41" i="3"/>
  <c r="AZ42" i="3" s="1"/>
  <c r="AZ51" i="3"/>
  <c r="AZ54" i="3" s="1"/>
  <c r="AZ61" i="3" s="1"/>
  <c r="BQ16" i="3" l="1"/>
  <c r="AZ62" i="3"/>
  <c r="BA37" i="3"/>
  <c r="BC22" i="3"/>
  <c r="BD17" i="3"/>
  <c r="BB36" i="3"/>
  <c r="BB37" i="3" s="1"/>
  <c r="BB26" i="3"/>
  <c r="BB25" i="3"/>
  <c r="BB23" i="3"/>
  <c r="BR16" i="3" l="1"/>
  <c r="BB41" i="3"/>
  <c r="BB51" i="3"/>
  <c r="BB54" i="3" s="1"/>
  <c r="BB61" i="3" s="1"/>
  <c r="BD22" i="3"/>
  <c r="BE17" i="3"/>
  <c r="BC23" i="3"/>
  <c r="BC26" i="3"/>
  <c r="BC36" i="3"/>
  <c r="BC37" i="3" s="1"/>
  <c r="BC25" i="3"/>
  <c r="BA51" i="3"/>
  <c r="BA41" i="3"/>
  <c r="BA42" i="3" s="1"/>
  <c r="BS16" i="3" l="1"/>
  <c r="BA54" i="3"/>
  <c r="BA61" i="3" s="1"/>
  <c r="BA62" i="3" s="1"/>
  <c r="BC51" i="3"/>
  <c r="BC54" i="3" s="1"/>
  <c r="BC61" i="3" s="1"/>
  <c r="BC62" i="3" s="1"/>
  <c r="BC41" i="3"/>
  <c r="BC42" i="3" s="1"/>
  <c r="BE22" i="3"/>
  <c r="BF17" i="3"/>
  <c r="BD26" i="3"/>
  <c r="BD25" i="3"/>
  <c r="BD36" i="3"/>
  <c r="BD23" i="3"/>
  <c r="BB42" i="3"/>
  <c r="BT16" i="3" l="1"/>
  <c r="BB62" i="3"/>
  <c r="BG17" i="3"/>
  <c r="BF22" i="3"/>
  <c r="BE25" i="3"/>
  <c r="BE23" i="3"/>
  <c r="BE26" i="3"/>
  <c r="BE36" i="3"/>
  <c r="BE37" i="3" s="1"/>
  <c r="BD37" i="3"/>
  <c r="BU16" i="3" l="1"/>
  <c r="BD41" i="3"/>
  <c r="BD42" i="3" s="1"/>
  <c r="BD51" i="3"/>
  <c r="BE41" i="3"/>
  <c r="BE51" i="3"/>
  <c r="BE54" i="3" s="1"/>
  <c r="BE61" i="3" s="1"/>
  <c r="BF25" i="3"/>
  <c r="BF36" i="3"/>
  <c r="BF26" i="3"/>
  <c r="BF23" i="3"/>
  <c r="BG22" i="3"/>
  <c r="BH17" i="3"/>
  <c r="BV16" i="3" l="1"/>
  <c r="BE42" i="3"/>
  <c r="BH22" i="3"/>
  <c r="BI17" i="3"/>
  <c r="BF37" i="3"/>
  <c r="BD54" i="3"/>
  <c r="BD61" i="3" s="1"/>
  <c r="BD62" i="3" s="1"/>
  <c r="BG23" i="3"/>
  <c r="BG26" i="3"/>
  <c r="BG25" i="3"/>
  <c r="BG36" i="3"/>
  <c r="BG37" i="3" s="1"/>
  <c r="BW16" i="3" l="1"/>
  <c r="BE62" i="3"/>
  <c r="BJ17" i="3"/>
  <c r="BI22" i="3"/>
  <c r="BG41" i="3"/>
  <c r="BG51" i="3"/>
  <c r="BG54" i="3" s="1"/>
  <c r="BG61" i="3" s="1"/>
  <c r="BF51" i="3"/>
  <c r="BF41" i="3"/>
  <c r="BF42" i="3" s="1"/>
  <c r="BH26" i="3"/>
  <c r="BH25" i="3"/>
  <c r="BH23" i="3"/>
  <c r="BH36" i="3"/>
  <c r="BH37" i="3" s="1"/>
  <c r="BX16" i="3" l="1"/>
  <c r="BG42" i="3"/>
  <c r="BH41" i="3"/>
  <c r="BH42" i="3" s="1"/>
  <c r="BH51" i="3"/>
  <c r="BH54" i="3" s="1"/>
  <c r="BH61" i="3" s="1"/>
  <c r="BF54" i="3"/>
  <c r="BF61" i="3" s="1"/>
  <c r="BF62" i="3" s="1"/>
  <c r="BI23" i="3"/>
  <c r="BI26" i="3"/>
  <c r="BI36" i="3"/>
  <c r="BI37" i="3" s="1"/>
  <c r="BI25" i="3"/>
  <c r="BJ22" i="3"/>
  <c r="BK17" i="3"/>
  <c r="BY16" i="3" l="1"/>
  <c r="BG62" i="3"/>
  <c r="BK22" i="3"/>
  <c r="BL17" i="3"/>
  <c r="BJ25" i="3"/>
  <c r="BJ26" i="3"/>
  <c r="BJ23" i="3"/>
  <c r="BJ36" i="3"/>
  <c r="BJ37" i="3" s="1"/>
  <c r="BI51" i="3"/>
  <c r="BI41" i="3"/>
  <c r="BI42" i="3" s="1"/>
  <c r="BH62" i="3"/>
  <c r="BZ16" i="3" l="1"/>
  <c r="BI54" i="3"/>
  <c r="BI61" i="3" s="1"/>
  <c r="BI62" i="3" s="1"/>
  <c r="BJ41" i="3"/>
  <c r="BJ42" i="3" s="1"/>
  <c r="BJ51" i="3"/>
  <c r="BJ54" i="3" s="1"/>
  <c r="BJ61" i="3" s="1"/>
  <c r="BL22" i="3"/>
  <c r="BM17" i="3"/>
  <c r="BK25" i="3"/>
  <c r="BK26" i="3"/>
  <c r="BK23" i="3"/>
  <c r="BK36" i="3"/>
  <c r="BK37" i="3" s="1"/>
  <c r="CA16" i="3" l="1"/>
  <c r="BJ62" i="3"/>
  <c r="BK41" i="3"/>
  <c r="BK42" i="3" s="1"/>
  <c r="BK51" i="3"/>
  <c r="BM22" i="3"/>
  <c r="BN17" i="3"/>
  <c r="BL23" i="3"/>
  <c r="BL26" i="3"/>
  <c r="BL25" i="3"/>
  <c r="BL36" i="3"/>
  <c r="BL37" i="3" s="1"/>
  <c r="CB16" i="3" l="1"/>
  <c r="BN22" i="3"/>
  <c r="BO17" i="3"/>
  <c r="BM36" i="3"/>
  <c r="BM25" i="3"/>
  <c r="BM23" i="3"/>
  <c r="BM26" i="3"/>
  <c r="BK54" i="3"/>
  <c r="BK61" i="3" s="1"/>
  <c r="BK62" i="3" s="1"/>
  <c r="BL51" i="3"/>
  <c r="BL54" i="3" s="1"/>
  <c r="BL61" i="3" s="1"/>
  <c r="BL41" i="3"/>
  <c r="BL42" i="3" s="1"/>
  <c r="CC16" i="3" l="1"/>
  <c r="BL62" i="3"/>
  <c r="H48" i="10"/>
  <c r="H51" i="10" s="1"/>
  <c r="BM37" i="3"/>
  <c r="BP17" i="3"/>
  <c r="BO22" i="3"/>
  <c r="BN26" i="3"/>
  <c r="BN36" i="3"/>
  <c r="BN37" i="3" s="1"/>
  <c r="BN25" i="3"/>
  <c r="BN23" i="3"/>
  <c r="CD16" i="3" l="1"/>
  <c r="BN41" i="3"/>
  <c r="BN51" i="3"/>
  <c r="BN54" i="3" s="1"/>
  <c r="BN61" i="3" s="1"/>
  <c r="BO26" i="3"/>
  <c r="BO23" i="3"/>
  <c r="BO36" i="3"/>
  <c r="BO37" i="3" s="1"/>
  <c r="BO25" i="3"/>
  <c r="BQ17" i="3"/>
  <c r="BP22" i="3"/>
  <c r="BM41" i="3"/>
  <c r="BM42" i="3" s="1"/>
  <c r="BM51" i="3"/>
  <c r="CE16" i="3" l="1"/>
  <c r="BR17" i="3"/>
  <c r="BQ22" i="3"/>
  <c r="BM54" i="3"/>
  <c r="BM61" i="3" s="1"/>
  <c r="BM62" i="3" s="1"/>
  <c r="BP23" i="3"/>
  <c r="BP26" i="3"/>
  <c r="BP36" i="3"/>
  <c r="BP25" i="3"/>
  <c r="BO51" i="3"/>
  <c r="BO54" i="3" s="1"/>
  <c r="BO61" i="3" s="1"/>
  <c r="BO41" i="3"/>
  <c r="BO42" i="3" s="1"/>
  <c r="BN42" i="3"/>
  <c r="CF16" i="3" l="1"/>
  <c r="BO62" i="3"/>
  <c r="BN62" i="3"/>
  <c r="BP37" i="3"/>
  <c r="BQ36" i="3"/>
  <c r="BQ37" i="3" s="1"/>
  <c r="BQ25" i="3"/>
  <c r="BQ26" i="3"/>
  <c r="BQ23" i="3"/>
  <c r="BS17" i="3"/>
  <c r="BR22" i="3"/>
  <c r="CG16" i="3" l="1"/>
  <c r="BR36" i="3"/>
  <c r="BR37" i="3" s="1"/>
  <c r="BR23" i="3"/>
  <c r="BR26" i="3"/>
  <c r="BR25" i="3"/>
  <c r="BT17" i="3"/>
  <c r="BS22" i="3"/>
  <c r="BQ41" i="3"/>
  <c r="BQ51" i="3"/>
  <c r="BQ54" i="3" s="1"/>
  <c r="BQ61" i="3" s="1"/>
  <c r="BP41" i="3"/>
  <c r="BP42" i="3" s="1"/>
  <c r="BP51" i="3"/>
  <c r="CH16" i="3" l="1"/>
  <c r="BP54" i="3"/>
  <c r="BP61" i="3" s="1"/>
  <c r="BP62" i="3" s="1"/>
  <c r="BQ42" i="3"/>
  <c r="BS36" i="3"/>
  <c r="BS25" i="3"/>
  <c r="BS26" i="3"/>
  <c r="BS23" i="3"/>
  <c r="BT22" i="3"/>
  <c r="BU17" i="3"/>
  <c r="BR41" i="3"/>
  <c r="BR42" i="3" s="1"/>
  <c r="BR51" i="3"/>
  <c r="BR54" i="3" s="1"/>
  <c r="BR61" i="3" s="1"/>
  <c r="CI16" i="3" l="1"/>
  <c r="BQ62" i="3"/>
  <c r="BR62" i="3"/>
  <c r="BS37" i="3"/>
  <c r="BU22" i="3"/>
  <c r="BV17" i="3"/>
  <c r="BT23" i="3"/>
  <c r="BT26" i="3"/>
  <c r="BT25" i="3"/>
  <c r="BT36" i="3"/>
  <c r="BT37" i="3" s="1"/>
  <c r="CJ16" i="3" l="1"/>
  <c r="BW17" i="3"/>
  <c r="BV22" i="3"/>
  <c r="BU23" i="3"/>
  <c r="BU26" i="3"/>
  <c r="BU36" i="3"/>
  <c r="BU37" i="3" s="1"/>
  <c r="BU25" i="3"/>
  <c r="BS41" i="3"/>
  <c r="BS42" i="3" s="1"/>
  <c r="BS51" i="3"/>
  <c r="BT41" i="3"/>
  <c r="BT51" i="3"/>
  <c r="BT54" i="3" s="1"/>
  <c r="BT61" i="3" s="1"/>
  <c r="CK16" i="3" l="1"/>
  <c r="BT42" i="3"/>
  <c r="BU51" i="3"/>
  <c r="BU54" i="3" s="1"/>
  <c r="BU61" i="3" s="1"/>
  <c r="BU41" i="3"/>
  <c r="BU42" i="3" s="1"/>
  <c r="BV36" i="3"/>
  <c r="BV37" i="3" s="1"/>
  <c r="BV26" i="3"/>
  <c r="BV23" i="3"/>
  <c r="BV25" i="3"/>
  <c r="BX17" i="3"/>
  <c r="BW22" i="3"/>
  <c r="BS54" i="3"/>
  <c r="BS61" i="3" s="1"/>
  <c r="BS62" i="3" s="1"/>
  <c r="CL16" i="3" l="1"/>
  <c r="BT62" i="3"/>
  <c r="BU62" i="3"/>
  <c r="BV51" i="3"/>
  <c r="BV41" i="3"/>
  <c r="BV42" i="3" s="1"/>
  <c r="BX22" i="3"/>
  <c r="BY17" i="3"/>
  <c r="BW25" i="3"/>
  <c r="BW36" i="3"/>
  <c r="BW37" i="3" s="1"/>
  <c r="BW26" i="3"/>
  <c r="BW23" i="3"/>
  <c r="CM16" i="3" l="1"/>
  <c r="BZ17" i="3"/>
  <c r="BY22" i="3"/>
  <c r="BX25" i="3"/>
  <c r="BX36" i="3"/>
  <c r="BX37" i="3" s="1"/>
  <c r="BX23" i="3"/>
  <c r="BX26" i="3"/>
  <c r="BV54" i="3"/>
  <c r="BV61" i="3" s="1"/>
  <c r="BV62" i="3" s="1"/>
  <c r="BW51" i="3"/>
  <c r="BW54" i="3" s="1"/>
  <c r="BW61" i="3" s="1"/>
  <c r="BW41" i="3"/>
  <c r="BW42" i="3" s="1"/>
  <c r="CN16" i="3" l="1"/>
  <c r="BW62" i="3"/>
  <c r="BX51" i="3"/>
  <c r="BX41" i="3"/>
  <c r="BX42" i="3" s="1"/>
  <c r="BY23" i="3"/>
  <c r="BY26" i="3"/>
  <c r="BY25" i="3"/>
  <c r="BY36" i="3"/>
  <c r="CA17" i="3"/>
  <c r="BZ22" i="3"/>
  <c r="CO16" i="3" l="1"/>
  <c r="CB17" i="3"/>
  <c r="CA22" i="3"/>
  <c r="BX54" i="3"/>
  <c r="BX61" i="3" s="1"/>
  <c r="BX62" i="3" s="1"/>
  <c r="I48" i="10"/>
  <c r="I51" i="10" s="1"/>
  <c r="BZ25" i="3"/>
  <c r="BZ23" i="3"/>
  <c r="BZ36" i="3"/>
  <c r="BZ37" i="3" s="1"/>
  <c r="BZ26" i="3"/>
  <c r="BY37" i="3"/>
  <c r="CP16" i="3" l="1"/>
  <c r="CA23" i="3"/>
  <c r="CA25" i="3"/>
  <c r="CA26" i="3"/>
  <c r="CA36" i="3"/>
  <c r="CC17" i="3"/>
  <c r="CB22" i="3"/>
  <c r="BY41" i="3"/>
  <c r="BY42" i="3" s="1"/>
  <c r="BY51" i="3"/>
  <c r="BZ51" i="3"/>
  <c r="BZ54" i="3" s="1"/>
  <c r="BZ61" i="3" s="1"/>
  <c r="BZ41" i="3"/>
  <c r="CQ16" i="3" l="1"/>
  <c r="BZ42" i="3"/>
  <c r="CC22" i="3"/>
  <c r="CD17" i="3"/>
  <c r="CA37" i="3"/>
  <c r="BY54" i="3"/>
  <c r="BY61" i="3" s="1"/>
  <c r="BY62" i="3" s="1"/>
  <c r="CB36" i="3"/>
  <c r="CB37" i="3" s="1"/>
  <c r="CB26" i="3"/>
  <c r="CB23" i="3"/>
  <c r="CB25" i="3"/>
  <c r="CR16" i="3" l="1"/>
  <c r="CA51" i="3"/>
  <c r="CA41" i="3"/>
  <c r="CA42" i="3" s="1"/>
  <c r="CD22" i="3"/>
  <c r="CE17" i="3"/>
  <c r="CC26" i="3"/>
  <c r="CC23" i="3"/>
  <c r="CC25" i="3"/>
  <c r="CC36" i="3"/>
  <c r="CB51" i="3"/>
  <c r="CB54" i="3" s="1"/>
  <c r="CB61" i="3" s="1"/>
  <c r="CB41" i="3"/>
  <c r="BZ62" i="3"/>
  <c r="CS16" i="3" l="1"/>
  <c r="CB42" i="3"/>
  <c r="CE22" i="3"/>
  <c r="CF17" i="3"/>
  <c r="CD36" i="3"/>
  <c r="CD37" i="3" s="1"/>
  <c r="CD25" i="3"/>
  <c r="CD26" i="3"/>
  <c r="CD23" i="3"/>
  <c r="CA54" i="3"/>
  <c r="CA61" i="3" s="1"/>
  <c r="CA62" i="3" s="1"/>
  <c r="CC37" i="3"/>
  <c r="CT16" i="3" l="1"/>
  <c r="CB62" i="3"/>
  <c r="CG17" i="3"/>
  <c r="CF22" i="3"/>
  <c r="CD41" i="3"/>
  <c r="CD51" i="3"/>
  <c r="CD54" i="3" s="1"/>
  <c r="CD61" i="3" s="1"/>
  <c r="CE25" i="3"/>
  <c r="CE36" i="3"/>
  <c r="CE37" i="3" s="1"/>
  <c r="CE26" i="3"/>
  <c r="CE23" i="3"/>
  <c r="CC51" i="3"/>
  <c r="CC41" i="3"/>
  <c r="CC42" i="3" s="1"/>
  <c r="CU16" i="3" l="1"/>
  <c r="CC54" i="3"/>
  <c r="CC61" i="3" s="1"/>
  <c r="CC62" i="3" s="1"/>
  <c r="CE51" i="3"/>
  <c r="CE54" i="3" s="1"/>
  <c r="CE61" i="3" s="1"/>
  <c r="CE41" i="3"/>
  <c r="CE42" i="3" s="1"/>
  <c r="CD42" i="3"/>
  <c r="CF36" i="3"/>
  <c r="CF23" i="3"/>
  <c r="CF25" i="3"/>
  <c r="CF26" i="3"/>
  <c r="CG22" i="3"/>
  <c r="CH17" i="3"/>
  <c r="CE62" i="3" l="1"/>
  <c r="CD62" i="3"/>
  <c r="CV16" i="3"/>
  <c r="CF37" i="3"/>
  <c r="CH22" i="3"/>
  <c r="CI17" i="3"/>
  <c r="CG25" i="3"/>
  <c r="CG23" i="3"/>
  <c r="CG26" i="3"/>
  <c r="CG36" i="3"/>
  <c r="CG37" i="3" s="1"/>
  <c r="CW16" i="3" l="1"/>
  <c r="CH26" i="3"/>
  <c r="CH36" i="3"/>
  <c r="CH37" i="3" s="1"/>
  <c r="CH25" i="3"/>
  <c r="CH23" i="3"/>
  <c r="CI22" i="3"/>
  <c r="CJ17" i="3"/>
  <c r="CF41" i="3"/>
  <c r="CF42" i="3" s="1"/>
  <c r="CF51" i="3"/>
  <c r="CG41" i="3"/>
  <c r="CG51" i="3"/>
  <c r="CG54" i="3" s="1"/>
  <c r="CG61" i="3" s="1"/>
  <c r="CX16" i="3" l="1"/>
  <c r="CG42" i="3"/>
  <c r="CI23" i="3"/>
  <c r="CI25" i="3"/>
  <c r="CI26" i="3"/>
  <c r="CI36" i="3"/>
  <c r="CI37" i="3" s="1"/>
  <c r="CF54" i="3"/>
  <c r="CF61" i="3" s="1"/>
  <c r="CF62" i="3" s="1"/>
  <c r="CH41" i="3"/>
  <c r="CH42" i="3" s="1"/>
  <c r="CH51" i="3"/>
  <c r="CH54" i="3" s="1"/>
  <c r="CH61" i="3" s="1"/>
  <c r="CK17" i="3"/>
  <c r="CJ22" i="3"/>
  <c r="CY16" i="3" l="1"/>
  <c r="CH62" i="3"/>
  <c r="CG62" i="3"/>
  <c r="CI41" i="3"/>
  <c r="CI42" i="3" s="1"/>
  <c r="CI51" i="3"/>
  <c r="CI54" i="3" s="1"/>
  <c r="CI61" i="3" s="1"/>
  <c r="CI62" i="3" s="1"/>
  <c r="CJ36" i="3"/>
  <c r="CJ37" i="3" s="1"/>
  <c r="CJ25" i="3"/>
  <c r="CJ26" i="3"/>
  <c r="CJ23" i="3"/>
  <c r="CL17" i="3"/>
  <c r="CK22" i="3"/>
  <c r="D103" i="1" s="1"/>
  <c r="CZ16" i="3" l="1"/>
  <c r="CJ41" i="3"/>
  <c r="CJ42" i="3" s="1"/>
  <c r="CJ51" i="3"/>
  <c r="CJ54" i="3" s="1"/>
  <c r="CJ61" i="3" s="1"/>
  <c r="CJ62" i="3" s="1"/>
  <c r="CK25" i="3"/>
  <c r="CK23" i="3"/>
  <c r="CK36" i="3"/>
  <c r="CK26" i="3"/>
  <c r="CL22" i="3"/>
  <c r="CM17" i="3"/>
  <c r="DA16" i="3" l="1"/>
  <c r="CN17" i="3"/>
  <c r="CM22" i="3"/>
  <c r="CL36" i="3"/>
  <c r="CL37" i="3" s="1"/>
  <c r="CL26" i="3"/>
  <c r="CL23" i="3"/>
  <c r="CL25" i="3"/>
  <c r="CK37" i="3"/>
  <c r="DB16" i="3" l="1"/>
  <c r="CK41" i="3"/>
  <c r="CK42" i="3" s="1"/>
  <c r="CK51" i="3"/>
  <c r="CL41" i="3"/>
  <c r="CL51" i="3"/>
  <c r="CL54" i="3" s="1"/>
  <c r="CL61" i="3" s="1"/>
  <c r="CM23" i="3"/>
  <c r="CM25" i="3"/>
  <c r="CM26" i="3"/>
  <c r="CM36" i="3"/>
  <c r="CO17" i="3"/>
  <c r="CN22" i="3"/>
  <c r="DC16" i="3" l="1"/>
  <c r="CL42" i="3"/>
  <c r="CN23" i="3"/>
  <c r="CN26" i="3"/>
  <c r="CN36" i="3"/>
  <c r="CN37" i="3" s="1"/>
  <c r="CN25" i="3"/>
  <c r="CP17" i="3"/>
  <c r="CO22" i="3"/>
  <c r="CM37" i="3"/>
  <c r="CK54" i="3"/>
  <c r="CK61" i="3" s="1"/>
  <c r="CK62" i="3" s="1"/>
  <c r="DD16" i="3" l="1"/>
  <c r="CM51" i="3"/>
  <c r="CM41" i="3"/>
  <c r="CM42" i="3" s="1"/>
  <c r="CQ17" i="3"/>
  <c r="CP22" i="3"/>
  <c r="CN41" i="3"/>
  <c r="CN51" i="3"/>
  <c r="CN54" i="3" s="1"/>
  <c r="CN61" i="3" s="1"/>
  <c r="CL62" i="3"/>
  <c r="CO23" i="3"/>
  <c r="CO26" i="3"/>
  <c r="CO25" i="3"/>
  <c r="CO36" i="3"/>
  <c r="CO37" i="3" s="1"/>
  <c r="DE16" i="3" l="1"/>
  <c r="CO51" i="3"/>
  <c r="CO54" i="3" s="1"/>
  <c r="CO61" i="3" s="1"/>
  <c r="CO41" i="3"/>
  <c r="CO42" i="3" s="1"/>
  <c r="CR17" i="3"/>
  <c r="CQ22" i="3"/>
  <c r="CN42" i="3"/>
  <c r="CP26" i="3"/>
  <c r="CP36" i="3"/>
  <c r="CP25" i="3"/>
  <c r="CP23" i="3"/>
  <c r="CM54" i="3"/>
  <c r="CM61" i="3" s="1"/>
  <c r="CM62" i="3" s="1"/>
  <c r="DF16" i="3" l="1"/>
  <c r="CP37" i="3"/>
  <c r="CQ26" i="3"/>
  <c r="CQ23" i="3"/>
  <c r="CQ25" i="3"/>
  <c r="CQ36" i="3"/>
  <c r="CQ37" i="3" s="1"/>
  <c r="CR22" i="3"/>
  <c r="CS17" i="3"/>
  <c r="CN62" i="3"/>
  <c r="CO62" i="3"/>
  <c r="DG16" i="3" l="1"/>
  <c r="CT17" i="3"/>
  <c r="CS22" i="3"/>
  <c r="CR23" i="3"/>
  <c r="CR36" i="3"/>
  <c r="CR37" i="3" s="1"/>
  <c r="CR25" i="3"/>
  <c r="CR26" i="3"/>
  <c r="CQ51" i="3"/>
  <c r="CQ54" i="3" s="1"/>
  <c r="CQ61" i="3" s="1"/>
  <c r="CQ41" i="3"/>
  <c r="CP41" i="3"/>
  <c r="CP42" i="3" s="1"/>
  <c r="CP51" i="3"/>
  <c r="DH16" i="3" l="1"/>
  <c r="CR41" i="3"/>
  <c r="CR42" i="3" s="1"/>
  <c r="CR51" i="3"/>
  <c r="CR54" i="3" s="1"/>
  <c r="CR61" i="3" s="1"/>
  <c r="CS26" i="3"/>
  <c r="CS25" i="3"/>
  <c r="CS36" i="3"/>
  <c r="CS37" i="3" s="1"/>
  <c r="CS23" i="3"/>
  <c r="CU17" i="3"/>
  <c r="CT22" i="3"/>
  <c r="CP54" i="3"/>
  <c r="CP61" i="3" s="1"/>
  <c r="CP62" i="3" s="1"/>
  <c r="CQ42" i="3"/>
  <c r="DI16" i="3" l="1"/>
  <c r="CQ62" i="3"/>
  <c r="CR62" i="3"/>
  <c r="CS41" i="3"/>
  <c r="CS42" i="3" s="1"/>
  <c r="CS51" i="3"/>
  <c r="CS54" i="3" s="1"/>
  <c r="CS61" i="3" s="1"/>
  <c r="CS62" i="3" s="1"/>
  <c r="CT23" i="3"/>
  <c r="CT36" i="3"/>
  <c r="CT37" i="3" s="1"/>
  <c r="CT25" i="3"/>
  <c r="CT26" i="3"/>
  <c r="CU22" i="3"/>
  <c r="CV17" i="3"/>
  <c r="DJ16" i="3" l="1"/>
  <c r="CT51" i="3"/>
  <c r="CT41" i="3"/>
  <c r="CT42" i="3" s="1"/>
  <c r="CV22" i="3"/>
  <c r="CW17" i="3"/>
  <c r="CU36" i="3"/>
  <c r="CU37" i="3" s="1"/>
  <c r="CU25" i="3"/>
  <c r="CU26" i="3"/>
  <c r="CU23" i="3"/>
  <c r="DK16" i="3" l="1"/>
  <c r="CU51" i="3"/>
  <c r="CU54" i="3" s="1"/>
  <c r="CU61" i="3" s="1"/>
  <c r="CU41" i="3"/>
  <c r="CU42" i="3" s="1"/>
  <c r="CW22" i="3"/>
  <c r="CX17" i="3"/>
  <c r="CV26" i="3"/>
  <c r="CV36" i="3"/>
  <c r="CV37" i="3" s="1"/>
  <c r="CV25" i="3"/>
  <c r="CV23" i="3"/>
  <c r="CT54" i="3"/>
  <c r="CT61" i="3" s="1"/>
  <c r="CT62" i="3" s="1"/>
  <c r="DL16" i="3" l="1"/>
  <c r="CV51" i="3"/>
  <c r="CV54" i="3" s="1"/>
  <c r="CV61" i="3" s="1"/>
  <c r="CV62" i="3" s="1"/>
  <c r="CV41" i="3"/>
  <c r="CV42" i="3" s="1"/>
  <c r="CX22" i="3"/>
  <c r="CY17" i="3"/>
  <c r="CW26" i="3"/>
  <c r="CW25" i="3"/>
  <c r="CW23" i="3"/>
  <c r="CW36" i="3"/>
  <c r="CU62" i="3"/>
  <c r="DM16" i="3" l="1"/>
  <c r="CX25" i="3"/>
  <c r="CX23" i="3"/>
  <c r="CX36" i="3"/>
  <c r="CX37" i="3" s="1"/>
  <c r="CX26" i="3"/>
  <c r="CW37" i="3"/>
  <c r="CY22" i="3"/>
  <c r="CZ17" i="3"/>
  <c r="DN16" i="3" l="1"/>
  <c r="CX41" i="3"/>
  <c r="CX51" i="3"/>
  <c r="CX54" i="3" s="1"/>
  <c r="CX61" i="3" s="1"/>
  <c r="CZ22" i="3"/>
  <c r="DA17" i="3"/>
  <c r="CY36" i="3"/>
  <c r="CY25" i="3"/>
  <c r="CY26" i="3"/>
  <c r="CY23" i="3"/>
  <c r="CW41" i="3"/>
  <c r="CW42" i="3" s="1"/>
  <c r="CW51" i="3"/>
  <c r="DO16" i="3" l="1"/>
  <c r="CX42" i="3"/>
  <c r="DA22" i="3"/>
  <c r="DB17" i="3"/>
  <c r="CZ26" i="3"/>
  <c r="CZ25" i="3"/>
  <c r="CZ36" i="3"/>
  <c r="CZ37" i="3" s="1"/>
  <c r="CZ23" i="3"/>
  <c r="CW54" i="3"/>
  <c r="CW61" i="3" s="1"/>
  <c r="CW62" i="3" s="1"/>
  <c r="CY37" i="3"/>
  <c r="DP16" i="3" l="1"/>
  <c r="CX62" i="3"/>
  <c r="CY51" i="3"/>
  <c r="CY41" i="3"/>
  <c r="CY42" i="3" s="1"/>
  <c r="CZ51" i="3"/>
  <c r="CZ54" i="3" s="1"/>
  <c r="CZ61" i="3" s="1"/>
  <c r="CZ41" i="3"/>
  <c r="DB22" i="3"/>
  <c r="DC17" i="3"/>
  <c r="DA25" i="3"/>
  <c r="DA36" i="3"/>
  <c r="DA37" i="3" s="1"/>
  <c r="DA23" i="3"/>
  <c r="DA26" i="3"/>
  <c r="DQ16" i="3" l="1"/>
  <c r="CZ42" i="3"/>
  <c r="DA41" i="3"/>
  <c r="DA42" i="3" s="1"/>
  <c r="DA51" i="3"/>
  <c r="DA54" i="3" s="1"/>
  <c r="DA61" i="3" s="1"/>
  <c r="DC22" i="3"/>
  <c r="DD17" i="3"/>
  <c r="DB23" i="3"/>
  <c r="DB26" i="3"/>
  <c r="DB25" i="3"/>
  <c r="DB36" i="3"/>
  <c r="DB37" i="3" s="1"/>
  <c r="CY54" i="3"/>
  <c r="CY61" i="3" s="1"/>
  <c r="CY62" i="3" s="1"/>
  <c r="DR16" i="3" l="1"/>
  <c r="DE17" i="3"/>
  <c r="DD22" i="3"/>
  <c r="DA62" i="3"/>
  <c r="DB41" i="3"/>
  <c r="DB42" i="3" s="1"/>
  <c r="DB51" i="3"/>
  <c r="DC36" i="3"/>
  <c r="DC26" i="3"/>
  <c r="DC25" i="3"/>
  <c r="DC23" i="3"/>
  <c r="CZ62" i="3"/>
  <c r="DT16" i="3" l="1"/>
  <c r="DS16" i="3"/>
  <c r="DC37" i="3"/>
  <c r="DB54" i="3"/>
  <c r="DB61" i="3" s="1"/>
  <c r="DB62" i="3" s="1"/>
  <c r="DD25" i="3"/>
  <c r="DD23" i="3"/>
  <c r="DD36" i="3"/>
  <c r="DD37" i="3" s="1"/>
  <c r="DD26" i="3"/>
  <c r="DE22" i="3"/>
  <c r="DF17" i="3"/>
  <c r="D11" i="10" l="1"/>
  <c r="E11" i="10"/>
  <c r="F11" i="10"/>
  <c r="G11" i="10"/>
  <c r="H11" i="10"/>
  <c r="I11" i="10"/>
  <c r="J11" i="10"/>
  <c r="K11" i="10"/>
  <c r="L11" i="10"/>
  <c r="M11" i="10"/>
  <c r="DF22" i="3"/>
  <c r="DG17" i="3"/>
  <c r="DE23" i="3"/>
  <c r="DE26" i="3"/>
  <c r="DE25" i="3"/>
  <c r="DE36" i="3"/>
  <c r="DE37" i="3" s="1"/>
  <c r="DD41" i="3"/>
  <c r="DD51" i="3"/>
  <c r="DD54" i="3" s="1"/>
  <c r="DD61" i="3" s="1"/>
  <c r="DC51" i="3"/>
  <c r="DC41" i="3"/>
  <c r="DC42" i="3" s="1"/>
  <c r="DC54" i="3" l="1"/>
  <c r="DC61" i="3" s="1"/>
  <c r="DC62" i="3" s="1"/>
  <c r="DE41" i="3"/>
  <c r="DE42" i="3" s="1"/>
  <c r="DE51" i="3"/>
  <c r="DE54" i="3" s="1"/>
  <c r="DE61" i="3" s="1"/>
  <c r="DD42" i="3"/>
  <c r="DG22" i="3"/>
  <c r="DH17" i="3"/>
  <c r="DF26" i="3"/>
  <c r="DF23" i="3"/>
  <c r="DF25" i="3"/>
  <c r="DF36" i="3"/>
  <c r="DF37" i="3" s="1"/>
  <c r="DE62" i="3" l="1"/>
  <c r="DD62" i="3"/>
  <c r="DH22" i="3"/>
  <c r="DI17" i="3"/>
  <c r="DF51" i="3"/>
  <c r="DF41" i="3"/>
  <c r="DF42" i="3" s="1"/>
  <c r="DG23" i="3"/>
  <c r="DG36" i="3"/>
  <c r="DG37" i="3" s="1"/>
  <c r="DG25" i="3"/>
  <c r="DG26" i="3"/>
  <c r="DG41" i="3" l="1"/>
  <c r="DG42" i="3" s="1"/>
  <c r="DG51" i="3"/>
  <c r="DG54" i="3" s="1"/>
  <c r="DG61" i="3" s="1"/>
  <c r="DI22" i="3"/>
  <c r="DJ17" i="3"/>
  <c r="DF54" i="3"/>
  <c r="DF61" i="3" s="1"/>
  <c r="DF62" i="3" s="1"/>
  <c r="DH25" i="3"/>
  <c r="DH23" i="3"/>
  <c r="DH36" i="3"/>
  <c r="DH37" i="3" s="1"/>
  <c r="DH26" i="3"/>
  <c r="DH41" i="3" l="1"/>
  <c r="DH42" i="3" s="1"/>
  <c r="DH51" i="3"/>
  <c r="DH54" i="3" s="1"/>
  <c r="DH61" i="3" s="1"/>
  <c r="DH62" i="3" s="1"/>
  <c r="DG62" i="3"/>
  <c r="DJ22" i="3"/>
  <c r="DK17" i="3"/>
  <c r="DI23" i="3"/>
  <c r="DI25" i="3"/>
  <c r="DI26" i="3"/>
  <c r="DI36" i="3"/>
  <c r="DJ36" i="3" l="1"/>
  <c r="DJ37" i="3" s="1"/>
  <c r="DJ25" i="3"/>
  <c r="DJ26" i="3"/>
  <c r="DJ23" i="3"/>
  <c r="DI37" i="3"/>
  <c r="DL17" i="3"/>
  <c r="DK22" i="3"/>
  <c r="DK36" i="3" l="1"/>
  <c r="DK26" i="3"/>
  <c r="DK25" i="3"/>
  <c r="DK23" i="3"/>
  <c r="DL22" i="3"/>
  <c r="DM17" i="3"/>
  <c r="DI41" i="3"/>
  <c r="DI42" i="3" s="1"/>
  <c r="DI51" i="3"/>
  <c r="DJ41" i="3"/>
  <c r="DJ51" i="3"/>
  <c r="DJ54" i="3" s="1"/>
  <c r="DJ61" i="3" s="1"/>
  <c r="DJ42" i="3" l="1"/>
  <c r="DI54" i="3"/>
  <c r="DI61" i="3" s="1"/>
  <c r="DI62" i="3" s="1"/>
  <c r="DN17" i="3"/>
  <c r="DM22" i="3"/>
  <c r="DL23" i="3"/>
  <c r="DL36" i="3"/>
  <c r="DL37" i="3" s="1"/>
  <c r="DL25" i="3"/>
  <c r="DL26" i="3"/>
  <c r="DK37" i="3"/>
  <c r="DK51" i="3" l="1"/>
  <c r="DK41" i="3"/>
  <c r="DK42" i="3" s="1"/>
  <c r="DL41" i="3"/>
  <c r="DL42" i="3" s="1"/>
  <c r="DL51" i="3"/>
  <c r="DL54" i="3" s="1"/>
  <c r="DL61" i="3" s="1"/>
  <c r="DN22" i="3"/>
  <c r="DO17" i="3"/>
  <c r="DM26" i="3"/>
  <c r="DM25" i="3"/>
  <c r="DM36" i="3"/>
  <c r="DM23" i="3"/>
  <c r="DJ62" i="3"/>
  <c r="DM37" i="3" l="1"/>
  <c r="DP17" i="3"/>
  <c r="DO22" i="3"/>
  <c r="DN26" i="3"/>
  <c r="DN23" i="3"/>
  <c r="DN25" i="3"/>
  <c r="DN36" i="3"/>
  <c r="DN37" i="3" s="1"/>
  <c r="DK54" i="3"/>
  <c r="DK61" i="3" s="1"/>
  <c r="DK62" i="3" s="1"/>
  <c r="DL62" i="3" l="1"/>
  <c r="DN41" i="3"/>
  <c r="DN51" i="3"/>
  <c r="DN54" i="3" s="1"/>
  <c r="DN61" i="3" s="1"/>
  <c r="DO36" i="3"/>
  <c r="DO37" i="3" s="1"/>
  <c r="DO25" i="3"/>
  <c r="DO23" i="3"/>
  <c r="DO26" i="3"/>
  <c r="DQ17" i="3"/>
  <c r="DP22" i="3"/>
  <c r="DM41" i="3"/>
  <c r="DM42" i="3" s="1"/>
  <c r="DM51" i="3"/>
  <c r="DM54" i="3" l="1"/>
  <c r="DM61" i="3" s="1"/>
  <c r="DM62" i="3" s="1"/>
  <c r="DP36" i="3"/>
  <c r="DP25" i="3"/>
  <c r="DP26" i="3"/>
  <c r="DP23" i="3"/>
  <c r="DO51" i="3"/>
  <c r="DO54" i="3" s="1"/>
  <c r="DO61" i="3" s="1"/>
  <c r="DO41" i="3"/>
  <c r="DO42" i="3" s="1"/>
  <c r="DN42" i="3"/>
  <c r="DQ22" i="3"/>
  <c r="DR17" i="3"/>
  <c r="DN62" i="3" l="1"/>
  <c r="DO62" i="3"/>
  <c r="DP37" i="3"/>
  <c r="DS17" i="3"/>
  <c r="DR22" i="3"/>
  <c r="DQ36" i="3"/>
  <c r="DQ37" i="3" s="1"/>
  <c r="DQ23" i="3"/>
  <c r="DQ26" i="3"/>
  <c r="DQ25" i="3"/>
  <c r="DR26" i="3" l="1"/>
  <c r="DR25" i="3"/>
  <c r="DR23" i="3"/>
  <c r="DR36" i="3"/>
  <c r="DR37" i="3" s="1"/>
  <c r="DQ51" i="3"/>
  <c r="DQ54" i="3" s="1"/>
  <c r="DQ61" i="3" s="1"/>
  <c r="DQ41" i="3"/>
  <c r="DS22" i="3"/>
  <c r="DT17" i="3"/>
  <c r="DP51" i="3"/>
  <c r="DP41" i="3"/>
  <c r="DP42" i="3" s="1"/>
  <c r="DT22" i="3" l="1"/>
  <c r="D104" i="1" s="1"/>
  <c r="D12" i="10"/>
  <c r="D17" i="10" s="1"/>
  <c r="E12" i="10"/>
  <c r="E17" i="10" s="1"/>
  <c r="F12" i="10"/>
  <c r="F17" i="10" s="1"/>
  <c r="G12" i="10"/>
  <c r="G17" i="10" s="1"/>
  <c r="H12" i="10"/>
  <c r="H17" i="10" s="1"/>
  <c r="I12" i="10"/>
  <c r="I17" i="10" s="1"/>
  <c r="J12" i="10"/>
  <c r="J17" i="10" s="1"/>
  <c r="K12" i="10"/>
  <c r="K17" i="10" s="1"/>
  <c r="L12" i="10"/>
  <c r="L17" i="10" s="1"/>
  <c r="M12" i="10"/>
  <c r="M17" i="10" s="1"/>
  <c r="DS26" i="3"/>
  <c r="DS36" i="3"/>
  <c r="DS37" i="3" s="1"/>
  <c r="DS25" i="3"/>
  <c r="DS23" i="3"/>
  <c r="DQ42" i="3"/>
  <c r="DP54" i="3"/>
  <c r="DP61" i="3" s="1"/>
  <c r="DP62" i="3" s="1"/>
  <c r="DR51" i="3"/>
  <c r="DR54" i="3" s="1"/>
  <c r="DR61" i="3" s="1"/>
  <c r="DR41" i="3"/>
  <c r="DR42" i="3" s="1"/>
  <c r="DR62" i="3" l="1"/>
  <c r="K16" i="15"/>
  <c r="D113" i="1"/>
  <c r="DQ62" i="3"/>
  <c r="M19" i="10"/>
  <c r="M20" i="10"/>
  <c r="M22" i="10"/>
  <c r="M18" i="10"/>
  <c r="M23" i="10"/>
  <c r="K23" i="10"/>
  <c r="K22" i="10"/>
  <c r="K18" i="10"/>
  <c r="K19" i="10"/>
  <c r="K20" i="10"/>
  <c r="I23" i="10"/>
  <c r="I18" i="10"/>
  <c r="I22" i="10"/>
  <c r="I20" i="10"/>
  <c r="I19" i="10"/>
  <c r="DS41" i="3"/>
  <c r="DS42" i="3" s="1"/>
  <c r="DS51" i="3"/>
  <c r="J18" i="10"/>
  <c r="J19" i="10"/>
  <c r="J23" i="10"/>
  <c r="J22" i="10"/>
  <c r="J20" i="10"/>
  <c r="H20" i="10"/>
  <c r="H23" i="10"/>
  <c r="H19" i="10"/>
  <c r="H18" i="10"/>
  <c r="H22" i="10"/>
  <c r="G19" i="10"/>
  <c r="G18" i="10"/>
  <c r="G23" i="10"/>
  <c r="G20" i="10"/>
  <c r="G22" i="10"/>
  <c r="L20" i="10"/>
  <c r="L23" i="10"/>
  <c r="L19" i="10"/>
  <c r="L22" i="10"/>
  <c r="L18" i="10"/>
  <c r="F20" i="10"/>
  <c r="F19" i="10"/>
  <c r="F23" i="10"/>
  <c r="F22" i="10"/>
  <c r="F18" i="10"/>
  <c r="E22" i="10"/>
  <c r="E18" i="10"/>
  <c r="E20" i="10"/>
  <c r="H18" i="15" s="1"/>
  <c r="E19" i="10"/>
  <c r="E23" i="10"/>
  <c r="D20" i="10"/>
  <c r="D23" i="10"/>
  <c r="D22" i="10"/>
  <c r="D18" i="10"/>
  <c r="DT36" i="3"/>
  <c r="DT23" i="3"/>
  <c r="DT25" i="3"/>
  <c r="DT26" i="3"/>
  <c r="DS54" i="3" l="1"/>
  <c r="DS61" i="3" s="1"/>
  <c r="DS62" i="3" s="1"/>
  <c r="DT37" i="3"/>
  <c r="D33" i="10"/>
  <c r="D34" i="10" s="1"/>
  <c r="D38" i="10" s="1"/>
  <c r="E33" i="10"/>
  <c r="E34" i="10" s="1"/>
  <c r="E38" i="10" s="1"/>
  <c r="F33" i="10"/>
  <c r="F34" i="10" s="1"/>
  <c r="F38" i="10" s="1"/>
  <c r="G33" i="10"/>
  <c r="G34" i="10" s="1"/>
  <c r="G38" i="10" s="1"/>
  <c r="H33" i="10"/>
  <c r="H34" i="10" s="1"/>
  <c r="H38" i="10" s="1"/>
  <c r="I33" i="10"/>
  <c r="I34" i="10" s="1"/>
  <c r="I38" i="10" s="1"/>
  <c r="J33" i="10"/>
  <c r="J34" i="10" s="1"/>
  <c r="J38" i="10" s="1"/>
  <c r="K33" i="10"/>
  <c r="K34" i="10" s="1"/>
  <c r="K38" i="10" s="1"/>
  <c r="L33" i="10"/>
  <c r="L34" i="10" s="1"/>
  <c r="L38" i="10" s="1"/>
  <c r="M33" i="10"/>
  <c r="M34" i="10" s="1"/>
  <c r="M38" i="10" s="1"/>
  <c r="F39" i="10" l="1"/>
  <c r="E39" i="10"/>
  <c r="I39" i="10"/>
  <c r="L39" i="10"/>
  <c r="G39" i="10"/>
  <c r="J39" i="10"/>
  <c r="M39" i="10"/>
  <c r="D39" i="10"/>
  <c r="K39" i="10"/>
  <c r="H39" i="10"/>
  <c r="DT51" i="3"/>
  <c r="DT41" i="3"/>
  <c r="C45" i="3" l="1"/>
  <c r="C47" i="3"/>
  <c r="C46" i="3"/>
  <c r="DT42" i="3"/>
  <c r="C48" i="3" s="1"/>
  <c r="DT54" i="3"/>
  <c r="DT61" i="3" s="1"/>
  <c r="E48" i="10"/>
  <c r="E51" i="10" s="1"/>
  <c r="G48" i="10"/>
  <c r="G51" i="10" s="1"/>
  <c r="J48" i="10"/>
  <c r="J51" i="10" s="1"/>
  <c r="K48" i="10"/>
  <c r="K51" i="10" s="1"/>
  <c r="L48" i="10"/>
  <c r="L51" i="10" s="1"/>
  <c r="M48" i="10"/>
  <c r="M51" i="10" s="1"/>
  <c r="C67" i="3" l="1"/>
  <c r="C66" i="3"/>
  <c r="C65" i="3"/>
  <c r="DT62" i="3"/>
  <c r="C68" i="3" s="1"/>
  <c r="O9" i="1"/>
  <c r="C45" i="10"/>
  <c r="C43" i="10"/>
  <c r="O7" i="1"/>
  <c r="H24" i="15" s="1"/>
  <c r="C44" i="10"/>
  <c r="O8" i="1"/>
  <c r="H23" i="15" s="1"/>
  <c r="O6" i="1"/>
  <c r="H22" i="15" s="1"/>
  <c r="C42" i="10"/>
  <c r="C65" i="10" l="1"/>
  <c r="P9" i="1"/>
  <c r="C62" i="10"/>
  <c r="P6" i="1"/>
  <c r="P7" i="1"/>
  <c r="K24" i="15" s="1"/>
  <c r="C63" i="10"/>
  <c r="C64" i="10"/>
  <c r="P8" i="1"/>
  <c r="K23" i="15" s="1"/>
  <c r="K22" i="1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Drew Peterson</author>
    <author>Peterson, Drew</author>
  </authors>
  <commentList>
    <comment ref="P6" authorId="0" shapeId="0" xr:uid="{83ACD3DD-1C9D-4BBD-ADC7-EB56ACD788F8}">
      <text>
        <r>
          <rPr>
            <b/>
            <sz val="9"/>
            <color indexed="81"/>
            <rFont val="Tahoma"/>
            <family val="2"/>
          </rPr>
          <t>Drew Peterson:</t>
        </r>
        <r>
          <rPr>
            <sz val="9"/>
            <color indexed="81"/>
            <rFont val="Tahoma"/>
            <family val="2"/>
          </rPr>
          <t xml:space="preserve">
Perplexity AI: Target 10% to 13% or above</t>
        </r>
      </text>
    </comment>
    <comment ref="P7" authorId="0" shapeId="0" xr:uid="{F8EA41BF-44A3-4DD6-8ED6-B63F7AE963EB}">
      <text>
        <r>
          <rPr>
            <b/>
            <sz val="9"/>
            <color indexed="81"/>
            <rFont val="Tahoma"/>
            <family val="2"/>
          </rPr>
          <t>Drew Peterson:</t>
        </r>
        <r>
          <rPr>
            <sz val="9"/>
            <color indexed="81"/>
            <rFont val="Tahoma"/>
            <family val="2"/>
          </rPr>
          <t xml:space="preserve">
Perplexity AI: Target 1.7x to 2.1x or above</t>
        </r>
      </text>
    </comment>
    <comment ref="G13" authorId="0" shapeId="0" xr:uid="{FEBA18A7-F9FE-4C99-8E33-BB158C6FB498}">
      <text>
        <r>
          <rPr>
            <b/>
            <sz val="9"/>
            <color indexed="81"/>
            <rFont val="Tahoma"/>
            <family val="2"/>
          </rPr>
          <t>Drew Peterson:</t>
        </r>
        <r>
          <rPr>
            <sz val="9"/>
            <color indexed="81"/>
            <rFont val="Tahoma"/>
            <family val="2"/>
          </rPr>
          <t xml:space="preserve">
Taxes = (Assessed Value x Assessment Ratio x (Millage Rate / 1000)) / 12</t>
        </r>
      </text>
    </comment>
    <comment ref="G14" authorId="0" shapeId="0" xr:uid="{69E52131-0D32-44CB-B30B-647F98A5E859}">
      <text>
        <r>
          <rPr>
            <b/>
            <sz val="9"/>
            <color indexed="81"/>
            <rFont val="Tahoma"/>
            <family val="2"/>
          </rPr>
          <t>Drew Peterson:</t>
        </r>
        <r>
          <rPr>
            <sz val="9"/>
            <color indexed="81"/>
            <rFont val="Tahoma"/>
            <family val="2"/>
          </rPr>
          <t xml:space="preserve">
Annual insurance premiums are not affected by property value
= ((SF * Rebuild Cost per SF) / 100) * Premium per $100 of Coverage * Adjustment for Age and/or Multi-Units * Adjustment for Known Issues</t>
        </r>
      </text>
    </comment>
    <comment ref="P19" authorId="1" shapeId="0" xr:uid="{547379F7-A04F-4E55-B56B-5254D8966C20}">
      <text>
        <r>
          <rPr>
            <b/>
            <sz val="9"/>
            <color indexed="81"/>
            <rFont val="Tahoma"/>
            <family val="2"/>
          </rPr>
          <t>Peterson, Drew:</t>
        </r>
        <r>
          <rPr>
            <sz val="9"/>
            <color indexed="81"/>
            <rFont val="Tahoma"/>
            <family val="2"/>
          </rPr>
          <t xml:space="preserve">
Note that cash to close is almost certainly higher than this estimate - lenders require Prepaids and Initial Escrows for line items such as Insurance, Taxes and accrued Interest, but we do not include this here as you would then need to adjust the monthly expenses for only the period covered by these Prepaids + Excrows (and it wouldn't affect Deal Level Return outputs as it's just shifting the timing of cash flows already modeled)</t>
        </r>
      </text>
    </comment>
    <comment ref="D23" authorId="0" shapeId="0" xr:uid="{C7DEF7B3-BC06-49FB-9CF5-038F3A85B030}">
      <text>
        <r>
          <rPr>
            <b/>
            <sz val="9"/>
            <color indexed="81"/>
            <rFont val="Tahoma"/>
            <family val="2"/>
          </rPr>
          <t>Drew Peterson:</t>
        </r>
        <r>
          <rPr>
            <sz val="9"/>
            <color indexed="81"/>
            <rFont val="Tahoma"/>
            <family val="2"/>
          </rPr>
          <t xml:space="preserve">
DASH Quote (3/25/26): $700 for Inspection (SF), $800 for Survey, $394 for RE Brokerage Fee, $50 for Recording Fee, Title Insurance 0.25% of PP, $995 for Attorney Fee (which includes Title Search?)
Note that inspection cost scales with number of units!
PRMG quote (4/23/2026): Title Insurance (Lender's), Attorney, Search, etc. comes out to $2,785 on a $675k deal, which is in line with $995 + 0.25% of PP quoted by DASH</t>
        </r>
      </text>
    </comment>
    <comment ref="K25" authorId="0" shapeId="0" xr:uid="{CD45D44C-F5F2-458E-BBE6-DBCD1C0F0A74}">
      <text>
        <r>
          <rPr>
            <b/>
            <sz val="9"/>
            <color indexed="81"/>
            <rFont val="Tahoma"/>
            <family val="2"/>
          </rPr>
          <t>Drew Peterson:</t>
        </r>
        <r>
          <rPr>
            <sz val="9"/>
            <color indexed="81"/>
            <rFont val="Tahoma"/>
            <family val="2"/>
          </rPr>
          <t xml:space="preserve">
PRMG calculates DSCR without subtracting Vacancy, Property Management or Maintenance from NOI
This DSCR is then used to determine final rate pricing - new tiers “unlocked” at 1.25x and 1.5x</t>
        </r>
      </text>
    </comment>
    <comment ref="D26" authorId="0" shapeId="0" xr:uid="{08977B5B-547D-4FD6-8DA8-82B7E8248C28}">
      <text>
        <r>
          <rPr>
            <b/>
            <sz val="9"/>
            <color indexed="81"/>
            <rFont val="Tahoma"/>
            <family val="2"/>
          </rPr>
          <t>Drew Peterson:</t>
        </r>
        <r>
          <rPr>
            <sz val="9"/>
            <color indexed="81"/>
            <rFont val="Tahoma"/>
            <family val="2"/>
          </rPr>
          <t xml:space="preserve">
Does not typically count towards lender's concessions limit since this is just money spent directly by seller to get the property into an acceptable condition for sale</t>
        </r>
      </text>
    </comment>
    <comment ref="D29" authorId="0" shapeId="0" xr:uid="{F75EE4B0-B5B0-421E-A114-039E4FDD24BB}">
      <text>
        <r>
          <rPr>
            <b/>
            <sz val="9"/>
            <color indexed="81"/>
            <rFont val="Tahoma"/>
            <family val="2"/>
          </rPr>
          <t>Drew Peterson:</t>
        </r>
        <r>
          <rPr>
            <sz val="9"/>
            <color indexed="81"/>
            <rFont val="Tahoma"/>
            <family val="2"/>
          </rPr>
          <t xml:space="preserve">
PRMG quote (3/13/26): 6% maximum, which includes concessions towards closing costs, prepaids, loan fees and rate buydowns. Seller repairs made pre-closing and agent commissions do not count towards this limit.
</t>
        </r>
      </text>
    </comment>
    <comment ref="D34" authorId="0" shapeId="0" xr:uid="{47260DA0-6D43-4825-9429-5A7953B93CCC}">
      <text>
        <r>
          <rPr>
            <b/>
            <sz val="9"/>
            <color indexed="81"/>
            <rFont val="Tahoma"/>
            <family val="2"/>
          </rPr>
          <t xml:space="preserve">Drew Peterson:
</t>
        </r>
        <r>
          <rPr>
            <sz val="9"/>
            <color indexed="81"/>
            <rFont val="Tahoma"/>
            <family val="2"/>
          </rPr>
          <t>Maximum LTPP for DSCR loans is typically 80%. Lenders may require a lower % if the DSCR doesn't meet certain thresholds. Buyers may also elect to put more money down to improve monthly cash flow
PRMG requires at least 25% down if no one in the group is a previous homeowner!</t>
        </r>
      </text>
    </comment>
    <comment ref="D35" authorId="0" shapeId="0" xr:uid="{30E8EC8B-E0D9-4F33-B071-61B9FDF28003}">
      <text>
        <r>
          <rPr>
            <b/>
            <sz val="9"/>
            <color indexed="81"/>
            <rFont val="Tahoma"/>
            <family val="2"/>
          </rPr>
          <t>Drew Peterson:</t>
        </r>
        <r>
          <rPr>
            <sz val="9"/>
            <color indexed="81"/>
            <rFont val="Tahoma"/>
            <family val="2"/>
          </rPr>
          <t xml:space="preserve">
PRMG quote (4/5/2026): 40-year fixed option would be at a rate roughly 0.25% higher than the standard 30-year
PRMG quote (11/18/25): 7.125% base rate (at 1.1 DSCR)
PRMG quote (3/5/25):
8.375% base rate</t>
        </r>
      </text>
    </comment>
    <comment ref="D37" authorId="0" shapeId="0" xr:uid="{F4987988-EDEB-40F3-98F7-9109F1FC6124}">
      <text>
        <r>
          <rPr>
            <b/>
            <sz val="9"/>
            <color indexed="81"/>
            <rFont val="Tahoma"/>
            <family val="2"/>
          </rPr>
          <t>Drew Peterson:</t>
        </r>
        <r>
          <rPr>
            <sz val="9"/>
            <color indexed="81"/>
            <rFont val="Tahoma"/>
            <family val="2"/>
          </rPr>
          <t xml:space="preserve">
PRMG quote (4/22/2026, property-specific on a loan amount of $506,250 and assumes a 1.0x DSCR before any buy downs): discount points (each worth 0.125%) that bring the rate from a starting point of 7.25% down to 6.00% progress in cost from 0.228% of the loan amount for the first one to 0.586% for the last. 8 discount points (which seems to be optimal) carries a cost per point of 0.384%
</t>
        </r>
      </text>
    </comment>
    <comment ref="D39" authorId="0" shapeId="0" xr:uid="{41F794B8-76E9-4E20-8886-4509CFD9BAEE}">
      <text>
        <r>
          <rPr>
            <b/>
            <sz val="9"/>
            <color indexed="81"/>
            <rFont val="Tahoma"/>
            <family val="2"/>
          </rPr>
          <t>Drew Peterson:</t>
        </r>
        <r>
          <rPr>
            <sz val="9"/>
            <color indexed="81"/>
            <rFont val="Tahoma"/>
            <family val="2"/>
          </rPr>
          <t xml:space="preserve">
PRMG (3/13/2026): floor after buydowns is a rate of 6.00%</t>
        </r>
      </text>
    </comment>
    <comment ref="D47" authorId="0" shapeId="0" xr:uid="{C2C3400B-2335-4DF0-943F-9DE98275899E}">
      <text>
        <r>
          <rPr>
            <b/>
            <sz val="9"/>
            <color indexed="81"/>
            <rFont val="Tahoma"/>
            <family val="2"/>
          </rPr>
          <t>Drew Peterson:</t>
        </r>
        <r>
          <rPr>
            <sz val="9"/>
            <color indexed="81"/>
            <rFont val="Tahoma"/>
            <family val="2"/>
          </rPr>
          <t xml:space="preserve">
PRMG quote (4/22/26): minimum on a $506,250 loan is $8,353 </t>
        </r>
      </text>
    </comment>
    <comment ref="D49" authorId="0" shapeId="0" xr:uid="{4F828F74-E8A2-4B34-BADB-76F96A4477B6}">
      <text>
        <r>
          <rPr>
            <b/>
            <sz val="9"/>
            <color indexed="81"/>
            <rFont val="Tahoma"/>
            <family val="2"/>
          </rPr>
          <t>Drew Peterson:</t>
        </r>
        <r>
          <rPr>
            <sz val="9"/>
            <color indexed="81"/>
            <rFont val="Tahoma"/>
            <family val="2"/>
          </rPr>
          <t xml:space="preserve">
PRMG quote (4/23/2026): $800 appraisal fee (closer to $1000 for rushed 5-BD turnaround), $1495 underwriting fee, $695 processing fee, $350 credit report fee per signor, $300 CDA + eClosing fee</t>
        </r>
      </text>
    </comment>
    <comment ref="D53" authorId="0" shapeId="0" xr:uid="{81117B36-0C30-4E35-A0C4-525934BFD729}">
      <text>
        <r>
          <rPr>
            <b/>
            <sz val="9"/>
            <color indexed="81"/>
            <rFont val="Tahoma"/>
            <family val="2"/>
          </rPr>
          <t>Drew Peterson:</t>
        </r>
        <r>
          <rPr>
            <sz val="9"/>
            <color indexed="81"/>
            <rFont val="Tahoma"/>
            <family val="2"/>
          </rPr>
          <t xml:space="preserve">
Ziprent offers a flat $1500 tenant placement service</t>
        </r>
      </text>
    </comment>
    <comment ref="D62" authorId="0" shapeId="0" xr:uid="{F7E17997-DD60-46BE-923A-5EA2F4C4DBBB}">
      <text>
        <r>
          <rPr>
            <b/>
            <sz val="9"/>
            <color indexed="81"/>
            <rFont val="Tahoma"/>
            <family val="2"/>
          </rPr>
          <t>Drew Peterson:</t>
        </r>
        <r>
          <rPr>
            <sz val="9"/>
            <color indexed="81"/>
            <rFont val="Tahoma"/>
            <family val="2"/>
          </rPr>
          <t xml:space="preserve">
Simply use this input to stress test the Stabalized Rent</t>
        </r>
      </text>
    </comment>
    <comment ref="D64" authorId="0" shapeId="0" xr:uid="{5430D57F-AE32-49C6-A263-0D64C0B134C0}">
      <text>
        <r>
          <rPr>
            <b/>
            <sz val="9"/>
            <color indexed="81"/>
            <rFont val="Tahoma"/>
            <family val="2"/>
          </rPr>
          <t>Drew Peterson:</t>
        </r>
        <r>
          <rPr>
            <sz val="9"/>
            <color indexed="81"/>
            <rFont val="Tahoma"/>
            <family val="2"/>
          </rPr>
          <t xml:space="preserve">
Perplexity AI: SFR average in Concord is $1.18/SF, with larger homes (2,200-2,800 SF) averaging closer to $1.08/SF. Gastonia 4BR average is $1.10/SF though this could be 5-15% lower for manufactured homes</t>
        </r>
      </text>
    </comment>
    <comment ref="D65" authorId="0" shapeId="0" xr:uid="{8F362659-E867-4891-B6EC-F070951D3BC5}">
      <text>
        <r>
          <rPr>
            <b/>
            <sz val="9"/>
            <color indexed="81"/>
            <rFont val="Tahoma"/>
            <family val="2"/>
          </rPr>
          <t>Drew Peterson:</t>
        </r>
        <r>
          <rPr>
            <sz val="9"/>
            <color indexed="81"/>
            <rFont val="Tahoma"/>
            <family val="2"/>
          </rPr>
          <t xml:space="preserve">
The RE investing “1% Rule” states that this should be at least 1%, but in the modern environment this is often too strict and many investors are willing to accept 0.6%-0.8% in high-growth areas</t>
        </r>
      </text>
    </comment>
    <comment ref="D68" authorId="0" shapeId="0" xr:uid="{B9B179D3-4EB1-432E-AF30-C25B16E78EEC}">
      <text>
        <r>
          <rPr>
            <b/>
            <sz val="9"/>
            <color indexed="81"/>
            <rFont val="Tahoma"/>
            <family val="2"/>
          </rPr>
          <t>Drew Peterson:</t>
        </r>
        <r>
          <rPr>
            <sz val="9"/>
            <color indexed="81"/>
            <rFont val="Tahoma"/>
            <family val="2"/>
          </rPr>
          <t xml:space="preserve">
100% for all properties in NC</t>
        </r>
      </text>
    </comment>
    <comment ref="D69" authorId="0" shapeId="0" xr:uid="{0675EAB9-C856-4E35-8D4C-644D9564684E}">
      <text>
        <r>
          <rPr>
            <b/>
            <sz val="9"/>
            <color indexed="81"/>
            <rFont val="Tahoma"/>
            <family val="2"/>
          </rPr>
          <t>Drew Peterson:</t>
        </r>
        <r>
          <rPr>
            <sz val="9"/>
            <color indexed="81"/>
            <rFont val="Tahoma"/>
            <family val="2"/>
          </rPr>
          <t xml:space="preserve">
Perplexity AI: Charlotte millage rates  lower than surrounding suburbs at around 7.7 mills.
Concord &amp; Gastonia combined (county + city) millage rates both fall between 10-11 mills. 
Mooresville closer to 12.3 mills.</t>
        </r>
      </text>
    </comment>
    <comment ref="D72" authorId="0" shapeId="0" xr:uid="{4C3E7000-0687-4E66-8120-6F4DED212FDB}">
      <text>
        <r>
          <rPr>
            <b/>
            <sz val="9"/>
            <color indexed="81"/>
            <rFont val="Tahoma"/>
            <family val="2"/>
          </rPr>
          <t>Drew Peterson:</t>
        </r>
        <r>
          <rPr>
            <sz val="9"/>
            <color indexed="81"/>
            <rFont val="Tahoma"/>
            <family val="2"/>
          </rPr>
          <t xml:space="preserve">
Charlotte reassessed properties once every four years unless there has been a major renovation or construction (sales normally don't trigger reassessment), with the next one due for tax year 2027</t>
        </r>
      </text>
    </comment>
    <comment ref="B75" authorId="0" shapeId="0" xr:uid="{49B9D146-F759-43CD-9B53-E0A00F201252}">
      <text>
        <r>
          <rPr>
            <b/>
            <sz val="9"/>
            <color indexed="81"/>
            <rFont val="Tahoma"/>
            <family val="2"/>
          </rPr>
          <t>Drew Peterson:</t>
        </r>
        <r>
          <rPr>
            <sz val="9"/>
            <color indexed="81"/>
            <rFont val="Tahoma"/>
            <family val="2"/>
          </rPr>
          <t xml:space="preserve">
DP-3 (comprehensive coverage) policies operate as "open peril" for dwelling coverage (covers physical property damange from any peril not explicitly excluded - earthquakes, sinkholes, flooding, neglect are all often excluded) while operating as "named peril" policies for appliances/systems (covers damage to applicances only if from a named peril - fire, lightning, wind, hail, snow, falling objects, vandalism are all often included). Coverage on lost rent (due to property being uninhabitable due to a covered peril), theft and flooding are all common add-ons that result in premium hikes </t>
        </r>
      </text>
    </comment>
    <comment ref="D76" authorId="0" shapeId="0" xr:uid="{18743A02-618B-4DFC-8596-C069C9B47843}">
      <text>
        <r>
          <rPr>
            <b/>
            <sz val="9"/>
            <color indexed="81"/>
            <rFont val="Tahoma"/>
            <family val="2"/>
          </rPr>
          <t>Drew Peterson:</t>
        </r>
        <r>
          <rPr>
            <sz val="9"/>
            <color indexed="81"/>
            <rFont val="Tahoma"/>
            <family val="2"/>
          </rPr>
          <t xml:space="preserve">
Baseline construction costs in Charlotte are $150/SF (excluding land/site work), though modern interior finishes can push this up by $15-30</t>
        </r>
      </text>
    </comment>
    <comment ref="D77" authorId="0" shapeId="0" xr:uid="{1E294A8B-8F5E-4FD0-A14D-E77FAE994421}">
      <text>
        <r>
          <rPr>
            <b/>
            <sz val="9"/>
            <color indexed="81"/>
            <rFont val="Tahoma"/>
            <family val="2"/>
          </rPr>
          <t>Drew Peterson:</t>
        </r>
        <r>
          <rPr>
            <sz val="9"/>
            <color indexed="81"/>
            <rFont val="Tahoma"/>
            <family val="2"/>
          </rPr>
          <t xml:space="preserve">
DP-3 base rates per $100 of coverage are higher than standard homeowner insurance rates and average around $0.65 in Charlotte (though there may be further hikes coming in 2026 &amp; 2027)</t>
        </r>
      </text>
    </comment>
    <comment ref="D78" authorId="0" shapeId="0" xr:uid="{84CF2D71-7916-4F6F-97C8-AEA2AFA76381}">
      <text>
        <r>
          <rPr>
            <b/>
            <sz val="9"/>
            <color indexed="81"/>
            <rFont val="Tahoma"/>
            <family val="2"/>
          </rPr>
          <t>Drew Peterson:</t>
        </r>
        <r>
          <rPr>
            <sz val="9"/>
            <color indexed="81"/>
            <rFont val="Tahoma"/>
            <family val="2"/>
          </rPr>
          <t xml:space="preserve">
Multi-family generally costs more to insure than SFR of the same size/age since it has aadditional appliances/systems as well as more tenant liability</t>
        </r>
      </text>
    </comment>
    <comment ref="D79" authorId="0" shapeId="0" xr:uid="{A25285A4-5BE4-4A42-837F-D7EE7BD18CFD}">
      <text>
        <r>
          <rPr>
            <b/>
            <sz val="9"/>
            <color indexed="81"/>
            <rFont val="Tahoma"/>
            <family val="2"/>
          </rPr>
          <t>Drew Peterson:</t>
        </r>
        <r>
          <rPr>
            <sz val="9"/>
            <color indexed="81"/>
            <rFont val="Tahoma"/>
            <family val="2"/>
          </rPr>
          <t xml:space="preserve">
Older homes intuitively cost more to insure</t>
        </r>
      </text>
    </comment>
    <comment ref="D80" authorId="0" shapeId="0" xr:uid="{45BB0C11-FC66-4A93-8EF1-CBA139B9EBD4}">
      <text>
        <r>
          <rPr>
            <b/>
            <sz val="9"/>
            <color indexed="81"/>
            <rFont val="Tahoma"/>
            <family val="2"/>
          </rPr>
          <t>Drew Peterson:</t>
        </r>
        <r>
          <rPr>
            <sz val="9"/>
            <color indexed="81"/>
            <rFont val="Tahoma"/>
            <family val="2"/>
          </rPr>
          <t xml:space="preserve">
Meant to be a manual (positive = additive) adjustment for known issues such as foundation damage, flood risk, etc. OR a manual (negative = reductive) adjustment for lower risk properties</t>
        </r>
      </text>
    </comment>
    <comment ref="D83" authorId="0" shapeId="0" xr:uid="{45C8E2DF-95AF-4227-BDF3-04DCBA74F175}">
      <text>
        <r>
          <rPr>
            <b/>
            <sz val="9"/>
            <color indexed="81"/>
            <rFont val="Tahoma"/>
            <family val="2"/>
          </rPr>
          <t>Drew Peterson:</t>
        </r>
        <r>
          <rPr>
            <sz val="9"/>
            <color indexed="81"/>
            <rFont val="Tahoma"/>
            <family val="2"/>
          </rPr>
          <t xml:space="preserve">
Meant to reflect the standard maintenance per SF for rental properties (the portion that does not scale with the number of units) - should be manually adjusted depending on the age/condition of the property 
Perplexity AI estimates a good baseline to be between $0.50 and $0.80 for Multi-Family</t>
        </r>
      </text>
    </comment>
    <comment ref="D84" authorId="0" shapeId="0" xr:uid="{67903C06-E6FC-4697-AD1F-FD36CC845295}">
      <text>
        <r>
          <rPr>
            <b/>
            <sz val="9"/>
            <color indexed="81"/>
            <rFont val="Tahoma"/>
            <family val="2"/>
          </rPr>
          <t>Drew Peterson:</t>
        </r>
        <r>
          <rPr>
            <sz val="9"/>
            <color indexed="81"/>
            <rFont val="Tahoma"/>
            <family val="2"/>
          </rPr>
          <t xml:space="preserve">
Meant to reflect the additional costs that come with tenant turnover (painting/cleaning) and multiple units (extra sets of appliances/systems)</t>
        </r>
      </text>
    </comment>
    <comment ref="D88" authorId="0" shapeId="0" xr:uid="{6B266BB8-73CF-49C7-B164-77ED27D57A77}">
      <text>
        <r>
          <rPr>
            <b/>
            <sz val="9"/>
            <color indexed="81"/>
            <rFont val="Tahoma"/>
            <family val="2"/>
          </rPr>
          <t>Drew Peterson:</t>
        </r>
        <r>
          <rPr>
            <sz val="9"/>
            <color indexed="81"/>
            <rFont val="Tahoma"/>
            <family val="2"/>
          </rPr>
          <t xml:space="preserve">
Perplexity AI: long term, 4-6% is reasonable for high-quality properties in the established suburbs of the Charlotte metro area. Slightly higher rates should be used if the property is older, in a less stable area, not large enough for families, etc.</t>
        </r>
      </text>
    </comment>
    <comment ref="D89" authorId="0" shapeId="0" xr:uid="{4C3F7C73-6E56-474D-8DFB-D72B66C668F0}">
      <text>
        <r>
          <rPr>
            <b/>
            <sz val="9"/>
            <color indexed="81"/>
            <rFont val="Tahoma"/>
            <family val="2"/>
          </rPr>
          <t>Drew Peterson:</t>
        </r>
        <r>
          <rPr>
            <sz val="9"/>
            <color indexed="81"/>
            <rFont val="Tahoma"/>
            <family val="2"/>
          </rPr>
          <t xml:space="preserve">
Perplexity AI: 8% is at the low end of the typical range in the Charlotte metro area
Ziprent offers flat property management fees at $150 per month in Concord and then $100 for every additional property</t>
        </r>
      </text>
    </comment>
    <comment ref="D95" authorId="0" shapeId="0" xr:uid="{A99DCF5F-5662-4BFB-ACE6-F57CC0277992}">
      <text>
        <r>
          <rPr>
            <b/>
            <sz val="9"/>
            <color indexed="81"/>
            <rFont val="Tahoma"/>
            <family val="2"/>
          </rPr>
          <t>Drew Peterson:</t>
        </r>
        <r>
          <rPr>
            <sz val="9"/>
            <color indexed="81"/>
            <rFont val="Tahoma"/>
            <family val="2"/>
          </rPr>
          <t xml:space="preserve">
Perplexity AI: Charlotte metro rents have slowed/declined recently as ample supply has come online, 2-2.5% is more reasonable than 3%, though ultimately you have power here if tenants are in-place</t>
        </r>
      </text>
    </comment>
    <comment ref="D96" authorId="0" shapeId="0" xr:uid="{2D43458B-08F5-47F7-B0CC-0A9511A98472}">
      <text>
        <r>
          <rPr>
            <b/>
            <sz val="9"/>
            <color indexed="81"/>
            <rFont val="Tahoma"/>
            <family val="2"/>
          </rPr>
          <t>Drew Peterson:</t>
        </r>
        <r>
          <rPr>
            <sz val="9"/>
            <color indexed="81"/>
            <rFont val="Tahoma"/>
            <family val="2"/>
          </rPr>
          <t xml:space="preserve">
Applies only to the Insurance, Utilities &amp; HOA Dues, Maintenance &amp; Repairs and Advertising, Admin &amp; Payroll line items - AI suggests that 2.0-3.5% is a reasonable assumption</t>
        </r>
      </text>
    </comment>
    <comment ref="D97" authorId="0" shapeId="0" xr:uid="{2247B761-220D-462E-9D9C-40A1F24B73A3}">
      <text>
        <r>
          <rPr>
            <b/>
            <sz val="9"/>
            <color indexed="81"/>
            <rFont val="Tahoma"/>
            <family val="2"/>
          </rPr>
          <t>Drew Peterson:</t>
        </r>
        <r>
          <rPr>
            <sz val="9"/>
            <color indexed="81"/>
            <rFont val="Tahoma"/>
            <family val="2"/>
          </rPr>
          <t xml:space="preserve">
Homes.com: Average home price in Charlotte +8.01% annualized over past 5Y, +8.45% in University Park neighborhood
Redfin: Median SF home price in Charlotte +7.26% annualized over past 5Y, +14.18% in University Park neighborhood
Perplexity AI: Charlotte metro has achieved a 5.0% annualized appreciation rate over the last 48 years according to FHFA data (Concord closer to 4-6% historically and 3-4% in Gastonia)</t>
        </r>
      </text>
    </comment>
    <comment ref="D98" authorId="0" shapeId="0" xr:uid="{7B1A7CC6-1177-45B7-ADE1-4085D588FCF1}">
      <text>
        <r>
          <rPr>
            <b/>
            <sz val="9"/>
            <color indexed="81"/>
            <rFont val="Tahoma"/>
            <family val="2"/>
          </rPr>
          <t xml:space="preserve">Drew Peterson:
</t>
        </r>
        <r>
          <rPr>
            <sz val="9"/>
            <color indexed="81"/>
            <rFont val="Tahoma"/>
            <family val="2"/>
          </rPr>
          <t>Tax value is not reassessed annually but when it is, a growth rate has to be assumed - AI suggests this can often be less than the growth rate used to calculate exit price, though a good stress test is to set the two equal to each other</t>
        </r>
      </text>
    </comment>
    <comment ref="D99" authorId="0" shapeId="0" xr:uid="{EEDB13A5-C694-477B-87E7-1EAA8DA5798F}">
      <text>
        <r>
          <rPr>
            <b/>
            <sz val="9"/>
            <color indexed="81"/>
            <rFont val="Tahoma"/>
            <family val="2"/>
          </rPr>
          <t>Drew Peterson:</t>
        </r>
        <r>
          <rPr>
            <sz val="9"/>
            <color indexed="81"/>
            <rFont val="Tahoma"/>
            <family val="2"/>
          </rPr>
          <t xml:space="preserve">
Millage rates are increased over time, but it is typically a step-up every few years instead of an annual growth  - AI suggests a 3-6% increase every 4 years is reasonable, which is a 0.70-1.5% annualized growth rate</t>
        </r>
      </text>
    </comment>
    <comment ref="D105" authorId="0" shapeId="0" xr:uid="{17F4B3A1-EEC7-4265-9222-D5B801BEE443}">
      <text>
        <r>
          <rPr>
            <b/>
            <sz val="9"/>
            <color indexed="81"/>
            <rFont val="Tahoma"/>
            <family val="2"/>
          </rPr>
          <t>Drew Peterson:</t>
        </r>
        <r>
          <rPr>
            <sz val="9"/>
            <color indexed="81"/>
            <rFont val="Tahoma"/>
            <family val="2"/>
          </rPr>
          <t xml:space="preserve">
Perplexity AI: Targeting investors instead of regular homebuyers can yield lower total selling costs. Fee breakdown would be:
- Agent commission: 5% (standard) to 3% (only possible with deep agent relationship)
- Transfer tax and closing costs: 2% (conservative) to 1.5% (aggressive)
- Property prep: 1% (conservative) to 0.0% (aggressive)
- Contingency: 1% (conservative) to 0.5% (aggressive)
Total: 8-10% (conservative) to 7% (aggressive)</t>
        </r>
      </text>
    </comment>
    <comment ref="D111" authorId="1" shapeId="0" xr:uid="{F779B5D9-3E96-4EA1-AF1D-6F7178102931}">
      <text>
        <r>
          <rPr>
            <b/>
            <sz val="9"/>
            <color indexed="81"/>
            <rFont val="Tahoma"/>
            <family val="2"/>
          </rPr>
          <t>Peterson, Drew:</t>
        </r>
        <r>
          <rPr>
            <sz val="9"/>
            <color indexed="81"/>
            <rFont val="Tahoma"/>
            <family val="2"/>
          </rPr>
          <t xml:space="preserve">
PRMG offers step-down prepayment penalties for either a 3 or 5-year period - the 5-year option unlocks better pricing</t>
        </r>
      </text>
    </comment>
    <comment ref="D119" authorId="1" shapeId="0" xr:uid="{76AC480D-5DA8-4300-940F-90A5F711821A}">
      <text>
        <r>
          <rPr>
            <b/>
            <sz val="9"/>
            <color indexed="81"/>
            <rFont val="Tahoma"/>
            <family val="2"/>
          </rPr>
          <t>Peterson, Drew:</t>
        </r>
        <r>
          <rPr>
            <sz val="9"/>
            <color indexed="81"/>
            <rFont val="Tahoma"/>
            <family val="2"/>
          </rPr>
          <t xml:space="preserve">
Note that if rate buy downs were purchased on the original mortgage, that up-front cost is essentially forfeited and the rate on the new mortgage may not be lower than the original bought-down rate!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Drew Peterson</author>
  </authors>
  <commentList>
    <comment ref="B11" authorId="0" shapeId="0" xr:uid="{BD61D465-77CF-4B49-8949-3EEE9CE12E1C}">
      <text>
        <r>
          <rPr>
            <b/>
            <sz val="9"/>
            <color indexed="81"/>
            <rFont val="Tahoma"/>
            <family val="2"/>
          </rPr>
          <t>Drew Peterson:</t>
        </r>
        <r>
          <rPr>
            <sz val="9"/>
            <color indexed="81"/>
            <rFont val="Tahoma"/>
            <family val="2"/>
          </rPr>
          <t xml:space="preserve">
Increased once a year (stabalization date cadence)</t>
        </r>
      </text>
    </comment>
    <comment ref="B16" authorId="0" shapeId="0" xr:uid="{CFFDF52C-37B5-446D-9E6C-A2B8122E0B9C}">
      <text>
        <r>
          <rPr>
            <b/>
            <sz val="9"/>
            <color indexed="81"/>
            <rFont val="Tahoma"/>
            <family val="2"/>
          </rPr>
          <t>Drew Peterson:</t>
        </r>
        <r>
          <rPr>
            <sz val="9"/>
            <color indexed="81"/>
            <rFont val="Tahoma"/>
            <family val="2"/>
          </rPr>
          <t xml:space="preserve">
Reassessment does not happen every year, though millage rates can increase annually</t>
        </r>
      </text>
    </comment>
    <comment ref="B17" authorId="0" shapeId="0" xr:uid="{2C0B9301-8A14-40B8-91DB-117F0FD36E9D}">
      <text>
        <r>
          <rPr>
            <b/>
            <sz val="9"/>
            <color indexed="81"/>
            <rFont val="Tahoma"/>
            <family val="2"/>
          </rPr>
          <t>Drew Peterson:</t>
        </r>
        <r>
          <rPr>
            <sz val="9"/>
            <color indexed="81"/>
            <rFont val="Tahoma"/>
            <family val="2"/>
          </rPr>
          <t xml:space="preserve">
Increased once a year (closing date cadence)</t>
        </r>
      </text>
    </comment>
    <comment ref="B19" authorId="0" shapeId="0" xr:uid="{F5469A90-6036-4653-9B3D-033CA106E912}">
      <text>
        <r>
          <rPr>
            <b/>
            <sz val="9"/>
            <color indexed="81"/>
            <rFont val="Tahoma"/>
            <family val="2"/>
          </rPr>
          <t>Drew Peterson:</t>
        </r>
        <r>
          <rPr>
            <sz val="9"/>
            <color indexed="81"/>
            <rFont val="Tahoma"/>
            <family val="2"/>
          </rPr>
          <t xml:space="preserve">
Increased once a year
(calendar year cadence)</t>
        </r>
      </text>
    </comment>
    <comment ref="B20" authorId="0" shapeId="0" xr:uid="{0EBDFB9C-CB2B-435F-A545-B1C9A5171F99}">
      <text>
        <r>
          <rPr>
            <b/>
            <sz val="9"/>
            <color indexed="81"/>
            <rFont val="Tahoma"/>
            <family val="2"/>
          </rPr>
          <t>Drew Peterson:</t>
        </r>
        <r>
          <rPr>
            <sz val="9"/>
            <color indexed="81"/>
            <rFont val="Tahoma"/>
            <family val="2"/>
          </rPr>
          <t xml:space="preserve">
Increased every month</t>
        </r>
      </text>
    </comment>
    <comment ref="B21" authorId="0" shapeId="0" xr:uid="{A95D202A-915A-4506-A871-B66FF15EAEF6}">
      <text>
        <r>
          <rPr>
            <b/>
            <sz val="9"/>
            <color indexed="81"/>
            <rFont val="Tahoma"/>
            <family val="2"/>
          </rPr>
          <t>Drew Peterson:</t>
        </r>
        <r>
          <rPr>
            <sz val="9"/>
            <color indexed="81"/>
            <rFont val="Tahoma"/>
            <family val="2"/>
          </rPr>
          <t xml:space="preserve">
Increased once a year
(calendar year cadence)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<sst xmlns="http://schemas.openxmlformats.org/spreadsheetml/2006/main" count="460" uniqueCount="246">
  <si>
    <t>Purchase Price</t>
  </si>
  <si>
    <t>Unit Type</t>
  </si>
  <si>
    <t>Rent</t>
  </si>
  <si>
    <t>Total</t>
  </si>
  <si>
    <t>Unit Mix | In-Place</t>
  </si>
  <si>
    <t>Unit Mix | Stabilized</t>
  </si>
  <si>
    <t>(-) General Vacancy</t>
  </si>
  <si>
    <t>$</t>
  </si>
  <si>
    <t>%</t>
  </si>
  <si>
    <t>(-) Concessions</t>
  </si>
  <si>
    <t>Monthly Proforma | In-Place</t>
  </si>
  <si>
    <t>Effective Gross Income</t>
  </si>
  <si>
    <t>Potential Gross Income</t>
  </si>
  <si>
    <t>Rental Income</t>
  </si>
  <si>
    <t>(-) Insurance</t>
  </si>
  <si>
    <t>(-) Management</t>
  </si>
  <si>
    <t>Net Operating Income</t>
  </si>
  <si>
    <t>Interest Rate</t>
  </si>
  <si>
    <t>Monthly Payment</t>
  </si>
  <si>
    <t>(-) Debt Service</t>
  </si>
  <si>
    <t>Monthly Cash Flow</t>
  </si>
  <si>
    <t>DSCR</t>
  </si>
  <si>
    <t>Monthly Proforma | Stabilized</t>
  </si>
  <si>
    <t>Expense Growth</t>
  </si>
  <si>
    <t>Closing Date</t>
  </si>
  <si>
    <t>Month</t>
  </si>
  <si>
    <t>Year</t>
  </si>
  <si>
    <t>Date</t>
  </si>
  <si>
    <t>(+) Rental Income</t>
  </si>
  <si>
    <t>Unit Mix &amp; Lease-Up</t>
  </si>
  <si>
    <t>In-Place Rent</t>
  </si>
  <si>
    <t>Stabilized Rent</t>
  </si>
  <si>
    <t>NOI Margin</t>
  </si>
  <si>
    <t>Principal PMT</t>
  </si>
  <si>
    <t>Interest PMT</t>
  </si>
  <si>
    <t>Beg Balance</t>
  </si>
  <si>
    <t>Ending Balance</t>
  </si>
  <si>
    <t>Sources</t>
  </si>
  <si>
    <t>Uses</t>
  </si>
  <si>
    <t>Debt</t>
  </si>
  <si>
    <t>Equity</t>
  </si>
  <si>
    <t>Cash on Cash</t>
  </si>
  <si>
    <t>IO Duration</t>
  </si>
  <si>
    <t>No</t>
  </si>
  <si>
    <t>Loan Factor Rate</t>
  </si>
  <si>
    <t>Spread</t>
  </si>
  <si>
    <t>LTPP</t>
  </si>
  <si>
    <t>Loan Amount</t>
  </si>
  <si>
    <t>(-) Purchase Price</t>
  </si>
  <si>
    <t>(+) Net Operating Income</t>
  </si>
  <si>
    <t>Total Unlevered Costs</t>
  </si>
  <si>
    <t>Unlevered Operating Cash Flow</t>
  </si>
  <si>
    <t>Exit Assumptions</t>
  </si>
  <si>
    <t>Exit Cap Rate</t>
  </si>
  <si>
    <t>Exit Month</t>
  </si>
  <si>
    <t>Total Unlevered Cash Flow</t>
  </si>
  <si>
    <t>Unlevered Cash Flow</t>
  </si>
  <si>
    <t>(+) Gross Sales Proceeds</t>
  </si>
  <si>
    <t>(-) Sale Costs</t>
  </si>
  <si>
    <t>Net Sale Proceeds</t>
  </si>
  <si>
    <t>Unlevered Returns</t>
  </si>
  <si>
    <t>IRR</t>
  </si>
  <si>
    <t>Equity Multiple</t>
  </si>
  <si>
    <t>Net Profit</t>
  </si>
  <si>
    <t>Peak Equity</t>
  </si>
  <si>
    <t>Levered Cash Flow</t>
  </si>
  <si>
    <t>Cumulative</t>
  </si>
  <si>
    <t>(+) Unlevered Operating Cash Flow</t>
  </si>
  <si>
    <t>(-) Interest</t>
  </si>
  <si>
    <t>(-) Principal</t>
  </si>
  <si>
    <t>(-) Loan Payoff</t>
  </si>
  <si>
    <t>Levered Operating Cash Flow</t>
  </si>
  <si>
    <t>Total Levered Cash Flow</t>
  </si>
  <si>
    <t>Unlevered</t>
  </si>
  <si>
    <t>Levered</t>
  </si>
  <si>
    <t>Levered Returns</t>
  </si>
  <si>
    <t>Debt Assumptions</t>
  </si>
  <si>
    <t>Deal Level Returns</t>
  </si>
  <si>
    <t>Annual Cash Flow</t>
  </si>
  <si>
    <t>Exit Year NOI</t>
  </si>
  <si>
    <t>Unlevered IRR</t>
  </si>
  <si>
    <t>Levered IRR</t>
  </si>
  <si>
    <t>NOI Growth</t>
  </si>
  <si>
    <t>Exit Year</t>
  </si>
  <si>
    <t>NOI Yield</t>
  </si>
  <si>
    <t>(-) Maintenance &amp; Repairs</t>
  </si>
  <si>
    <t>Underwriting</t>
  </si>
  <si>
    <t>Sources and Uses</t>
  </si>
  <si>
    <t>In-Place</t>
  </si>
  <si>
    <t>Revenue</t>
  </si>
  <si>
    <t>Vacancy</t>
  </si>
  <si>
    <t>Total Rental Revenue</t>
  </si>
  <si>
    <t>Deal Metrics</t>
  </si>
  <si>
    <t>Acquisition</t>
  </si>
  <si>
    <t>Disposition</t>
  </si>
  <si>
    <t>Expenses</t>
  </si>
  <si>
    <t>Asking Price</t>
  </si>
  <si>
    <t>Returns</t>
  </si>
  <si>
    <t>Unlevered Profit</t>
  </si>
  <si>
    <t>Levered Profit</t>
  </si>
  <si>
    <t>Unlevered MoM</t>
  </si>
  <si>
    <t>Levered MoM</t>
  </si>
  <si>
    <t>Total Expenses</t>
  </si>
  <si>
    <t>NOI</t>
  </si>
  <si>
    <t>Refinance Assumptions</t>
  </si>
  <si>
    <t>Value at Refinance</t>
  </si>
  <si>
    <t>Refinance  Year</t>
  </si>
  <si>
    <t>LTV</t>
  </si>
  <si>
    <t>Refinance Proceeds</t>
  </si>
  <si>
    <t>Refinance Month</t>
  </si>
  <si>
    <t>Refinance Year NOI</t>
  </si>
  <si>
    <t>Amortization (Years)</t>
  </si>
  <si>
    <t>Property Tax Assumptions</t>
  </si>
  <si>
    <t>Assessment Ratio</t>
  </si>
  <si>
    <t>Millage Rate</t>
  </si>
  <si>
    <t>(-) Property Taxes</t>
  </si>
  <si>
    <t>Bedrooms</t>
  </si>
  <si>
    <t>Bathrooms</t>
  </si>
  <si>
    <t>Year Built</t>
  </si>
  <si>
    <t>Refinance Cap Rate</t>
  </si>
  <si>
    <t>Listing Date</t>
  </si>
  <si>
    <t>Property Details</t>
  </si>
  <si>
    <t>Additional Capital Assumptions</t>
  </si>
  <si>
    <t>Interest Only (IO)?</t>
  </si>
  <si>
    <t>IO Monthly Payment</t>
  </si>
  <si>
    <t>Initial Tenant Placement Fee</t>
  </si>
  <si>
    <t>Equity Summary</t>
  </si>
  <si>
    <t>Stabilized Cap Rate (Y2)</t>
  </si>
  <si>
    <t>In-Place Cap Rate</t>
  </si>
  <si>
    <t>Exit Price</t>
  </si>
  <si>
    <t>Units</t>
  </si>
  <si>
    <t>Lot Size (Acres)</t>
  </si>
  <si>
    <t>(-) Utilities &amp; HOA Dues</t>
  </si>
  <si>
    <t>x</t>
  </si>
  <si>
    <t>Total Square Footage</t>
  </si>
  <si>
    <t>$x</t>
  </si>
  <si>
    <t>City, State</t>
  </si>
  <si>
    <t>Street Address</t>
  </si>
  <si>
    <t>Qualitative Notes</t>
  </si>
  <si>
    <t>Type</t>
  </si>
  <si>
    <t>Single Family</t>
  </si>
  <si>
    <t>Condo/Apartment</t>
  </si>
  <si>
    <t>Townhouse</t>
  </si>
  <si>
    <t>Manufactured</t>
  </si>
  <si>
    <t>Multi-Family</t>
  </si>
  <si>
    <t>Price Appreciation</t>
  </si>
  <si>
    <t>Interior/Reno Grade</t>
  </si>
  <si>
    <t>A</t>
  </si>
  <si>
    <t>B</t>
  </si>
  <si>
    <t>C</t>
  </si>
  <si>
    <t>Charlotte, NC</t>
  </si>
  <si>
    <t>Property Insurance Assumptions</t>
  </si>
  <si>
    <t>Rebuild Cost / SF</t>
  </si>
  <si>
    <t>Other Monthly Expense Assumptions</t>
  </si>
  <si>
    <t>Vacancy Rate</t>
  </si>
  <si>
    <t>Utilities &amp; HOA Dues</t>
  </si>
  <si>
    <t>Tenant Incentives/Concessions</t>
  </si>
  <si>
    <t>Stabalized Rent</t>
  </si>
  <si>
    <t>Income/Rent Assumptions</t>
  </si>
  <si>
    <t>Total Rate Buydown Cost</t>
  </si>
  <si>
    <t>Discount Points</t>
  </si>
  <si>
    <t>Rate Reduction per Point</t>
  </si>
  <si>
    <t>Base Interest Rate</t>
  </si>
  <si>
    <t>Final Interest Rate</t>
  </si>
  <si>
    <t>Seller Concessions / PP</t>
  </si>
  <si>
    <t>Effective Tax Rate</t>
  </si>
  <si>
    <t>Net Offer Amount</t>
  </si>
  <si>
    <t>Purchase Price Discount</t>
  </si>
  <si>
    <t>Net Offer Amount Discount</t>
  </si>
  <si>
    <t>Purchase Assumptions</t>
  </si>
  <si>
    <t>Closing Costs (Non-Financing)</t>
  </si>
  <si>
    <t>Repairs by Seller Pre-Closing</t>
  </si>
  <si>
    <t>Offer Structure Assumptions (% of Cost)</t>
  </si>
  <si>
    <t>Stabalization Month</t>
  </si>
  <si>
    <t>Price/SF</t>
  </si>
  <si>
    <t>Rent / Square Foot</t>
  </si>
  <si>
    <t>Income / All-In Cost</t>
  </si>
  <si>
    <t>Cap Rate</t>
  </si>
  <si>
    <t>New Monthly Payment</t>
  </si>
  <si>
    <t>Selling Costs (% of Sale Price)</t>
  </si>
  <si>
    <t>Management Fee (% of Rent)</t>
  </si>
  <si>
    <t>Estimate #1 - RentCast</t>
  </si>
  <si>
    <t>Estimate #2 - Redfin</t>
  </si>
  <si>
    <t>Estimate #3 - Zillow</t>
  </si>
  <si>
    <t>Estimate #4 - Previous Listings</t>
  </si>
  <si>
    <t>Maintenance Assumptions</t>
  </si>
  <si>
    <t>Manual Adjustment</t>
  </si>
  <si>
    <t>Cash Flow (Comprehensive)</t>
  </si>
  <si>
    <t>DSCR (Comprehensive)</t>
  </si>
  <si>
    <t>Annual Cost / SF</t>
  </si>
  <si>
    <t>Additional Annual Cost / Unit</t>
  </si>
  <si>
    <t>Annual Premium / $100 of Coverage</t>
  </si>
  <si>
    <t>Multi-Unit Adjustment</t>
  </si>
  <si>
    <t>Age Adjustment</t>
  </si>
  <si>
    <t>Cumulative Annual Cost / SF</t>
  </si>
  <si>
    <t>Property-Specific Adjustment</t>
  </si>
  <si>
    <t>Cash Flow (Routine Month)</t>
  </si>
  <si>
    <t>DSCR (Lender)</t>
  </si>
  <si>
    <t>Survey Required?</t>
  </si>
  <si>
    <t>Variable Loan Fee (%)</t>
  </si>
  <si>
    <t>Cost per Point (% of Loan)</t>
  </si>
  <si>
    <t>Final Rate</t>
  </si>
  <si>
    <t>Cost</t>
  </si>
  <si>
    <t>(-) Advertising, Admin &amp; Payroll</t>
  </si>
  <si>
    <t>Advertising, Admin &amp; Payroll</t>
  </si>
  <si>
    <t>Signors on Loan</t>
  </si>
  <si>
    <t>Fixed Loan Fees</t>
  </si>
  <si>
    <t>Net CapEx (Post-Closing)</t>
  </si>
  <si>
    <t>Buyer's Agent Fee (% of PP)</t>
  </si>
  <si>
    <t>Agent Fee Paid by Seller (% of PP)</t>
  </si>
  <si>
    <t>Financing Fees</t>
  </si>
  <si>
    <t>Seller Concessions</t>
  </si>
  <si>
    <t>Initial Equity (Down Payment)</t>
  </si>
  <si>
    <t>Total Cash Required</t>
  </si>
  <si>
    <t>^Property-specific buy-down grid provided by PRMG on 4/22/2026, assumes 5-year prepay penalty period and a base 1.0x DSCR (lender's methodology) before any buy-downs</t>
  </si>
  <si>
    <t>Refinance Year</t>
  </si>
  <si>
    <t>Not included in Deal Level Return calculations!</t>
  </si>
  <si>
    <t>Rate Buy Down Sensitivity Analysis</t>
  </si>
  <si>
    <t>Cash to Close (Ex-Prepaids)</t>
  </si>
  <si>
    <t>Variable Loan Fee</t>
  </si>
  <si>
    <t>Net Buyer's Agent Fee</t>
  </si>
  <si>
    <t>Cash Flow</t>
  </si>
  <si>
    <t>(Comprehensive)</t>
  </si>
  <si>
    <t>(Routine Month)</t>
  </si>
  <si>
    <t>Points</t>
  </si>
  <si>
    <t>Discount</t>
  </si>
  <si>
    <t>Reassessment Frequency (Years)</t>
  </si>
  <si>
    <t>Assessed Value</t>
  </si>
  <si>
    <t>Reassessment Year</t>
  </si>
  <si>
    <t>Tax Value Appreciation</t>
  </si>
  <si>
    <t>Millage Rate Growth</t>
  </si>
  <si>
    <t>Annualized Growth Assumptions</t>
  </si>
  <si>
    <t>Income/Rental Growth</t>
  </si>
  <si>
    <t>Purchase Anniversary</t>
  </si>
  <si>
    <t>Stabalization Anniversary</t>
  </si>
  <si>
    <t>Current Assessed Value</t>
  </si>
  <si>
    <t>Year of Next Reassessment</t>
  </si>
  <si>
    <t>x/xx/xxxx</t>
  </si>
  <si>
    <t>-</t>
  </si>
  <si>
    <t>^Assumes exit in Yx with x% annualized price appreciation</t>
  </si>
  <si>
    <t>-X</t>
  </si>
  <si>
    <t>Stabilized</t>
  </si>
  <si>
    <t>Cash on Cash (Comprehensive)</t>
  </si>
  <si>
    <t>Cash on Cash (Routine Month)</t>
  </si>
  <si>
    <t>All-In Transaction Size</t>
  </si>
  <si>
    <t>Initial Rehab &amp; Contingency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</si>
</sst>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5" formatCode="&quot;$&quot;#,##0_);\(&quot;$&quot;#,##0\)"/>
    <numFmt numFmtId="6" formatCode="&quot;$&quot;#,##0_);[Red]\(&quot;$&quot;#,##0\)"/>
    <numFmt numFmtId="7" formatCode="&quot;$&quot;#,##0.00_);\(&quot;$&quot;#,##0.00\)"/>
    <numFmt numFmtId="8" formatCode="&quot;$&quot;#,##0.00_);[Red]\(&quot;$&quot;#,##0.00\)"/>
    <numFmt numFmtId="44" formatCode="_(&quot;$&quot;* #,##0.00_);_(&quot;$&quot;* \(#,##0.00\);_(&quot;$&quot;* &quot;-&quot;??_);_(@_)"/>
    <numFmt numFmtId="164" formatCode="0%;\(0%\)"/>
    <numFmt numFmtId="165" formatCode="##.##\x"/>
    <numFmt numFmtId="166" formatCode="&quot;Month&quot;\ ##0"/>
    <numFmt numFmtId="167" formatCode="&quot;Year&quot;\ ##0"/>
    <numFmt numFmtId="168" formatCode="[$-409]mmm\-yy;@"/>
    <numFmt numFmtId="169" formatCode="&quot;Month&quot;\ #0"/>
    <numFmt numFmtId="170" formatCode="&quot;$&quot;#,##0"/>
    <numFmt numFmtId="171" formatCode="0.00%;\(0.00%\)"/>
    <numFmt numFmtId="172" formatCode="0.0%"/>
    <numFmt numFmtId="173" formatCode="#0.00\x"/>
    <numFmt numFmtId="174" formatCode="0.00\x"/>
    <numFmt numFmtId="175" formatCode="&quot;$&quot;#,##0.0_);\(&quot;$&quot;#,##0.0\)"/>
    <numFmt numFmtId="176" formatCode="0.0&quot;x&quot;"/>
    <numFmt numFmtId="177" formatCode="_(#,##0.0%_);\(#,##0.0%\);_(&quot;–&quot;_)_%;_(@_)_%"/>
    <numFmt numFmtId="178" formatCode="0.000%"/>
    <numFmt numFmtId="179" formatCode="0.0"/>
    <numFmt numFmtId="180" formatCode="#,##0.0_);[Red]\(#,##0.0\)"/>
    <numFmt numFmtId="181" formatCode="\+0.0%;\-0.0%;0.0%"/>
    <numFmt numFmtId="182" formatCode="&quot;Year&quot;\ 0.0"/>
  </numFmts>
  <fonts count="26" x14ac:knownFonts="1">
    <font>
      <sz val="11"/>
      <color theme="1"/>
      <name val="Arial"/>
      <family val="2"/>
      <scheme val="minor"/>
    </font>
    <font>
      <sz val="11"/>
      <name val="Garamond"/>
      <family val="1"/>
    </font>
    <font>
      <sz val="11"/>
      <color rgb="FF0000FF"/>
      <name val="Garamond"/>
      <family val="1"/>
    </font>
    <font>
      <b/>
      <sz val="11"/>
      <name val="Garamond"/>
      <family val="1"/>
    </font>
    <font>
      <sz val="11"/>
      <color rgb="FF008000"/>
      <name val="Garamond"/>
      <family val="1"/>
    </font>
    <font>
      <b/>
      <i/>
      <sz val="11"/>
      <name val="Garamond"/>
      <family val="1"/>
    </font>
    <font>
      <sz val="11"/>
      <color theme="1"/>
      <name val="Garamond"/>
      <family val="2"/>
    </font>
    <font>
      <b/>
      <sz val="11"/>
      <color theme="0"/>
      <name val="Garamond"/>
      <family val="2"/>
    </font>
    <font>
      <sz val="11"/>
      <name val="Garamond"/>
      <family val="2"/>
    </font>
    <font>
      <i/>
      <sz val="11"/>
      <name val="Garamond"/>
      <family val="1"/>
    </font>
    <font>
      <sz val="10"/>
      <name val="Arial"/>
      <family val="2"/>
    </font>
    <font>
      <sz val="10"/>
      <color theme="1"/>
      <name val="Garamond"/>
      <family val="2"/>
    </font>
    <font>
      <sz val="11"/>
      <color theme="1"/>
      <name val="Garamond"/>
      <family val="1"/>
    </font>
    <font>
      <b/>
      <u val="singleAccounting"/>
      <sz val="11"/>
      <color theme="1"/>
      <name val="Garamond"/>
      <family val="1"/>
    </font>
    <font>
      <u val="singleAccounting"/>
      <sz val="11"/>
      <color theme="1"/>
      <name val="Garamond"/>
      <family val="1"/>
    </font>
    <font>
      <sz val="11"/>
      <color rgb="FF000000"/>
      <name val="Garamond"/>
      <family val="1"/>
    </font>
    <font>
      <b/>
      <sz val="11"/>
      <color theme="1"/>
      <name val="Garamond"/>
      <family val="1"/>
    </font>
    <font>
      <b/>
      <sz val="11"/>
      <color rgb="FF000000"/>
      <name val="Garamond"/>
      <family val="1"/>
    </font>
    <font>
      <i/>
      <sz val="11"/>
      <color theme="1"/>
      <name val="Garamond"/>
      <family val="1"/>
    </font>
    <font>
      <i/>
      <sz val="11"/>
      <color rgb="FF000000"/>
      <name val="Garamond"/>
      <family val="1"/>
    </font>
    <font>
      <sz val="11"/>
      <color rgb="FF004D00"/>
      <name val="Garamond"/>
      <family val="1"/>
    </font>
    <font>
      <sz val="9"/>
      <color indexed="81"/>
      <name val="Tahoma"/>
      <family val="2"/>
    </font>
    <font>
      <b/>
      <sz val="9"/>
      <color indexed="81"/>
      <name val="Tahoma"/>
      <family val="2"/>
    </font>
    <font>
      <b/>
      <sz val="11"/>
      <color rgb="FFC00000"/>
      <name val="Garamond"/>
      <family val="1"/>
    </font>
    <font>
      <i/>
      <u/>
      <sz val="11"/>
      <color rgb="FFC00000"/>
      <name val="Garamond"/>
      <family val="1"/>
    </font>
    <font>
      <i/>
      <sz val="11"/>
      <color rgb="FF008000"/>
      <name val="Garamond"/>
      <family val="1"/>
    </font>
  </fonts>
  <fills count="9">
    <fill>
      <patternFill patternType="none"/>
    </fill>
    <fill>
      <patternFill patternType="gray125"/>
    </fill>
    <fill>
      <patternFill patternType="solid">
        <fgColor theme="9" tint="0.39997558519241921"/>
        <bgColor indexed="64"/>
      </patternFill>
    </fill>
    <fill>
      <patternFill patternType="solid">
        <fgColor theme="5" tint="0.79998168889431442"/>
        <bgColor indexed="64"/>
      </patternFill>
    </fill>
    <fill>
      <patternFill patternType="solid">
        <fgColor theme="1"/>
        <bgColor indexed="64"/>
      </patternFill>
    </fill>
    <fill>
      <patternFill patternType="solid">
        <fgColor theme="9"/>
        <bgColor indexed="64"/>
      </patternFill>
    </fill>
    <fill>
      <patternFill patternType="solid">
        <fgColor theme="4" tint="0.749992370372631"/>
        <bgColor indexed="64"/>
      </patternFill>
    </fill>
    <fill>
      <patternFill patternType="solid">
        <fgColor rgb="FFFFFFFF"/>
        <bgColor indexed="64"/>
      </patternFill>
    </fill>
    <fill>
      <patternFill patternType="solid">
        <fgColor rgb="FFB7FFD3"/>
        <bgColor indexed="64"/>
      </patternFill>
    </fill>
  </fills>
  <borders count="26">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medium">
        <color auto="1"/>
      </left>
      <right/>
      <top style="medium">
        <color auto="1"/>
      </top>
      <bottom style="medium">
        <color auto="1"/>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thin">
        <color auto="1"/>
      </bottom>
      <diagonal/>
    </border>
    <border>
      <left/>
      <right style="medium">
        <color indexed="64"/>
      </right>
      <top/>
      <bottom style="thin">
        <color auto="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s>
  <cellStyleXfs count="7">
    <xf numFmtId="0" fontId="0" fillId="0" borderId="0"/>
    <xf numFmtId="0" fontId="6" fillId="0" borderId="0"/>
    <xf numFmtId="0" fontId="10" fillId="0" borderId="0"/>
    <xf numFmtId="44" fontId="10" fillId="0" borderId="0" applyFont="0" applyFill="0" applyBorder="0" applyAlignment="0" applyProtection="0"/>
    <xf numFmtId="0" fontId="10" fillId="0" borderId="0"/>
    <xf numFmtId="44" fontId="10" fillId="0" borderId="0" applyFont="0" applyFill="0" applyBorder="0" applyAlignment="0" applyProtection="0"/>
    <xf numFmtId="0" fontId="11" fillId="0" borderId="0"/>
  </cellStyleXfs>
  <cellXfs count="200">
    <xf numFmtId="0" fontId="0" fillId="0" borderId="0" xfId="0"/>
    <xf numFmtId="0" fontId="1" fillId="0" borderId="0" xfId="0" applyFont="1"/>
    <xf numFmtId="6" fontId="1" fillId="0" borderId="0" xfId="0" applyNumberFormat="1" applyFont="1"/>
    <xf numFmtId="6" fontId="2" fillId="0" borderId="0" xfId="0" applyNumberFormat="1" applyFont="1"/>
    <xf numFmtId="0" fontId="2" fillId="0" borderId="0" xfId="0" applyFont="1"/>
    <xf numFmtId="8" fontId="1" fillId="0" borderId="0" xfId="0" applyNumberFormat="1" applyFont="1"/>
    <xf numFmtId="0" fontId="3" fillId="0" borderId="0" xfId="0" applyFont="1"/>
    <xf numFmtId="0" fontId="3" fillId="0" borderId="1" xfId="0" applyFont="1" applyBorder="1"/>
    <xf numFmtId="0" fontId="1" fillId="0" borderId="1" xfId="0" applyFont="1" applyBorder="1"/>
    <xf numFmtId="0" fontId="1" fillId="0" borderId="2" xfId="0" applyFont="1" applyBorder="1"/>
    <xf numFmtId="6" fontId="3" fillId="0" borderId="0" xfId="0" applyNumberFormat="1" applyFont="1"/>
    <xf numFmtId="0" fontId="1" fillId="0" borderId="3" xfId="0" applyFont="1" applyBorder="1"/>
    <xf numFmtId="0" fontId="1" fillId="0" borderId="1" xfId="0" applyFont="1" applyBorder="1" applyAlignment="1">
      <alignment horizontal="right"/>
    </xf>
    <xf numFmtId="5" fontId="1" fillId="0" borderId="0" xfId="0" applyNumberFormat="1" applyFont="1"/>
    <xf numFmtId="0" fontId="3" fillId="0" borderId="3" xfId="0" applyFont="1" applyBorder="1"/>
    <xf numFmtId="6" fontId="3" fillId="0" borderId="3" xfId="0" applyNumberFormat="1" applyFont="1" applyBorder="1"/>
    <xf numFmtId="164" fontId="2" fillId="0" borderId="0" xfId="0" applyNumberFormat="1" applyFont="1"/>
    <xf numFmtId="5" fontId="2" fillId="0" borderId="0" xfId="0" applyNumberFormat="1" applyFont="1"/>
    <xf numFmtId="9" fontId="1" fillId="0" borderId="0" xfId="0" applyNumberFormat="1" applyFont="1"/>
    <xf numFmtId="164" fontId="1" fillId="0" borderId="0" xfId="0" applyNumberFormat="1" applyFont="1"/>
    <xf numFmtId="9" fontId="2" fillId="0" borderId="0" xfId="0" applyNumberFormat="1" applyFont="1"/>
    <xf numFmtId="10" fontId="2" fillId="0" borderId="0" xfId="0" applyNumberFormat="1" applyFont="1"/>
    <xf numFmtId="165" fontId="3" fillId="0" borderId="0" xfId="0" applyNumberFormat="1" applyFont="1"/>
    <xf numFmtId="167" fontId="1" fillId="0" borderId="0" xfId="0" applyNumberFormat="1" applyFont="1"/>
    <xf numFmtId="168" fontId="1" fillId="0" borderId="0" xfId="0" applyNumberFormat="1" applyFont="1"/>
    <xf numFmtId="0" fontId="3" fillId="0" borderId="0" xfId="0" applyFont="1" applyAlignment="1">
      <alignment horizontal="right"/>
    </xf>
    <xf numFmtId="0" fontId="3" fillId="0" borderId="1" xfId="0" applyFont="1" applyBorder="1" applyAlignment="1">
      <alignment horizontal="right"/>
    </xf>
    <xf numFmtId="166" fontId="1" fillId="0" borderId="1" xfId="0" applyNumberFormat="1" applyFont="1" applyBorder="1"/>
    <xf numFmtId="0" fontId="4" fillId="0" borderId="0" xfId="0" applyFont="1" applyAlignment="1">
      <alignment horizontal="left"/>
    </xf>
    <xf numFmtId="170" fontId="1" fillId="0" borderId="0" xfId="0" applyNumberFormat="1" applyFont="1"/>
    <xf numFmtId="166" fontId="4" fillId="2" borderId="0" xfId="0" applyNumberFormat="1" applyFont="1" applyFill="1"/>
    <xf numFmtId="0" fontId="1" fillId="2" borderId="0" xfId="0" applyFont="1" applyFill="1"/>
    <xf numFmtId="0" fontId="1" fillId="2" borderId="1" xfId="0" applyFont="1" applyFill="1" applyBorder="1"/>
    <xf numFmtId="0" fontId="3" fillId="2" borderId="0" xfId="0" applyFont="1" applyFill="1"/>
    <xf numFmtId="6" fontId="4" fillId="2" borderId="0" xfId="0" applyNumberFormat="1" applyFont="1" applyFill="1" applyAlignment="1">
      <alignment horizontal="right"/>
    </xf>
    <xf numFmtId="170" fontId="1" fillId="0" borderId="3" xfId="0" applyNumberFormat="1" applyFont="1" applyBorder="1"/>
    <xf numFmtId="5" fontId="1" fillId="0" borderId="1" xfId="0" applyNumberFormat="1" applyFont="1" applyBorder="1"/>
    <xf numFmtId="170" fontId="3" fillId="0" borderId="3" xfId="0" applyNumberFormat="1" applyFont="1" applyBorder="1"/>
    <xf numFmtId="0" fontId="3" fillId="2" borderId="3" xfId="0" applyFont="1" applyFill="1" applyBorder="1"/>
    <xf numFmtId="171" fontId="4" fillId="2" borderId="0" xfId="0" applyNumberFormat="1" applyFont="1" applyFill="1"/>
    <xf numFmtId="171" fontId="4" fillId="2" borderId="1" xfId="0" applyNumberFormat="1" applyFont="1" applyFill="1" applyBorder="1"/>
    <xf numFmtId="5" fontId="4" fillId="2" borderId="0" xfId="0" applyNumberFormat="1" applyFont="1" applyFill="1"/>
    <xf numFmtId="5" fontId="4" fillId="2" borderId="1" xfId="0" applyNumberFormat="1" applyFont="1" applyFill="1" applyBorder="1"/>
    <xf numFmtId="5" fontId="3" fillId="0" borderId="0" xfId="0" applyNumberFormat="1" applyFont="1"/>
    <xf numFmtId="0" fontId="5" fillId="0" borderId="0" xfId="0" applyFont="1"/>
    <xf numFmtId="172" fontId="5" fillId="0" borderId="0" xfId="0" applyNumberFormat="1" applyFont="1"/>
    <xf numFmtId="0" fontId="2" fillId="0" borderId="0" xfId="0" applyFont="1" applyAlignment="1">
      <alignment horizontal="right"/>
    </xf>
    <xf numFmtId="6" fontId="1" fillId="0" borderId="0" xfId="0" applyNumberFormat="1" applyFont="1" applyAlignment="1">
      <alignment horizontal="right"/>
    </xf>
    <xf numFmtId="5" fontId="1" fillId="2" borderId="0" xfId="0" applyNumberFormat="1" applyFont="1" applyFill="1"/>
    <xf numFmtId="5" fontId="3" fillId="2" borderId="0" xfId="0" applyNumberFormat="1" applyFont="1" applyFill="1"/>
    <xf numFmtId="0" fontId="7" fillId="4" borderId="5" xfId="1" applyFont="1" applyFill="1" applyBorder="1" applyAlignment="1">
      <alignment horizontal="centerContinuous"/>
    </xf>
    <xf numFmtId="0" fontId="7" fillId="4" borderId="6" xfId="1" applyFont="1" applyFill="1" applyBorder="1" applyAlignment="1">
      <alignment horizontal="centerContinuous"/>
    </xf>
    <xf numFmtId="0" fontId="8" fillId="5" borderId="7" xfId="1" applyFont="1" applyFill="1" applyBorder="1"/>
    <xf numFmtId="172" fontId="8" fillId="5" borderId="8" xfId="1" applyNumberFormat="1" applyFont="1" applyFill="1" applyBorder="1"/>
    <xf numFmtId="173" fontId="8" fillId="5" borderId="8" xfId="1" applyNumberFormat="1" applyFont="1" applyFill="1" applyBorder="1"/>
    <xf numFmtId="5" fontId="8" fillId="5" borderId="8" xfId="1" applyNumberFormat="1" applyFont="1" applyFill="1" applyBorder="1"/>
    <xf numFmtId="0" fontId="8" fillId="5" borderId="9" xfId="1" applyFont="1" applyFill="1" applyBorder="1"/>
    <xf numFmtId="5" fontId="8" fillId="5" borderId="10" xfId="1" applyNumberFormat="1" applyFont="1" applyFill="1" applyBorder="1"/>
    <xf numFmtId="0" fontId="9" fillId="0" borderId="0" xfId="0" applyFont="1"/>
    <xf numFmtId="5" fontId="9" fillId="0" borderId="0" xfId="0" applyNumberFormat="1" applyFont="1"/>
    <xf numFmtId="0" fontId="3" fillId="6" borderId="2" xfId="0" applyFont="1" applyFill="1" applyBorder="1" applyAlignment="1">
      <alignment horizontal="left"/>
    </xf>
    <xf numFmtId="0" fontId="1" fillId="6" borderId="1" xfId="0" applyFont="1" applyFill="1" applyBorder="1" applyAlignment="1">
      <alignment horizontal="left"/>
    </xf>
    <xf numFmtId="166" fontId="1" fillId="6" borderId="1" xfId="0" applyNumberFormat="1" applyFont="1" applyFill="1" applyBorder="1"/>
    <xf numFmtId="0" fontId="3" fillId="6" borderId="2" xfId="0" applyFont="1" applyFill="1" applyBorder="1"/>
    <xf numFmtId="0" fontId="1" fillId="6" borderId="2" xfId="0" applyFont="1" applyFill="1" applyBorder="1"/>
    <xf numFmtId="0" fontId="1" fillId="0" borderId="0" xfId="0" applyFont="1" applyAlignment="1">
      <alignment horizontal="left"/>
    </xf>
    <xf numFmtId="169" fontId="1" fillId="2" borderId="0" xfId="0" applyNumberFormat="1" applyFont="1" applyFill="1"/>
    <xf numFmtId="0" fontId="1" fillId="0" borderId="1" xfId="0" applyFont="1" applyBorder="1" applyAlignment="1">
      <alignment horizontal="left"/>
    </xf>
    <xf numFmtId="169" fontId="1" fillId="2" borderId="1" xfId="0" applyNumberFormat="1" applyFont="1" applyFill="1" applyBorder="1"/>
    <xf numFmtId="5" fontId="2" fillId="2" borderId="0" xfId="0" applyNumberFormat="1" applyFont="1" applyFill="1"/>
    <xf numFmtId="5" fontId="2" fillId="0" borderId="1" xfId="0" applyNumberFormat="1" applyFont="1" applyBorder="1"/>
    <xf numFmtId="172" fontId="1" fillId="0" borderId="0" xfId="0" applyNumberFormat="1" applyFont="1"/>
    <xf numFmtId="172" fontId="2" fillId="0" borderId="0" xfId="0" applyNumberFormat="1" applyFont="1"/>
    <xf numFmtId="170" fontId="1" fillId="0" borderId="0" xfId="0" applyNumberFormat="1" applyFont="1" applyAlignment="1">
      <alignment wrapText="1"/>
    </xf>
    <xf numFmtId="0" fontId="8" fillId="5" borderId="11" xfId="1" applyFont="1" applyFill="1" applyBorder="1"/>
    <xf numFmtId="8" fontId="3" fillId="0" borderId="3" xfId="0" applyNumberFormat="1" applyFont="1" applyBorder="1"/>
    <xf numFmtId="175" fontId="2" fillId="0" borderId="0" xfId="0" applyNumberFormat="1" applyFont="1"/>
    <xf numFmtId="0" fontId="12" fillId="0" borderId="0" xfId="0" applyFont="1"/>
    <xf numFmtId="0" fontId="13" fillId="0" borderId="0" xfId="0" applyFont="1" applyAlignment="1">
      <alignment horizontal="centerContinuous"/>
    </xf>
    <xf numFmtId="0" fontId="13" fillId="0" borderId="0" xfId="0" applyFont="1" applyAlignment="1">
      <alignment horizontal="center"/>
    </xf>
    <xf numFmtId="0" fontId="14" fillId="0" borderId="0" xfId="0" applyFont="1" applyAlignment="1">
      <alignment horizontal="centerContinuous"/>
    </xf>
    <xf numFmtId="5" fontId="15" fillId="0" borderId="0" xfId="0" applyNumberFormat="1" applyFont="1" applyAlignment="1">
      <alignment horizontal="center"/>
    </xf>
    <xf numFmtId="0" fontId="16" fillId="0" borderId="0" xfId="0" applyFont="1"/>
    <xf numFmtId="5" fontId="17" fillId="0" borderId="3" xfId="0" applyNumberFormat="1" applyFont="1" applyBorder="1" applyAlignment="1">
      <alignment horizontal="center"/>
    </xf>
    <xf numFmtId="7" fontId="12" fillId="0" borderId="0" xfId="0" applyNumberFormat="1" applyFont="1"/>
    <xf numFmtId="5" fontId="17" fillId="0" borderId="0" xfId="0" applyNumberFormat="1" applyFont="1" applyAlignment="1">
      <alignment horizontal="center"/>
    </xf>
    <xf numFmtId="5" fontId="12" fillId="0" borderId="0" xfId="0" applyNumberFormat="1" applyFont="1" applyAlignment="1">
      <alignment vertical="top" wrapText="1"/>
    </xf>
    <xf numFmtId="5" fontId="12" fillId="0" borderId="0" xfId="0" applyNumberFormat="1" applyFont="1"/>
    <xf numFmtId="175" fontId="15" fillId="0" borderId="0" xfId="0" applyNumberFormat="1" applyFont="1" applyAlignment="1">
      <alignment horizontal="left"/>
    </xf>
    <xf numFmtId="177" fontId="19" fillId="0" borderId="0" xfId="0" applyNumberFormat="1" applyFont="1" applyAlignment="1">
      <alignment horizontal="centerContinuous"/>
    </xf>
    <xf numFmtId="178" fontId="2" fillId="0" borderId="0" xfId="0" applyNumberFormat="1" applyFont="1"/>
    <xf numFmtId="5" fontId="1" fillId="0" borderId="0" xfId="0" applyNumberFormat="1" applyFont="1" applyAlignment="1">
      <alignment horizontal="center"/>
    </xf>
    <xf numFmtId="5" fontId="3" fillId="0" borderId="3" xfId="0" applyNumberFormat="1" applyFont="1" applyBorder="1" applyAlignment="1">
      <alignment horizontal="center"/>
    </xf>
    <xf numFmtId="176" fontId="1" fillId="0" borderId="0" xfId="0" applyNumberFormat="1" applyFont="1"/>
    <xf numFmtId="175" fontId="1" fillId="0" borderId="0" xfId="0" applyNumberFormat="1" applyFont="1" applyAlignment="1">
      <alignment horizontal="left"/>
    </xf>
    <xf numFmtId="0" fontId="3" fillId="0" borderId="13" xfId="0" applyFont="1" applyBorder="1" applyAlignment="1">
      <alignment horizontal="left"/>
    </xf>
    <xf numFmtId="7" fontId="1" fillId="0" borderId="0" xfId="0" applyNumberFormat="1" applyFont="1"/>
    <xf numFmtId="0" fontId="1" fillId="0" borderId="0" xfId="0" applyFont="1" applyAlignment="1">
      <alignment horizontal="left" indent="2"/>
    </xf>
    <xf numFmtId="172" fontId="1" fillId="0" borderId="0" xfId="0" applyNumberFormat="1" applyFont="1" applyAlignment="1">
      <alignment horizontal="center"/>
    </xf>
    <xf numFmtId="5" fontId="3" fillId="0" borderId="0" xfId="0" applyNumberFormat="1" applyFont="1" applyAlignment="1">
      <alignment horizontal="center"/>
    </xf>
    <xf numFmtId="0" fontId="3" fillId="0" borderId="2" xfId="0" applyFont="1" applyBorder="1"/>
    <xf numFmtId="0" fontId="3" fillId="2" borderId="2" xfId="0" applyFont="1" applyFill="1" applyBorder="1"/>
    <xf numFmtId="6" fontId="3" fillId="0" borderId="2" xfId="0" applyNumberFormat="1" applyFont="1" applyBorder="1"/>
    <xf numFmtId="170" fontId="3" fillId="0" borderId="0" xfId="0" applyNumberFormat="1" applyFont="1"/>
    <xf numFmtId="0" fontId="1" fillId="2" borderId="2" xfId="0" applyFont="1" applyFill="1" applyBorder="1"/>
    <xf numFmtId="170" fontId="1" fillId="0" borderId="2" xfId="0" applyNumberFormat="1" applyFont="1" applyBorder="1"/>
    <xf numFmtId="6" fontId="1" fillId="0" borderId="2" xfId="0" applyNumberFormat="1" applyFont="1" applyBorder="1"/>
    <xf numFmtId="9" fontId="2" fillId="0" borderId="2" xfId="0" applyNumberFormat="1" applyFont="1" applyBorder="1"/>
    <xf numFmtId="0" fontId="20" fillId="0" borderId="11" xfId="0" applyFont="1" applyBorder="1"/>
    <xf numFmtId="6" fontId="20" fillId="0" borderId="12" xfId="0" applyNumberFormat="1" applyFont="1" applyBorder="1"/>
    <xf numFmtId="0" fontId="20" fillId="0" borderId="7" xfId="0" applyFont="1" applyBorder="1"/>
    <xf numFmtId="6" fontId="20" fillId="0" borderId="8" xfId="0" applyNumberFormat="1" applyFont="1" applyBorder="1"/>
    <xf numFmtId="0" fontId="20" fillId="0" borderId="9" xfId="0" applyFont="1" applyBorder="1"/>
    <xf numFmtId="6" fontId="20" fillId="0" borderId="10" xfId="0" applyNumberFormat="1" applyFont="1" applyBorder="1"/>
    <xf numFmtId="9" fontId="3" fillId="0" borderId="3" xfId="0" applyNumberFormat="1" applyFont="1" applyBorder="1" applyAlignment="1">
      <alignment horizontal="right"/>
    </xf>
    <xf numFmtId="164" fontId="1" fillId="0" borderId="0" xfId="0" applyNumberFormat="1" applyFont="1" applyAlignment="1">
      <alignment horizontal="right"/>
    </xf>
    <xf numFmtId="38" fontId="2" fillId="0" borderId="0" xfId="0" applyNumberFormat="1" applyFont="1"/>
    <xf numFmtId="179" fontId="1" fillId="0" borderId="0" xfId="0" applyNumberFormat="1" applyFont="1"/>
    <xf numFmtId="172" fontId="5" fillId="0" borderId="0" xfId="0" applyNumberFormat="1" applyFont="1" applyAlignment="1">
      <alignment horizontal="right"/>
    </xf>
    <xf numFmtId="6" fontId="5" fillId="0" borderId="3" xfId="0" applyNumberFormat="1" applyFont="1" applyBorder="1"/>
    <xf numFmtId="173" fontId="5" fillId="0" borderId="0" xfId="0" applyNumberFormat="1" applyFont="1"/>
    <xf numFmtId="9" fontId="3" fillId="0" borderId="0" xfId="0" applyNumberFormat="1" applyFont="1"/>
    <xf numFmtId="179" fontId="2" fillId="0" borderId="0" xfId="0" applyNumberFormat="1" applyFont="1"/>
    <xf numFmtId="10" fontId="9" fillId="0" borderId="0" xfId="0" applyNumberFormat="1" applyFont="1" applyAlignment="1">
      <alignment horizontal="left"/>
    </xf>
    <xf numFmtId="0" fontId="3" fillId="2" borderId="1" xfId="0" applyFont="1" applyFill="1" applyBorder="1"/>
    <xf numFmtId="14" fontId="2" fillId="0" borderId="0" xfId="0" applyNumberFormat="1" applyFont="1" applyAlignment="1">
      <alignment horizontal="right"/>
    </xf>
    <xf numFmtId="6" fontId="2" fillId="0" borderId="0" xfId="0" applyNumberFormat="1" applyFont="1" applyAlignment="1">
      <alignment horizontal="right"/>
    </xf>
    <xf numFmtId="38" fontId="2" fillId="0" borderId="0" xfId="0" applyNumberFormat="1" applyFont="1" applyAlignment="1">
      <alignment horizontal="right"/>
    </xf>
    <xf numFmtId="40" fontId="2" fillId="0" borderId="0" xfId="0" applyNumberFormat="1" applyFont="1" applyAlignment="1">
      <alignment horizontal="right"/>
    </xf>
    <xf numFmtId="8" fontId="1" fillId="0" borderId="0" xfId="0" applyNumberFormat="1" applyFont="1" applyAlignment="1">
      <alignment horizontal="right"/>
    </xf>
    <xf numFmtId="180" fontId="2" fillId="0" borderId="0" xfId="0" applyNumberFormat="1" applyFont="1" applyAlignment="1">
      <alignment horizontal="right"/>
    </xf>
    <xf numFmtId="0" fontId="23" fillId="0" borderId="0" xfId="0" applyFont="1" applyAlignment="1">
      <alignment horizontal="center"/>
    </xf>
    <xf numFmtId="8" fontId="2" fillId="0" borderId="0" xfId="0" applyNumberFormat="1" applyFont="1" applyAlignment="1">
      <alignment horizontal="right"/>
    </xf>
    <xf numFmtId="6" fontId="3" fillId="3" borderId="4" xfId="0" applyNumberFormat="1" applyFont="1" applyFill="1" applyBorder="1" applyAlignment="1">
      <alignment horizontal="right"/>
    </xf>
    <xf numFmtId="0" fontId="3" fillId="0" borderId="0" xfId="0" applyFont="1" applyAlignment="1">
      <alignment horizontal="center"/>
    </xf>
    <xf numFmtId="0" fontId="1" fillId="0" borderId="0" xfId="0" applyFont="1" applyAlignment="1">
      <alignment horizontal="center"/>
    </xf>
    <xf numFmtId="6" fontId="1" fillId="0" borderId="0" xfId="0" applyNumberFormat="1" applyFont="1" applyAlignment="1">
      <alignment horizontal="center"/>
    </xf>
    <xf numFmtId="10" fontId="3" fillId="3" borderId="4" xfId="0" applyNumberFormat="1" applyFont="1" applyFill="1" applyBorder="1" applyAlignment="1">
      <alignment horizontal="right"/>
    </xf>
    <xf numFmtId="8" fontId="3" fillId="3" borderId="4" xfId="0" applyNumberFormat="1" applyFont="1" applyFill="1" applyBorder="1" applyAlignment="1">
      <alignment horizontal="right"/>
    </xf>
    <xf numFmtId="1" fontId="2" fillId="0" borderId="0" xfId="0" applyNumberFormat="1" applyFont="1" applyAlignment="1">
      <alignment horizontal="right"/>
    </xf>
    <xf numFmtId="5" fontId="1" fillId="0" borderId="0" xfId="0" applyNumberFormat="1" applyFont="1" applyAlignment="1">
      <alignment horizontal="right"/>
    </xf>
    <xf numFmtId="5" fontId="3" fillId="0" borderId="0" xfId="0" applyNumberFormat="1" applyFont="1" applyAlignment="1">
      <alignment horizontal="right"/>
    </xf>
    <xf numFmtId="172" fontId="1" fillId="0" borderId="0" xfId="0" applyNumberFormat="1" applyFont="1" applyAlignment="1">
      <alignment horizontal="right"/>
    </xf>
    <xf numFmtId="176" fontId="1" fillId="0" borderId="0" xfId="0" applyNumberFormat="1" applyFont="1" applyAlignment="1">
      <alignment horizontal="right"/>
    </xf>
    <xf numFmtId="181" fontId="2" fillId="0" borderId="0" xfId="0" applyNumberFormat="1" applyFont="1"/>
    <xf numFmtId="0" fontId="1" fillId="0" borderId="1" xfId="0" applyFont="1" applyBorder="1" applyAlignment="1">
      <alignment horizontal="center"/>
    </xf>
    <xf numFmtId="7" fontId="1" fillId="0" borderId="0" xfId="0" applyNumberFormat="1" applyFont="1" applyAlignment="1">
      <alignment horizontal="center"/>
    </xf>
    <xf numFmtId="178" fontId="1" fillId="0" borderId="0" xfId="0" applyNumberFormat="1" applyFont="1" applyAlignment="1">
      <alignment horizontal="center"/>
    </xf>
    <xf numFmtId="170" fontId="1" fillId="0" borderId="0" xfId="0" applyNumberFormat="1" applyFont="1" applyAlignment="1">
      <alignment horizontal="center"/>
    </xf>
    <xf numFmtId="10" fontId="1" fillId="0" borderId="0" xfId="0" applyNumberFormat="1" applyFont="1" applyAlignment="1">
      <alignment horizontal="center"/>
    </xf>
    <xf numFmtId="6" fontId="3" fillId="0" borderId="0" xfId="0" applyNumberFormat="1" applyFont="1" applyAlignment="1">
      <alignment horizontal="right"/>
    </xf>
    <xf numFmtId="0" fontId="24" fillId="0" borderId="0" xfId="0" applyFont="1"/>
    <xf numFmtId="178" fontId="3" fillId="3" borderId="4" xfId="0" applyNumberFormat="1" applyFont="1" applyFill="1" applyBorder="1" applyAlignment="1">
      <alignment horizontal="right"/>
    </xf>
    <xf numFmtId="0" fontId="5" fillId="0" borderId="0" xfId="0" applyFont="1" applyAlignment="1">
      <alignment horizontal="right"/>
    </xf>
    <xf numFmtId="5" fontId="25" fillId="0" borderId="0" xfId="0" applyNumberFormat="1" applyFont="1"/>
    <xf numFmtId="166" fontId="25" fillId="7" borderId="0" xfId="0" applyNumberFormat="1" applyFont="1" applyFill="1"/>
    <xf numFmtId="179" fontId="25" fillId="7" borderId="0" xfId="0" applyNumberFormat="1" applyFont="1" applyFill="1"/>
    <xf numFmtId="0" fontId="3" fillId="0" borderId="15" xfId="0" applyFont="1" applyBorder="1"/>
    <xf numFmtId="0" fontId="1" fillId="0" borderId="15" xfId="0" applyFont="1" applyBorder="1"/>
    <xf numFmtId="166" fontId="9" fillId="7" borderId="15" xfId="0" applyNumberFormat="1" applyFont="1" applyFill="1" applyBorder="1"/>
    <xf numFmtId="0" fontId="3" fillId="0" borderId="15" xfId="0" applyFont="1" applyBorder="1" applyAlignment="1">
      <alignment horizontal="left"/>
    </xf>
    <xf numFmtId="0" fontId="1" fillId="0" borderId="15" xfId="0" applyFont="1" applyBorder="1" applyAlignment="1">
      <alignment horizontal="center"/>
    </xf>
    <xf numFmtId="6" fontId="1" fillId="0" borderId="1" xfId="0" applyNumberFormat="1" applyFont="1" applyBorder="1" applyAlignment="1">
      <alignment horizontal="right"/>
    </xf>
    <xf numFmtId="172" fontId="3" fillId="3" borderId="20" xfId="0" applyNumberFormat="1" applyFont="1" applyFill="1" applyBorder="1" applyAlignment="1">
      <alignment horizontal="center"/>
    </xf>
    <xf numFmtId="172" fontId="3" fillId="3" borderId="21" xfId="0" applyNumberFormat="1" applyFont="1" applyFill="1" applyBorder="1" applyAlignment="1">
      <alignment horizontal="center"/>
    </xf>
    <xf numFmtId="174" fontId="3" fillId="3" borderId="20" xfId="0" applyNumberFormat="1" applyFont="1" applyFill="1" applyBorder="1" applyAlignment="1">
      <alignment horizontal="center"/>
    </xf>
    <xf numFmtId="174" fontId="3" fillId="3" borderId="21" xfId="0" applyNumberFormat="1" applyFont="1" applyFill="1" applyBorder="1" applyAlignment="1">
      <alignment horizontal="center"/>
    </xf>
    <xf numFmtId="5" fontId="3" fillId="3" borderId="20" xfId="0" applyNumberFormat="1" applyFont="1" applyFill="1" applyBorder="1" applyAlignment="1">
      <alignment horizontal="center"/>
    </xf>
    <xf numFmtId="5" fontId="3" fillId="3" borderId="21" xfId="0" applyNumberFormat="1" applyFont="1" applyFill="1" applyBorder="1" applyAlignment="1">
      <alignment horizontal="center"/>
    </xf>
    <xf numFmtId="5" fontId="3" fillId="3" borderId="22" xfId="0" applyNumberFormat="1" applyFont="1" applyFill="1" applyBorder="1" applyAlignment="1">
      <alignment horizontal="center"/>
    </xf>
    <xf numFmtId="5" fontId="3" fillId="3" borderId="23" xfId="0" applyNumberFormat="1" applyFont="1" applyFill="1" applyBorder="1" applyAlignment="1">
      <alignment horizontal="center"/>
    </xf>
    <xf numFmtId="0" fontId="25" fillId="0" borderId="0" xfId="0" applyFont="1" applyAlignment="1">
      <alignment horizontal="center"/>
    </xf>
    <xf numFmtId="6" fontId="1" fillId="0" borderId="0" xfId="0" quotePrefix="1" applyNumberFormat="1" applyFont="1" applyAlignment="1">
      <alignment horizontal="center"/>
    </xf>
    <xf numFmtId="173" fontId="3" fillId="3" borderId="4" xfId="0" applyNumberFormat="1" applyFont="1" applyFill="1" applyBorder="1" applyAlignment="1">
      <alignment horizontal="right"/>
    </xf>
    <xf numFmtId="181" fontId="1" fillId="0" borderId="0" xfId="0" applyNumberFormat="1" applyFont="1" applyAlignment="1">
      <alignment horizontal="right"/>
    </xf>
    <xf numFmtId="170" fontId="1" fillId="0" borderId="0" xfId="0" applyNumberFormat="1" applyFont="1" applyAlignment="1">
      <alignment horizontal="right"/>
    </xf>
    <xf numFmtId="10" fontId="2" fillId="0" borderId="0" xfId="0" applyNumberFormat="1" applyFont="1" applyAlignment="1">
      <alignment horizontal="right"/>
    </xf>
    <xf numFmtId="6" fontId="3" fillId="0" borderId="3" xfId="0" applyNumberFormat="1" applyFont="1" applyBorder="1" applyAlignment="1">
      <alignment horizontal="right"/>
    </xf>
    <xf numFmtId="10" fontId="5" fillId="0" borderId="0" xfId="0" applyNumberFormat="1" applyFont="1" applyAlignment="1">
      <alignment horizontal="right"/>
    </xf>
    <xf numFmtId="10" fontId="1" fillId="0" borderId="0" xfId="0" applyNumberFormat="1" applyFont="1" applyAlignment="1">
      <alignment horizontal="right"/>
    </xf>
    <xf numFmtId="0" fontId="1" fillId="0" borderId="0" xfId="0" applyFont="1" applyAlignment="1">
      <alignment horizontal="right"/>
    </xf>
    <xf numFmtId="5" fontId="1" fillId="0" borderId="1" xfId="0" applyNumberFormat="1" applyFont="1" applyBorder="1" applyAlignment="1">
      <alignment horizontal="right"/>
    </xf>
    <xf numFmtId="6" fontId="20" fillId="0" borderId="8" xfId="0" applyNumberFormat="1" applyFont="1" applyBorder="1" applyAlignment="1">
      <alignment horizontal="right"/>
    </xf>
    <xf numFmtId="6" fontId="20" fillId="0" borderId="10" xfId="0" applyNumberFormat="1" applyFont="1" applyBorder="1" applyAlignment="1">
      <alignment horizontal="right"/>
    </xf>
    <xf numFmtId="5" fontId="20" fillId="0" borderId="0" xfId="0" applyNumberFormat="1" applyFont="1" applyAlignment="1">
      <alignment horizontal="right"/>
    </xf>
    <xf numFmtId="5" fontId="16" fillId="0" borderId="3" xfId="0" applyNumberFormat="1" applyFont="1" applyBorder="1" applyAlignment="1">
      <alignment horizontal="right"/>
    </xf>
    <xf numFmtId="0" fontId="12" fillId="0" borderId="0" xfId="0" applyFont="1" applyAlignment="1">
      <alignment horizontal="right"/>
    </xf>
    <xf numFmtId="0" fontId="16" fillId="0" borderId="0" xfId="0" applyFont="1" applyAlignment="1">
      <alignment horizontal="right"/>
    </xf>
    <xf numFmtId="0" fontId="18" fillId="0" borderId="0" xfId="0" applyFont="1" applyAlignment="1">
      <alignment horizontal="right"/>
    </xf>
    <xf numFmtId="172" fontId="3" fillId="0" borderId="14" xfId="0" applyNumberFormat="1" applyFont="1" applyBorder="1" applyAlignment="1">
      <alignment horizontal="right"/>
    </xf>
    <xf numFmtId="6" fontId="1" fillId="0" borderId="1" xfId="0" applyNumberFormat="1" applyFont="1" applyBorder="1"/>
    <xf numFmtId="6" fontId="3" fillId="3" borderId="24" xfId="0" applyNumberFormat="1" applyFont="1" applyFill="1" applyBorder="1" applyAlignment="1">
      <alignment horizontal="right"/>
    </xf>
    <xf numFmtId="6" fontId="3" fillId="3" borderId="25" xfId="0" applyNumberFormat="1" applyFont="1" applyFill="1" applyBorder="1" applyAlignment="1">
      <alignment horizontal="right"/>
    </xf>
    <xf numFmtId="0" fontId="3" fillId="0" borderId="15" xfId="0" applyFont="1" applyBorder="1" applyAlignment="1">
      <alignment horizontal="left"/>
    </xf>
    <xf numFmtId="0" fontId="9" fillId="0" borderId="0" xfId="0" applyFont="1" applyAlignment="1">
      <alignment horizontal="left" vertical="top" wrapText="1"/>
    </xf>
    <xf numFmtId="0" fontId="1" fillId="0" borderId="0" xfId="0" quotePrefix="1" applyFont="1" applyAlignment="1">
      <alignment horizontal="left" vertical="top" wrapText="1"/>
    </xf>
    <xf numFmtId="182" fontId="3" fillId="8" borderId="16" xfId="0" applyNumberFormat="1" applyFont="1" applyFill="1" applyBorder="1" applyAlignment="1">
      <alignment horizontal="center"/>
    </xf>
    <xf numFmtId="182" fontId="3" fillId="8" borderId="17" xfId="0" applyNumberFormat="1" applyFont="1" applyFill="1" applyBorder="1" applyAlignment="1">
      <alignment horizontal="center"/>
    </xf>
    <xf numFmtId="6" fontId="3" fillId="8" borderId="18" xfId="0" applyNumberFormat="1" applyFont="1" applyFill="1" applyBorder="1" applyAlignment="1">
      <alignment horizontal="center"/>
    </xf>
    <xf numFmtId="6" fontId="3" fillId="8" borderId="19" xfId="0" applyNumberFormat="1" applyFont="1" applyFill="1" applyBorder="1" applyAlignment="1">
      <alignment horizontal="center"/>
    </xf>
  </cellXfs>
  <cellStyles count="7">
    <cellStyle name="Currency 2" xfId="3" xr:uid="{15A08A24-FBC4-4078-8907-4320E504F57E}"/>
    <cellStyle name="Currency 2 2" xfId="5" xr:uid="{BCAD69C4-1754-47FB-AF5B-C332E7942E94}"/>
    <cellStyle name="Normal" xfId="0" builtinId="0"/>
    <cellStyle name="Normal 1833" xfId="1" xr:uid="{FAAA0EF0-3FDE-4FE2-9353-38F8529C7B8B}"/>
    <cellStyle name="Normal 2" xfId="2" xr:uid="{1B0904E3-831C-468F-A272-BD10B9F71F93}"/>
    <cellStyle name="Normal 2 2" xfId="4" xr:uid="{6060EF40-4EB9-48CC-BA69-E2770FCCE946}"/>
    <cellStyle name="Normal 6 2" xfId="6" xr:uid="{519BB748-5BBF-496D-A1CC-3991B4C472EC}"/>
  </cellStyles>
  <dxfs count="0"/>
  <tableStyles count="0" defaultTableStyle="TableStyleMedium2" defaultPivotStyle="PivotStyleLight16"/>
  <colors>
    <mruColors>
      <color rgb="FFB7FFD3"/>
      <color rgb="FF00800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Barings Colors">
      <a:dk1>
        <a:srgbClr val="002856"/>
      </a:dk1>
      <a:lt1>
        <a:srgbClr val="FFFFFF"/>
      </a:lt1>
      <a:dk2>
        <a:srgbClr val="002856"/>
      </a:dk2>
      <a:lt2>
        <a:srgbClr val="C3C6C8"/>
      </a:lt2>
      <a:accent1>
        <a:srgbClr val="002856"/>
      </a:accent1>
      <a:accent2>
        <a:srgbClr val="00953A"/>
      </a:accent2>
      <a:accent3>
        <a:srgbClr val="778692"/>
      </a:accent3>
      <a:accent4>
        <a:srgbClr val="276092"/>
      </a:accent4>
      <a:accent5>
        <a:srgbClr val="ADC9E8"/>
      </a:accent5>
      <a:accent6>
        <a:srgbClr val="C3C6C8"/>
      </a:accent6>
      <a:hlink>
        <a:srgbClr val="00953A"/>
      </a:hlink>
      <a:folHlink>
        <a:srgbClr val="00953A"/>
      </a:folHlink>
    </a:clrScheme>
    <a:fontScheme name="Barings Fonts">
      <a:majorFont>
        <a:latin typeface="Georgia"/>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B24D9-2576-412F-A8D4-7C2237685716}">
  <sheetPr>
    <tabColor theme="2"/>
    <pageSetUpPr fitToPage="1"/>
  </sheetPr>
  <dimension ref="B1:N27"/>
  <sheetViews>
    <sheetView showGridLines="0" zoomScaleNormal="100" zoomScaleSheetLayoutView="100" workbookViewId="0"/>
  </sheetViews>
  <sheetFormatPr defaultColWidth="7.75" defaultRowHeight="15" outlineLevelCol="1" x14ac:dyDescent="0.25"/>
  <cols>
    <col min="1" max="1" width="1.5" style="77" customWidth="1"/>
    <col min="2" max="2" width="21.625" style="77" customWidth="1"/>
    <col min="3" max="3" width="8.125" style="77" hidden="1" customWidth="1" outlineLevel="1"/>
    <col min="4" max="4" width="11" style="77" bestFit="1" customWidth="1" collapsed="1"/>
    <col min="5" max="5" width="12.875" style="77" bestFit="1" customWidth="1"/>
    <col min="6" max="6" width="3.75" style="77" customWidth="1"/>
    <col min="7" max="7" width="20" style="77" customWidth="1"/>
    <col min="8" max="8" width="12.75" style="77" customWidth="1"/>
    <col min="9" max="9" width="1.875" style="77" customWidth="1"/>
    <col min="10" max="10" width="23.375" style="77" bestFit="1" customWidth="1"/>
    <col min="11" max="11" width="11.25" style="77" customWidth="1"/>
    <col min="12" max="12" width="7.75" style="77"/>
    <col min="13" max="13" width="26.375" style="77" bestFit="1" customWidth="1"/>
    <col min="14" max="14" width="6.625" style="77" bestFit="1" customWidth="1"/>
    <col min="15" max="16384" width="7.75" style="77"/>
  </cols>
  <sheetData>
    <row r="1" spans="2:14" ht="9.75" customHeight="1" x14ac:dyDescent="0.25"/>
    <row r="2" spans="2:14" ht="17.25" x14ac:dyDescent="0.4">
      <c r="B2" s="78" t="str">
        <f>CONCATENATE('Inputs &amp; Summary'!D3, ", ", 'Inputs &amp; Summary'!D4)</f>
        <v>x, Charlotte, NC</v>
      </c>
      <c r="C2" s="78"/>
      <c r="D2" s="78"/>
      <c r="E2" s="78"/>
      <c r="F2" s="78"/>
      <c r="G2" s="78"/>
      <c r="H2" s="78"/>
      <c r="I2" s="78"/>
      <c r="J2" s="78"/>
      <c r="K2" s="78"/>
    </row>
    <row r="3" spans="2:14" ht="17.25" x14ac:dyDescent="0.4">
      <c r="B3" s="78" t="s">
        <v>86</v>
      </c>
      <c r="C3" s="78"/>
      <c r="D3" s="78"/>
      <c r="E3" s="78"/>
      <c r="G3" s="78" t="s">
        <v>87</v>
      </c>
      <c r="H3" s="78"/>
      <c r="I3" s="78"/>
      <c r="J3" s="78"/>
      <c r="K3" s="78"/>
      <c r="M3" s="108" t="str">
        <f>'Inputs &amp; Summary'!J8</f>
        <v>Rental Income</v>
      </c>
      <c r="N3" s="109">
        <f>'Inputs &amp; Summary'!K8</f>
        <v>0</v>
      </c>
    </row>
    <row r="4" spans="2:14" ht="17.25" x14ac:dyDescent="0.4">
      <c r="C4" s="4">
        <v>12</v>
      </c>
      <c r="D4" s="79" t="s">
        <v>88</v>
      </c>
      <c r="E4" s="79" t="s">
        <v>241</v>
      </c>
      <c r="G4" s="78" t="s">
        <v>37</v>
      </c>
      <c r="H4" s="80"/>
      <c r="J4" s="78" t="s">
        <v>38</v>
      </c>
      <c r="K4" s="78"/>
      <c r="M4" s="112" t="str">
        <f>'Inputs &amp; Summary'!J9</f>
        <v>Potential Gross Income</v>
      </c>
      <c r="N4" s="113">
        <f>'Inputs &amp; Summary'!K9</f>
        <v>0</v>
      </c>
    </row>
    <row r="5" spans="2:14" x14ac:dyDescent="0.25">
      <c r="B5" s="6" t="s">
        <v>89</v>
      </c>
      <c r="G5" s="1" t="s">
        <v>39</v>
      </c>
      <c r="H5" s="140" t="str">
        <f>'Inputs &amp; Summary'!P12</f>
        <v>n/a</v>
      </c>
      <c r="J5" s="1" t="s">
        <v>0</v>
      </c>
      <c r="K5" s="140" t="str">
        <f>'Inputs &amp; Summary'!D17</f>
        <v>$x</v>
      </c>
      <c r="M5" s="110" t="str">
        <f>'Inputs &amp; Summary'!J10</f>
        <v>(-) General Vacancy</v>
      </c>
      <c r="N5" s="111">
        <f>'Inputs &amp; Summary'!K10</f>
        <v>0</v>
      </c>
    </row>
    <row r="6" spans="2:14" x14ac:dyDescent="0.25">
      <c r="B6" s="1" t="str">
        <f>'Inputs &amp; Summary'!F8</f>
        <v>Rental Income</v>
      </c>
      <c r="C6" s="2">
        <f>'Inputs &amp; Summary'!G8</f>
        <v>0</v>
      </c>
      <c r="D6" s="91">
        <f>C6*$C$4</f>
        <v>0</v>
      </c>
      <c r="E6" s="91">
        <f>N3*$C$4</f>
        <v>0</v>
      </c>
      <c r="G6" s="1" t="s">
        <v>40</v>
      </c>
      <c r="H6" s="140">
        <f>'Inputs &amp; Summary'!P22</f>
        <v>250</v>
      </c>
      <c r="J6" s="1" t="str">
        <f>'Inputs &amp; Summary'!N15</f>
        <v>Financing Fees</v>
      </c>
      <c r="K6" s="140" t="str">
        <f>'Inputs &amp; Summary'!P15</f>
        <v>n/a</v>
      </c>
      <c r="M6" s="112" t="str">
        <f>'Inputs &amp; Summary'!J11</f>
        <v>(-) Concessions</v>
      </c>
      <c r="N6" s="113">
        <f>'Inputs &amp; Summary'!K11</f>
        <v>0</v>
      </c>
    </row>
    <row r="7" spans="2:14" x14ac:dyDescent="0.25">
      <c r="B7" s="1" t="s">
        <v>90</v>
      </c>
      <c r="C7" s="13">
        <f>'Inputs &amp; Summary'!G10</f>
        <v>0</v>
      </c>
      <c r="D7" s="91">
        <f>C7*$C$4</f>
        <v>0</v>
      </c>
      <c r="E7" s="91">
        <f>N5*$C$4</f>
        <v>0</v>
      </c>
      <c r="G7" s="6" t="s">
        <v>3</v>
      </c>
      <c r="H7" s="141">
        <f>SUM(H5:H6)</f>
        <v>250</v>
      </c>
      <c r="J7" s="1" t="str">
        <f>'Inputs &amp; Summary'!N16</f>
        <v>Closing Costs (Non-Financing)</v>
      </c>
      <c r="K7" s="140" t="str">
        <f>'Inputs &amp; Summary'!P16</f>
        <v>n/a</v>
      </c>
      <c r="M7" s="110" t="str">
        <f>'Inputs &amp; Summary'!J12</f>
        <v>Effective Gross Income</v>
      </c>
      <c r="N7" s="111">
        <f>'Inputs &amp; Summary'!K12</f>
        <v>0</v>
      </c>
    </row>
    <row r="8" spans="2:14" x14ac:dyDescent="0.25">
      <c r="B8" s="14" t="s">
        <v>91</v>
      </c>
      <c r="C8" s="15">
        <f>SUM(C6:C7)</f>
        <v>0</v>
      </c>
      <c r="D8" s="92">
        <f>C8*$C$4</f>
        <v>0</v>
      </c>
      <c r="E8" s="92">
        <f>SUM(E6:E7)</f>
        <v>0</v>
      </c>
      <c r="G8" s="84"/>
      <c r="J8" s="1" t="str">
        <f>'Inputs &amp; Summary'!N17</f>
        <v>Net Buyer's Agent Fee</v>
      </c>
      <c r="K8" s="140" t="str">
        <f>'Inputs &amp; Summary'!P17</f>
        <v>n/a</v>
      </c>
      <c r="M8" s="110" t="str">
        <f>'Inputs &amp; Summary'!J13</f>
        <v>(-) Property Taxes</v>
      </c>
      <c r="N8" s="182" t="str">
        <f ca="1">'Inputs &amp; Summary'!K13</f>
        <v>n/a</v>
      </c>
    </row>
    <row r="9" spans="2:14" x14ac:dyDescent="0.25">
      <c r="B9" s="6"/>
      <c r="C9" s="10"/>
      <c r="D9" s="99"/>
      <c r="E9" s="99"/>
      <c r="G9" s="84"/>
      <c r="J9" s="1" t="str">
        <f>'Inputs &amp; Summary'!N18</f>
        <v>Seller Concessions</v>
      </c>
      <c r="K9" s="140">
        <f>'Inputs &amp; Summary'!P18</f>
        <v>0</v>
      </c>
      <c r="M9" s="110" t="str">
        <f>'Inputs &amp; Summary'!J14</f>
        <v>(-) Insurance</v>
      </c>
      <c r="N9" s="182" t="str">
        <f ca="1">'Inputs &amp; Summary'!K14</f>
        <v>n/a</v>
      </c>
    </row>
    <row r="10" spans="2:14" x14ac:dyDescent="0.25">
      <c r="B10" s="82"/>
      <c r="C10" s="82"/>
      <c r="D10" s="85"/>
      <c r="E10" s="85"/>
      <c r="G10" s="84"/>
      <c r="J10" s="1" t="str">
        <f>'Inputs &amp; Summary'!N21</f>
        <v>Net CapEx (Post-Closing)</v>
      </c>
      <c r="K10" s="140">
        <f>'Inputs &amp; Summary'!P21</f>
        <v>250</v>
      </c>
      <c r="M10" s="110" t="str">
        <f>'Inputs &amp; Summary'!J15</f>
        <v>(-) Management</v>
      </c>
      <c r="N10" s="182" t="str">
        <f>'Inputs &amp; Summary'!K15</f>
        <v>n/a</v>
      </c>
    </row>
    <row r="11" spans="2:14" x14ac:dyDescent="0.25">
      <c r="B11" s="82"/>
      <c r="D11" s="85"/>
      <c r="E11" s="85"/>
      <c r="J11" s="6" t="s">
        <v>3</v>
      </c>
      <c r="K11" s="141">
        <f>SUM(K5:K10)</f>
        <v>250</v>
      </c>
      <c r="M11" s="110" t="str">
        <f>'Inputs &amp; Summary'!J16</f>
        <v>(-) Utilities &amp; HOA Dues</v>
      </c>
      <c r="N11" s="182">
        <f ca="1">'Inputs &amp; Summary'!K16</f>
        <v>0</v>
      </c>
    </row>
    <row r="12" spans="2:14" x14ac:dyDescent="0.25">
      <c r="B12" s="6" t="s">
        <v>95</v>
      </c>
      <c r="D12" s="81"/>
      <c r="E12" s="86"/>
      <c r="M12" s="110" t="str">
        <f>'Inputs &amp; Summary'!J17</f>
        <v>(-) Maintenance &amp; Repairs</v>
      </c>
      <c r="N12" s="182" t="str">
        <f>'Inputs &amp; Summary'!K17</f>
        <v>n/a</v>
      </c>
    </row>
    <row r="13" spans="2:14" ht="17.25" x14ac:dyDescent="0.4">
      <c r="B13" s="1" t="str">
        <f>'Inputs &amp; Summary'!F13</f>
        <v>(-) Property Taxes</v>
      </c>
      <c r="C13" s="184" t="str">
        <f>'Inputs &amp; Summary'!G13</f>
        <v>n/a</v>
      </c>
      <c r="D13" s="81" t="str">
        <f>IFERROR(C13*$C$4, "n/a")</f>
        <v>n/a</v>
      </c>
      <c r="E13" s="81" t="str">
        <f ca="1">IFERROR(N8*$C$4, "n/a")</f>
        <v>n/a</v>
      </c>
      <c r="G13" s="78" t="s">
        <v>92</v>
      </c>
      <c r="H13" s="78"/>
      <c r="I13" s="78"/>
      <c r="J13" s="78"/>
      <c r="K13" s="78"/>
      <c r="M13" s="112" t="str">
        <f>'Inputs &amp; Summary'!J18</f>
        <v>(-) Advertising, Admin &amp; Payroll</v>
      </c>
      <c r="N13" s="183">
        <f ca="1">'Inputs &amp; Summary'!K18</f>
        <v>0</v>
      </c>
    </row>
    <row r="14" spans="2:14" ht="17.25" x14ac:dyDescent="0.4">
      <c r="B14" s="1" t="str">
        <f>'Inputs &amp; Summary'!F14</f>
        <v>(-) Insurance</v>
      </c>
      <c r="C14" s="184" t="str">
        <f ca="1">'Inputs &amp; Summary'!G14</f>
        <v>n/a</v>
      </c>
      <c r="D14" s="81" t="str">
        <f t="shared" ref="D14:D17" ca="1" si="0">IFERROR(C14*$C$4, "n/a")</f>
        <v>n/a</v>
      </c>
      <c r="E14" s="81" t="str">
        <f t="shared" ref="E14:E17" ca="1" si="1">IFERROR(N9*$C$4, "n/a")</f>
        <v>n/a</v>
      </c>
      <c r="G14" s="78" t="s">
        <v>93</v>
      </c>
      <c r="H14" s="78"/>
      <c r="J14" s="78" t="s">
        <v>94</v>
      </c>
      <c r="K14" s="78"/>
      <c r="M14" s="110" t="str">
        <f>'Inputs &amp; Summary'!J19</f>
        <v>Net Operating Income</v>
      </c>
      <c r="N14" s="111">
        <f ca="1">'Inputs &amp; Summary'!K19</f>
        <v>0</v>
      </c>
    </row>
    <row r="15" spans="2:14" x14ac:dyDescent="0.25">
      <c r="B15" s="1" t="str">
        <f>'Inputs &amp; Summary'!F15</f>
        <v>(-) Management</v>
      </c>
      <c r="C15" s="184">
        <f>'Inputs &amp; Summary'!G15</f>
        <v>0</v>
      </c>
      <c r="D15" s="81">
        <f t="shared" si="0"/>
        <v>0</v>
      </c>
      <c r="E15" s="81" t="str">
        <f t="shared" si="1"/>
        <v>n/a</v>
      </c>
      <c r="G15" s="1" t="s">
        <v>96</v>
      </c>
      <c r="H15" s="140" t="str">
        <f>'Inputs &amp; Summary'!D7</f>
        <v>$x</v>
      </c>
      <c r="J15" s="1" t="s">
        <v>129</v>
      </c>
      <c r="K15" s="140" t="str">
        <f>'Inputs &amp; Summary'!O5</f>
        <v>n/a</v>
      </c>
      <c r="M15" s="112" t="str">
        <f>'Inputs &amp; Summary'!J20</f>
        <v>(-) Debt Service</v>
      </c>
      <c r="N15" s="183" t="str">
        <f>'Inputs &amp; Summary'!K20</f>
        <v>n/a</v>
      </c>
    </row>
    <row r="16" spans="2:14" x14ac:dyDescent="0.25">
      <c r="B16" s="1" t="str">
        <f>'Inputs &amp; Summary'!F16</f>
        <v>(-) Utilities &amp; HOA Dues</v>
      </c>
      <c r="C16" s="184">
        <f>'Inputs &amp; Summary'!G16</f>
        <v>0</v>
      </c>
      <c r="D16" s="81">
        <f t="shared" si="0"/>
        <v>0</v>
      </c>
      <c r="E16" s="81">
        <f t="shared" ca="1" si="1"/>
        <v>0</v>
      </c>
      <c r="G16" s="1" t="s">
        <v>0</v>
      </c>
      <c r="H16" s="140" t="str">
        <f>'Inputs &amp; Summary'!D17</f>
        <v>$x</v>
      </c>
      <c r="J16" s="94" t="s">
        <v>53</v>
      </c>
      <c r="K16" s="179" t="str">
        <f ca="1">'Inputs &amp; Summary'!D104</f>
        <v>n/a</v>
      </c>
      <c r="M16" s="112" t="str">
        <f>'Inputs &amp; Summary'!J21</f>
        <v>Cash Flow (Comprehensive)</v>
      </c>
      <c r="N16" s="183" t="str">
        <f ca="1">'Inputs &amp; Summary'!K21</f>
        <v>n/a</v>
      </c>
    </row>
    <row r="17" spans="2:11" ht="15.75" thickBot="1" x14ac:dyDescent="0.3">
      <c r="B17" s="1" t="str">
        <f>'Inputs &amp; Summary'!F17</f>
        <v>(-) Maintenance &amp; Repairs</v>
      </c>
      <c r="C17" s="184" t="str">
        <f>'Inputs &amp; Summary'!G17</f>
        <v>n/a</v>
      </c>
      <c r="D17" s="81" t="str">
        <f t="shared" si="0"/>
        <v>n/a</v>
      </c>
      <c r="E17" s="81" t="str">
        <f t="shared" si="1"/>
        <v>n/a</v>
      </c>
      <c r="G17" s="65" t="s">
        <v>128</v>
      </c>
      <c r="H17" s="142" t="str">
        <f ca="1">'Inputs &amp; Summary'!$G$29</f>
        <v>n/a</v>
      </c>
    </row>
    <row r="18" spans="2:11" ht="15.75" thickBot="1" x14ac:dyDescent="0.3">
      <c r="B18" s="14" t="s">
        <v>102</v>
      </c>
      <c r="C18" s="185">
        <f ca="1">SUM(C13:C17)</f>
        <v>0</v>
      </c>
      <c r="D18" s="83">
        <f ca="1">SUM(D13:D17)</f>
        <v>0</v>
      </c>
      <c r="E18" s="83">
        <f ca="1">SUM(E13:E17)</f>
        <v>0</v>
      </c>
      <c r="G18" s="95" t="s">
        <v>127</v>
      </c>
      <c r="H18" s="189" t="str">
        <f>IFERROR('Annual Proforma'!E20, "n/a")</f>
        <v>n/a</v>
      </c>
      <c r="J18" s="88"/>
      <c r="K18" s="76"/>
    </row>
    <row r="19" spans="2:11" x14ac:dyDescent="0.25">
      <c r="C19" s="186"/>
      <c r="D19" s="87"/>
      <c r="E19" s="87"/>
      <c r="J19" s="84"/>
    </row>
    <row r="20" spans="2:11" ht="17.25" x14ac:dyDescent="0.4">
      <c r="B20" s="6" t="s">
        <v>103</v>
      </c>
      <c r="C20" s="187"/>
      <c r="D20" s="85">
        <f ca="1">SUM(D8,D18)</f>
        <v>0</v>
      </c>
      <c r="E20" s="85">
        <f ca="1">SUM(E8,E18)</f>
        <v>0</v>
      </c>
      <c r="G20" s="78" t="s">
        <v>97</v>
      </c>
      <c r="H20" s="78"/>
      <c r="I20" s="78"/>
      <c r="J20" s="78"/>
      <c r="K20" s="78"/>
    </row>
    <row r="21" spans="2:11" ht="17.25" x14ac:dyDescent="0.4">
      <c r="B21" s="58" t="s">
        <v>32</v>
      </c>
      <c r="C21" s="188"/>
      <c r="D21" s="89" t="str">
        <f ca="1">IFERROR(D20/D8, "n/a")</f>
        <v>n/a</v>
      </c>
      <c r="E21" s="89" t="str">
        <f ca="1">IFERROR(E20/E8, "n/a")</f>
        <v>n/a</v>
      </c>
      <c r="G21" s="78" t="s">
        <v>73</v>
      </c>
      <c r="H21" s="78"/>
      <c r="J21" s="78" t="s">
        <v>74</v>
      </c>
      <c r="K21" s="78"/>
    </row>
    <row r="22" spans="2:11" x14ac:dyDescent="0.25">
      <c r="B22" s="1"/>
      <c r="C22" s="186"/>
      <c r="D22" s="81"/>
      <c r="E22" s="81"/>
      <c r="G22" s="1" t="s">
        <v>80</v>
      </c>
      <c r="H22" s="142" t="str">
        <f ca="1">'Inputs &amp; Summary'!O6</f>
        <v>n/a</v>
      </c>
      <c r="I22" s="1"/>
      <c r="J22" s="1" t="s">
        <v>81</v>
      </c>
      <c r="K22" s="142" t="str">
        <f ca="1">'Inputs &amp; Summary'!P6</f>
        <v>n/a</v>
      </c>
    </row>
    <row r="23" spans="2:11" x14ac:dyDescent="0.25">
      <c r="B23" s="1" t="str">
        <f>'Inputs &amp; Summary'!F20</f>
        <v>(-) Debt Service</v>
      </c>
      <c r="C23" s="184" t="str">
        <f>'Inputs &amp; Summary'!G20</f>
        <v>n/a</v>
      </c>
      <c r="D23" s="81" t="str">
        <f>IFERROR(C23*$C$4, "n/a")</f>
        <v>n/a</v>
      </c>
      <c r="E23" s="81" t="str">
        <f>IFERROR(N15*$C$4, "n/a")</f>
        <v>n/a</v>
      </c>
      <c r="G23" s="65" t="s">
        <v>98</v>
      </c>
      <c r="H23" s="140" t="str">
        <f>'Inputs &amp; Summary'!O8</f>
        <v>n/a</v>
      </c>
      <c r="I23" s="1"/>
      <c r="J23" s="96" t="s">
        <v>99</v>
      </c>
      <c r="K23" s="140" t="str">
        <f>'Inputs &amp; Summary'!P8</f>
        <v>n/a</v>
      </c>
    </row>
    <row r="24" spans="2:11" x14ac:dyDescent="0.25">
      <c r="B24" s="1"/>
      <c r="D24" s="81"/>
      <c r="E24" s="81"/>
      <c r="G24" s="65" t="s">
        <v>100</v>
      </c>
      <c r="H24" s="143" t="str">
        <f ca="1">'Inputs &amp; Summary'!O7</f>
        <v>n/a</v>
      </c>
      <c r="I24" s="1"/>
      <c r="J24" s="96" t="s">
        <v>101</v>
      </c>
      <c r="K24" s="143" t="str">
        <f ca="1">'Inputs &amp; Summary'!P7</f>
        <v>n/a</v>
      </c>
    </row>
    <row r="25" spans="2:11" x14ac:dyDescent="0.25">
      <c r="B25" s="6" t="s">
        <v>65</v>
      </c>
      <c r="C25" s="82"/>
      <c r="D25" s="99">
        <f ca="1">SUM(D20,D23)</f>
        <v>0</v>
      </c>
      <c r="E25" s="99">
        <f ca="1">SUM(E20,E23)</f>
        <v>0</v>
      </c>
      <c r="G25" s="97"/>
      <c r="H25" s="93"/>
      <c r="I25" s="1"/>
      <c r="J25" s="96"/>
      <c r="K25" s="1"/>
    </row>
    <row r="26" spans="2:11" x14ac:dyDescent="0.25">
      <c r="B26" s="1" t="s">
        <v>41</v>
      </c>
      <c r="D26" s="98">
        <f ca="1">D25/'Inputs &amp; Summary'!$P$22</f>
        <v>0</v>
      </c>
      <c r="E26" s="98">
        <f ca="1">E25/'Inputs &amp; Summary'!$P$22</f>
        <v>0</v>
      </c>
      <c r="J26" s="84"/>
    </row>
    <row r="27" spans="2:11" x14ac:dyDescent="0.25">
      <c r="B27" s="1"/>
      <c r="D27" s="98"/>
      <c r="E27" s="98"/>
      <c r="J27" s="84"/>
    </row>
  </sheetData>
  <pageMargins left="0.25" right="0.25" top="0.25" bottom="0.25" header="0.25" footer="0.25"/>
  <pageSetup scale="61" orientation="landscape" r:id="rId1"/>
  <headerFooter>
    <oddFooter>&amp;C_x000D_&amp;1#&amp;"Aptos"&amp;10&amp;K000000 Barings-Public</oddFooter>
  </headerFooter>
  <ignoredErrors>
    <ignoredError sqref="D8" 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pageSetUpPr fitToPage="1"/>
  </sheetPr>
  <dimension ref="A1:Y121"/>
  <sheetViews>
    <sheetView showGridLines="0" tabSelected="1" zoomScaleNormal="100" zoomScaleSheetLayoutView="100" workbookViewId="0"/>
  </sheetViews>
  <sheetFormatPr defaultColWidth="9" defaultRowHeight="15" x14ac:dyDescent="0.25"/>
  <cols>
    <col min="1" max="1" width="2.5" style="131" customWidth="1"/>
    <col min="2" max="2" width="16.25" style="1" bestFit="1" customWidth="1"/>
    <col min="3" max="3" width="12.75" style="1" customWidth="1"/>
    <col min="4" max="4" width="10.25" style="1" bestFit="1" customWidth="1"/>
    <col min="5" max="5" width="6.125" style="1" customWidth="1"/>
    <col min="6" max="6" width="26.375" style="1" bestFit="1" customWidth="1"/>
    <col min="7" max="7" width="9.125" style="1" customWidth="1"/>
    <col min="8" max="8" width="7.125" style="1" customWidth="1"/>
    <col min="9" max="9" width="4.75" style="1" customWidth="1"/>
    <col min="10" max="10" width="26.375" style="1" bestFit="1" customWidth="1"/>
    <col min="11" max="11" width="9.125" style="1" bestFit="1" customWidth="1"/>
    <col min="12" max="12" width="7" style="1" customWidth="1"/>
    <col min="13" max="13" width="6.125" style="1" customWidth="1"/>
    <col min="14" max="14" width="16.25" style="1" customWidth="1"/>
    <col min="15" max="15" width="10" style="1" customWidth="1"/>
    <col min="16" max="16" width="10.25" style="1" customWidth="1"/>
    <col min="17" max="17" width="6.875" style="1" customWidth="1"/>
    <col min="18" max="18" width="10.375" style="135" customWidth="1"/>
    <col min="19" max="19" width="9" style="135" bestFit="1" customWidth="1"/>
    <col min="20" max="20" width="9" style="135" customWidth="1"/>
    <col min="21" max="21" width="14.375" style="135" customWidth="1"/>
    <col min="22" max="22" width="14.375" style="135" bestFit="1" customWidth="1"/>
    <col min="23" max="23" width="11" style="135" bestFit="1" customWidth="1"/>
    <col min="24" max="16384" width="9" style="1"/>
  </cols>
  <sheetData>
    <row r="1" spans="1:25" ht="8.1" customHeight="1" x14ac:dyDescent="0.25"/>
    <row r="2" spans="1:25" ht="15.75" thickBot="1" x14ac:dyDescent="0.3">
      <c r="B2" s="193" t="s">
        <v>121</v>
      </c>
      <c r="C2" s="193"/>
      <c r="D2" s="193"/>
      <c r="F2" s="157" t="s">
        <v>4</v>
      </c>
      <c r="G2" s="157"/>
      <c r="H2" s="157"/>
      <c r="J2" s="157" t="s">
        <v>5</v>
      </c>
      <c r="K2" s="159">
        <f>D57</f>
        <v>3</v>
      </c>
      <c r="L2" s="157"/>
      <c r="N2" s="157" t="s">
        <v>77</v>
      </c>
      <c r="O2" s="157"/>
      <c r="P2" s="158"/>
      <c r="R2" s="160" t="s">
        <v>217</v>
      </c>
      <c r="S2" s="161"/>
      <c r="T2" s="161"/>
      <c r="U2" s="161"/>
      <c r="V2" s="161"/>
      <c r="W2" s="161"/>
    </row>
    <row r="3" spans="1:25" ht="15.75" thickBot="1" x14ac:dyDescent="0.3">
      <c r="A3" s="131" t="s">
        <v>133</v>
      </c>
      <c r="B3" s="1" t="s">
        <v>137</v>
      </c>
      <c r="D3" s="46" t="s">
        <v>133</v>
      </c>
      <c r="F3" s="8" t="s">
        <v>1</v>
      </c>
      <c r="G3" s="145" t="s">
        <v>2</v>
      </c>
      <c r="H3" s="145"/>
      <c r="J3" s="8" t="s">
        <v>1</v>
      </c>
      <c r="K3" s="145" t="s">
        <v>2</v>
      </c>
      <c r="L3" s="145"/>
      <c r="O3" s="134" t="s">
        <v>73</v>
      </c>
      <c r="P3" s="134" t="s">
        <v>74</v>
      </c>
      <c r="R3" s="134" t="s">
        <v>225</v>
      </c>
      <c r="U3" s="134" t="s">
        <v>221</v>
      </c>
      <c r="V3" s="134" t="s">
        <v>221</v>
      </c>
    </row>
    <row r="4" spans="1:25" x14ac:dyDescent="0.25">
      <c r="A4" s="131" t="s">
        <v>133</v>
      </c>
      <c r="B4" s="1" t="s">
        <v>136</v>
      </c>
      <c r="D4" s="46" t="s">
        <v>150</v>
      </c>
      <c r="F4" s="1" t="str">
        <f>D8&amp;" bd + "&amp;D9&amp;" ba"</f>
        <v>x bd + x ba</v>
      </c>
      <c r="G4" s="47">
        <f>D56</f>
        <v>0</v>
      </c>
      <c r="H4" s="129"/>
      <c r="J4" s="1" t="str">
        <f>F4</f>
        <v>x bd + x ba</v>
      </c>
      <c r="K4" s="47" t="str">
        <f>D63</f>
        <v>$x</v>
      </c>
      <c r="N4" s="6" t="s">
        <v>83</v>
      </c>
      <c r="O4" s="196">
        <f>D102/12</f>
        <v>8</v>
      </c>
      <c r="P4" s="197"/>
      <c r="R4" s="134" t="s">
        <v>224</v>
      </c>
      <c r="S4" s="134" t="s">
        <v>201</v>
      </c>
      <c r="T4" s="134" t="s">
        <v>202</v>
      </c>
      <c r="U4" s="134" t="s">
        <v>222</v>
      </c>
      <c r="V4" s="134" t="s">
        <v>223</v>
      </c>
      <c r="W4" s="134" t="s">
        <v>81</v>
      </c>
    </row>
    <row r="5" spans="1:25" x14ac:dyDescent="0.25">
      <c r="A5" s="131" t="s">
        <v>133</v>
      </c>
      <c r="B5" s="1" t="s">
        <v>120</v>
      </c>
      <c r="D5" s="125" t="s">
        <v>237</v>
      </c>
      <c r="F5" s="14" t="s">
        <v>3</v>
      </c>
      <c r="G5" s="15">
        <f>SUM(G4:G4)</f>
        <v>0</v>
      </c>
      <c r="H5" s="75" t="str">
        <f>IFERROR(G5/#REF!,"")</f>
        <v/>
      </c>
      <c r="J5" s="14" t="s">
        <v>3</v>
      </c>
      <c r="K5" s="15">
        <f>SUM(K4:K4)</f>
        <v>0</v>
      </c>
      <c r="L5" s="11"/>
      <c r="N5" s="6" t="s">
        <v>129</v>
      </c>
      <c r="O5" s="198" t="str">
        <f>IFERROR(D17*(1+D97)^(D102/12), "n/a")</f>
        <v>n/a</v>
      </c>
      <c r="P5" s="199"/>
      <c r="R5" s="135">
        <v>0</v>
      </c>
      <c r="S5" s="147">
        <v>7.2499999999999995E-2</v>
      </c>
      <c r="T5" s="148">
        <v>0</v>
      </c>
      <c r="U5" s="172" t="s">
        <v>238</v>
      </c>
      <c r="V5" s="136" t="s">
        <v>238</v>
      </c>
      <c r="W5" s="149" t="s">
        <v>238</v>
      </c>
    </row>
    <row r="6" spans="1:25" x14ac:dyDescent="0.25">
      <c r="A6" s="131" t="s">
        <v>133</v>
      </c>
      <c r="B6" s="1" t="s">
        <v>118</v>
      </c>
      <c r="D6" s="46" t="s">
        <v>133</v>
      </c>
      <c r="N6" s="6" t="s">
        <v>61</v>
      </c>
      <c r="O6" s="163" t="str">
        <f ca="1">IFERROR('Monthly Proforma'!C45, "n/a")</f>
        <v>n/a</v>
      </c>
      <c r="P6" s="164" t="str">
        <f ca="1">IFERROR('Monthly Proforma'!$C$65, "n/a")</f>
        <v>n/a</v>
      </c>
      <c r="R6" s="135">
        <v>1</v>
      </c>
      <c r="S6" s="147">
        <f>S5-0.00125</f>
        <v>7.1249999999999994E-2</v>
      </c>
      <c r="T6" s="148">
        <v>1230</v>
      </c>
      <c r="U6" s="136" t="s">
        <v>238</v>
      </c>
      <c r="V6" s="136" t="s">
        <v>238</v>
      </c>
      <c r="W6" s="149" t="s">
        <v>238</v>
      </c>
    </row>
    <row r="7" spans="1:25" x14ac:dyDescent="0.25">
      <c r="A7" s="131" t="s">
        <v>133</v>
      </c>
      <c r="B7" s="1" t="s">
        <v>96</v>
      </c>
      <c r="D7" s="126" t="s">
        <v>135</v>
      </c>
      <c r="F7" s="7" t="s">
        <v>10</v>
      </c>
      <c r="G7" s="12" t="s">
        <v>7</v>
      </c>
      <c r="H7" s="12" t="s">
        <v>8</v>
      </c>
      <c r="J7" s="7" t="s">
        <v>22</v>
      </c>
      <c r="K7" s="12" t="s">
        <v>7</v>
      </c>
      <c r="L7" s="12" t="s">
        <v>8</v>
      </c>
      <c r="N7" s="6" t="s">
        <v>62</v>
      </c>
      <c r="O7" s="165" t="str">
        <f ca="1">IFERROR('Monthly Proforma'!$C$46, "n/a")</f>
        <v>n/a</v>
      </c>
      <c r="P7" s="166" t="str">
        <f ca="1">IFERROR('Monthly Proforma'!C66, "n/a")</f>
        <v>n/a</v>
      </c>
      <c r="R7" s="135">
        <v>2</v>
      </c>
      <c r="S7" s="147">
        <f t="shared" ref="S7:S15" si="0">S6-0.00125</f>
        <v>6.9999999999999993E-2</v>
      </c>
      <c r="T7" s="148">
        <v>3128</v>
      </c>
      <c r="U7" s="136" t="s">
        <v>238</v>
      </c>
      <c r="V7" s="136" t="s">
        <v>238</v>
      </c>
      <c r="W7" s="149" t="s">
        <v>238</v>
      </c>
    </row>
    <row r="8" spans="1:25" x14ac:dyDescent="0.25">
      <c r="A8" s="131" t="s">
        <v>133</v>
      </c>
      <c r="B8" s="1" t="s">
        <v>116</v>
      </c>
      <c r="D8" s="127" t="s">
        <v>133</v>
      </c>
      <c r="F8" s="9" t="s">
        <v>13</v>
      </c>
      <c r="G8" s="106">
        <f>G5</f>
        <v>0</v>
      </c>
      <c r="H8" s="107"/>
      <c r="J8" s="9" t="s">
        <v>13</v>
      </c>
      <c r="K8" s="106">
        <f>K5</f>
        <v>0</v>
      </c>
      <c r="L8" s="107"/>
      <c r="N8" s="6" t="s">
        <v>63</v>
      </c>
      <c r="O8" s="167" t="str">
        <f>IFERROR('Monthly Proforma'!C47, "n/a")</f>
        <v>n/a</v>
      </c>
      <c r="P8" s="168" t="str">
        <f>IFERROR('Monthly Proforma'!C67, "n/a")</f>
        <v>n/a</v>
      </c>
      <c r="R8" s="135">
        <v>3</v>
      </c>
      <c r="S8" s="147">
        <f t="shared" si="0"/>
        <v>6.8749999999999992E-2</v>
      </c>
      <c r="T8" s="148">
        <v>5027</v>
      </c>
      <c r="U8" s="136" t="s">
        <v>238</v>
      </c>
      <c r="V8" s="136" t="s">
        <v>238</v>
      </c>
      <c r="W8" s="149" t="s">
        <v>238</v>
      </c>
    </row>
    <row r="9" spans="1:25" ht="15.75" thickBot="1" x14ac:dyDescent="0.3">
      <c r="A9" s="131" t="s">
        <v>133</v>
      </c>
      <c r="B9" s="1" t="s">
        <v>117</v>
      </c>
      <c r="D9" s="130" t="s">
        <v>133</v>
      </c>
      <c r="F9" s="6" t="s">
        <v>12</v>
      </c>
      <c r="G9" s="10">
        <f>SUM(G8:G8)</f>
        <v>0</v>
      </c>
      <c r="H9" s="121">
        <v>1</v>
      </c>
      <c r="J9" s="6" t="s">
        <v>12</v>
      </c>
      <c r="K9" s="10">
        <f>SUM(K8:K8)</f>
        <v>0</v>
      </c>
      <c r="L9" s="121">
        <v>1</v>
      </c>
      <c r="N9" s="6" t="s">
        <v>64</v>
      </c>
      <c r="O9" s="169" t="str">
        <f>IFERROR('Monthly Proforma'!C48, "n/a")</f>
        <v>n/a</v>
      </c>
      <c r="P9" s="170" t="str">
        <f>IFERROR('Monthly Proforma'!C68, "n/a")</f>
        <v>n/a</v>
      </c>
      <c r="R9" s="135">
        <v>4</v>
      </c>
      <c r="S9" s="147">
        <v>6.7499999999999991E-2</v>
      </c>
      <c r="T9" s="148">
        <v>6925</v>
      </c>
      <c r="U9" s="136" t="s">
        <v>238</v>
      </c>
      <c r="V9" s="136" t="s">
        <v>238</v>
      </c>
      <c r="W9" s="149" t="s">
        <v>238</v>
      </c>
    </row>
    <row r="10" spans="1:25" x14ac:dyDescent="0.25">
      <c r="A10" s="131" t="s">
        <v>133</v>
      </c>
      <c r="B10" s="1" t="s">
        <v>134</v>
      </c>
      <c r="D10" s="127" t="s">
        <v>133</v>
      </c>
      <c r="G10" s="13"/>
      <c r="H10" s="16"/>
      <c r="J10" s="1" t="s">
        <v>6</v>
      </c>
      <c r="K10" s="13">
        <f>K8*L10</f>
        <v>0</v>
      </c>
      <c r="L10" s="19">
        <f>-D88</f>
        <v>-0.05</v>
      </c>
      <c r="R10" s="135">
        <v>5</v>
      </c>
      <c r="S10" s="147">
        <v>6.6249999999999989E-2</v>
      </c>
      <c r="T10" s="148">
        <v>8824</v>
      </c>
      <c r="U10" s="136" t="s">
        <v>238</v>
      </c>
      <c r="V10" s="136" t="s">
        <v>238</v>
      </c>
      <c r="W10" s="149" t="s">
        <v>238</v>
      </c>
    </row>
    <row r="11" spans="1:25" ht="15.75" thickBot="1" x14ac:dyDescent="0.3">
      <c r="A11" s="131" t="s">
        <v>133</v>
      </c>
      <c r="B11" s="1" t="s">
        <v>130</v>
      </c>
      <c r="D11" s="127" t="s">
        <v>133</v>
      </c>
      <c r="F11" s="1" t="s">
        <v>9</v>
      </c>
      <c r="G11" s="13">
        <v>0</v>
      </c>
      <c r="H11" s="115" t="str">
        <f>IFERROR(G11/G$9, "n/a")</f>
        <v>n/a</v>
      </c>
      <c r="J11" s="1" t="s">
        <v>9</v>
      </c>
      <c r="K11" s="13">
        <f>-D91</f>
        <v>0</v>
      </c>
      <c r="L11" s="115" t="str">
        <f>IFERROR(K11/K$9, "n/a")</f>
        <v>n/a</v>
      </c>
      <c r="N11" s="157" t="s">
        <v>126</v>
      </c>
      <c r="O11" s="157"/>
      <c r="P11" s="158"/>
      <c r="R11" s="135">
        <v>6</v>
      </c>
      <c r="S11" s="147">
        <v>6.4999999999999988E-2</v>
      </c>
      <c r="T11" s="148">
        <v>10798</v>
      </c>
      <c r="U11" s="136" t="s">
        <v>238</v>
      </c>
      <c r="V11" s="136" t="s">
        <v>238</v>
      </c>
      <c r="W11" s="149" t="s">
        <v>238</v>
      </c>
    </row>
    <row r="12" spans="1:25" x14ac:dyDescent="0.25">
      <c r="A12" s="131" t="s">
        <v>133</v>
      </c>
      <c r="B12" s="1" t="s">
        <v>139</v>
      </c>
      <c r="D12" s="127" t="s">
        <v>133</v>
      </c>
      <c r="F12" s="14" t="s">
        <v>11</v>
      </c>
      <c r="G12" s="15">
        <f>SUM(G9:G11)</f>
        <v>0</v>
      </c>
      <c r="H12" s="114" t="str">
        <f>IFERROR(G12/$G$9, "n/a")</f>
        <v>n/a</v>
      </c>
      <c r="J12" s="14" t="s">
        <v>11</v>
      </c>
      <c r="K12" s="177">
        <f>SUM(K9:K11)</f>
        <v>0</v>
      </c>
      <c r="L12" s="114" t="str">
        <f t="shared" ref="L12:L14" si="1">IFERROR(K12/K$9, "n/a")</f>
        <v>n/a</v>
      </c>
      <c r="N12" s="6" t="s">
        <v>47</v>
      </c>
      <c r="P12" s="192" t="str">
        <f>IFERROR(D17*D34, "n/a")</f>
        <v>n/a</v>
      </c>
      <c r="R12" s="135">
        <v>7</v>
      </c>
      <c r="S12" s="147">
        <v>6.3749999999999987E-2</v>
      </c>
      <c r="T12" s="148">
        <v>13051</v>
      </c>
      <c r="U12" s="136" t="s">
        <v>238</v>
      </c>
      <c r="V12" s="136" t="s">
        <v>238</v>
      </c>
      <c r="W12" s="149" t="s">
        <v>238</v>
      </c>
    </row>
    <row r="13" spans="1:25" x14ac:dyDescent="0.25">
      <c r="B13" s="1" t="s">
        <v>131</v>
      </c>
      <c r="D13" s="128" t="s">
        <v>133</v>
      </c>
      <c r="F13" s="1" t="s">
        <v>115</v>
      </c>
      <c r="G13" s="140" t="str">
        <f>IFERROR(-(D70*D68*(D69/1000))/12, "n/a")</f>
        <v>n/a</v>
      </c>
      <c r="H13" s="115" t="str">
        <f>IFERROR(G13/$G$9, "n/a")</f>
        <v>n/a</v>
      </c>
      <c r="I13" s="123"/>
      <c r="J13" s="1" t="s">
        <v>115</v>
      </c>
      <c r="K13" s="140" t="str">
        <f ca="1">IFERROR(INDEX('Monthly Proforma'!E16:DT16, MATCH($K$2, 'Monthly Proforma'!E$8:DT$8, 0)), "n/a")</f>
        <v>n/a</v>
      </c>
      <c r="L13" s="115" t="str">
        <f ca="1">IFERROR(K13/K$9, "n/a")</f>
        <v>n/a</v>
      </c>
      <c r="P13" s="47"/>
      <c r="R13" s="135">
        <v>8</v>
      </c>
      <c r="S13" s="147">
        <v>6.2499999999999986E-2</v>
      </c>
      <c r="T13" s="148">
        <v>15536</v>
      </c>
      <c r="U13" s="136" t="s">
        <v>238</v>
      </c>
      <c r="V13" s="136" t="s">
        <v>238</v>
      </c>
      <c r="W13" s="149" t="s">
        <v>238</v>
      </c>
    </row>
    <row r="14" spans="1:25" x14ac:dyDescent="0.25">
      <c r="B14" s="1" t="s">
        <v>146</v>
      </c>
      <c r="D14" s="128" t="s">
        <v>133</v>
      </c>
      <c r="F14" s="1" t="s">
        <v>14</v>
      </c>
      <c r="G14" s="140" t="str">
        <f ca="1">IFERROR(-(((D10*D76)/100)*D77*MIN(1.6, (1+D78+D79))*(1+D80))/12, "n/a")</f>
        <v>n/a</v>
      </c>
      <c r="H14" s="115" t="str">
        <f ca="1">IFERROR(G14/$G$9, "n/a")</f>
        <v>n/a</v>
      </c>
      <c r="J14" s="1" t="s">
        <v>14</v>
      </c>
      <c r="K14" s="140" t="str">
        <f ca="1">IFERROR(INDEX('Monthly Proforma'!E17:DT17, MATCH($K$2, 'Monthly Proforma'!E$8:DT$8, 0)), "n/a")</f>
        <v>n/a</v>
      </c>
      <c r="L14" s="115" t="str">
        <f t="shared" ca="1" si="1"/>
        <v>n/a</v>
      </c>
      <c r="N14" s="1" t="s">
        <v>212</v>
      </c>
      <c r="P14" s="47" t="str">
        <f>IFERROR(D17-P12, "n/a")</f>
        <v>n/a</v>
      </c>
      <c r="R14" s="135">
        <v>9</v>
      </c>
      <c r="S14" s="147">
        <v>6.1249999999999985E-2</v>
      </c>
      <c r="T14" s="148">
        <v>18463</v>
      </c>
      <c r="U14" s="136" t="s">
        <v>238</v>
      </c>
      <c r="V14" s="136" t="s">
        <v>238</v>
      </c>
      <c r="W14" s="149" t="s">
        <v>238</v>
      </c>
    </row>
    <row r="15" spans="1:25" x14ac:dyDescent="0.25">
      <c r="D15" s="116"/>
      <c r="F15" s="1" t="s">
        <v>15</v>
      </c>
      <c r="G15" s="13">
        <f>G12*H15</f>
        <v>0</v>
      </c>
      <c r="H15" s="19">
        <f>-D89</f>
        <v>-0.08</v>
      </c>
      <c r="J15" s="1" t="s">
        <v>15</v>
      </c>
      <c r="K15" s="140" t="str">
        <f>IFERROR(INDEX('Monthly Proforma'!E18:DT18, MATCH($K$2, 'Monthly Proforma'!E$8:DT$8, 0)), "n/a")</f>
        <v>n/a</v>
      </c>
      <c r="L15" s="115">
        <f>H15</f>
        <v>-0.08</v>
      </c>
      <c r="N15" s="1" t="s">
        <v>210</v>
      </c>
      <c r="P15" s="47" t="str">
        <f>IFERROR(D47+D40+D49, "n/a")</f>
        <v>n/a</v>
      </c>
      <c r="R15" s="135">
        <v>10</v>
      </c>
      <c r="S15" s="147">
        <f t="shared" si="0"/>
        <v>5.9999999999999984E-2</v>
      </c>
      <c r="T15" s="148">
        <v>21627</v>
      </c>
      <c r="U15" s="136" t="s">
        <v>238</v>
      </c>
      <c r="V15" s="136" t="s">
        <v>238</v>
      </c>
      <c r="W15" s="149" t="s">
        <v>238</v>
      </c>
    </row>
    <row r="16" spans="1:25" ht="15" customHeight="1" thickBot="1" x14ac:dyDescent="0.3">
      <c r="B16" s="193" t="s">
        <v>169</v>
      </c>
      <c r="C16" s="193"/>
      <c r="D16" s="193"/>
      <c r="F16" s="1" t="s">
        <v>132</v>
      </c>
      <c r="G16" s="13">
        <f>-D90</f>
        <v>0</v>
      </c>
      <c r="H16" s="115" t="str">
        <f>IFERROR(G16/$G$9, "n/a")</f>
        <v>n/a</v>
      </c>
      <c r="J16" s="1" t="s">
        <v>132</v>
      </c>
      <c r="K16" s="140">
        <f ca="1">IFERROR(INDEX('Monthly Proforma'!E19:DT19, MATCH($K$2, 'Monthly Proforma'!E$8:DT$8, 0)), "n/a")</f>
        <v>0</v>
      </c>
      <c r="L16" s="115" t="str">
        <f t="shared" ref="L16:L19" ca="1" si="2">IFERROR(K16/K$9, "n/a")</f>
        <v>n/a</v>
      </c>
      <c r="N16" s="1" t="s">
        <v>170</v>
      </c>
      <c r="P16" s="47" t="str">
        <f>IFERROR(D23, "n/a")</f>
        <v>n/a</v>
      </c>
      <c r="R16" s="194" t="s">
        <v>214</v>
      </c>
      <c r="S16" s="194"/>
      <c r="T16" s="194"/>
      <c r="W16" s="194" t="s">
        <v>239</v>
      </c>
      <c r="X16" s="194"/>
      <c r="Y16" s="194"/>
    </row>
    <row r="17" spans="1:25" x14ac:dyDescent="0.25">
      <c r="A17" s="131" t="s">
        <v>133</v>
      </c>
      <c r="B17" s="1" t="s">
        <v>0</v>
      </c>
      <c r="D17" s="126" t="s">
        <v>135</v>
      </c>
      <c r="F17" s="1" t="s">
        <v>85</v>
      </c>
      <c r="G17" s="140" t="str">
        <f>IFERROR(-((D10*D83)+(D11*D84))/12, "n/a")</f>
        <v>n/a</v>
      </c>
      <c r="H17" s="115" t="str">
        <f>IFERROR(G17/$G$9, "n/a")</f>
        <v>n/a</v>
      </c>
      <c r="J17" s="1" t="s">
        <v>85</v>
      </c>
      <c r="K17" s="140" t="str">
        <f>IFERROR(INDEX('Monthly Proforma'!E20:DT20, MATCH($K$2, 'Monthly Proforma'!E$8:DT$8, 0)), "n/a")</f>
        <v>n/a</v>
      </c>
      <c r="L17" s="115" t="str">
        <f t="shared" si="2"/>
        <v>n/a</v>
      </c>
      <c r="N17" s="1" t="s">
        <v>220</v>
      </c>
      <c r="P17" s="47" t="str">
        <f>IFERROR((D21-D27)*D17, "n/a")</f>
        <v>n/a</v>
      </c>
      <c r="R17" s="194"/>
      <c r="S17" s="194"/>
      <c r="T17" s="194"/>
      <c r="W17" s="194"/>
      <c r="X17" s="194"/>
      <c r="Y17" s="194"/>
    </row>
    <row r="18" spans="1:25" x14ac:dyDescent="0.25">
      <c r="B18" s="6" t="s">
        <v>167</v>
      </c>
      <c r="D18" s="137" t="str">
        <f>IFERROR(($D$7-D17)/$D$7, "n/a")</f>
        <v>n/a</v>
      </c>
      <c r="F18" s="1" t="s">
        <v>203</v>
      </c>
      <c r="G18" s="13">
        <f>-D92</f>
        <v>0</v>
      </c>
      <c r="H18" s="115" t="str">
        <f>IFERROR(G18/$G$9, "n/a")</f>
        <v>n/a</v>
      </c>
      <c r="J18" s="1" t="s">
        <v>203</v>
      </c>
      <c r="K18" s="181">
        <f ca="1">IFERROR(INDEX('Monthly Proforma'!E21:DT21, MATCH($K$2, 'Monthly Proforma'!E$8:DT$8, 0)), "n/a")</f>
        <v>0</v>
      </c>
      <c r="L18" s="115" t="str">
        <f t="shared" ca="1" si="2"/>
        <v>n/a</v>
      </c>
      <c r="N18" s="8" t="s">
        <v>211</v>
      </c>
      <c r="O18" s="8"/>
      <c r="P18" s="190">
        <f>-D28</f>
        <v>0</v>
      </c>
      <c r="R18" s="194"/>
      <c r="S18" s="194"/>
      <c r="T18" s="194"/>
      <c r="W18" s="194"/>
      <c r="X18" s="194"/>
      <c r="Y18" s="194"/>
    </row>
    <row r="19" spans="1:25" ht="15" customHeight="1" x14ac:dyDescent="0.25">
      <c r="B19" s="6" t="s">
        <v>174</v>
      </c>
      <c r="D19" s="133" t="str">
        <f>IFERROR(D17/D10, "n/a")</f>
        <v>n/a</v>
      </c>
      <c r="F19" s="14" t="s">
        <v>16</v>
      </c>
      <c r="G19" s="15">
        <f ca="1">SUM(G12:G18)</f>
        <v>0</v>
      </c>
      <c r="H19" s="114" t="str">
        <f ca="1">IFERROR(G19/$G$9, "n/a")</f>
        <v>n/a</v>
      </c>
      <c r="J19" s="14" t="s">
        <v>16</v>
      </c>
      <c r="K19" s="15">
        <f ca="1">SUM(K12:K18)</f>
        <v>0</v>
      </c>
      <c r="L19" s="114" t="str">
        <f t="shared" ca="1" si="2"/>
        <v>n/a</v>
      </c>
      <c r="N19" s="6" t="s">
        <v>218</v>
      </c>
      <c r="P19" s="191">
        <f>IFERROR(SUM(P14:P18), "n/a")</f>
        <v>0</v>
      </c>
      <c r="R19" s="194"/>
      <c r="S19" s="194"/>
      <c r="T19" s="194"/>
      <c r="W19" s="194"/>
      <c r="X19" s="194"/>
      <c r="Y19" s="194"/>
    </row>
    <row r="20" spans="1:25" x14ac:dyDescent="0.25">
      <c r="A20" s="131" t="s">
        <v>133</v>
      </c>
      <c r="B20" s="1" t="s">
        <v>24</v>
      </c>
      <c r="D20" s="125">
        <f ca="1">TODAY()+30</f>
        <v>46174</v>
      </c>
      <c r="F20" s="1" t="s">
        <v>19</v>
      </c>
      <c r="G20" s="140" t="str">
        <f>IFERROR(IF($D$43="Yes",-$D$45,-$D$42), "n/a")</f>
        <v>n/a</v>
      </c>
      <c r="J20" s="1" t="s">
        <v>19</v>
      </c>
      <c r="K20" s="140" t="str">
        <f>IFERROR(-D42, "n/a")</f>
        <v>n/a</v>
      </c>
      <c r="N20" s="6"/>
      <c r="P20" s="150"/>
      <c r="R20" s="194"/>
      <c r="S20" s="194"/>
      <c r="T20" s="194"/>
    </row>
    <row r="21" spans="1:25" x14ac:dyDescent="0.25">
      <c r="B21" s="1" t="s">
        <v>208</v>
      </c>
      <c r="D21" s="21">
        <v>2.5000000000000001E-2</v>
      </c>
      <c r="F21" s="14" t="s">
        <v>187</v>
      </c>
      <c r="G21" s="177" t="str">
        <f ca="1">IFERROR(G19+G20, "n/a")</f>
        <v>n/a</v>
      </c>
      <c r="H21" s="119"/>
      <c r="J21" s="14" t="s">
        <v>187</v>
      </c>
      <c r="K21" s="177" t="str">
        <f ca="1">IFERROR(K19+K20, "n/a")</f>
        <v>n/a</v>
      </c>
      <c r="L21" s="119"/>
      <c r="N21" s="8" t="s">
        <v>207</v>
      </c>
      <c r="O21" s="8"/>
      <c r="P21" s="162">
        <f>IFERROR((D52-D26)+D53, "n/a")</f>
        <v>250</v>
      </c>
      <c r="R21" s="146"/>
    </row>
    <row r="22" spans="1:25" x14ac:dyDescent="0.25">
      <c r="B22" s="1" t="s">
        <v>198</v>
      </c>
      <c r="D22" s="46" t="s">
        <v>43</v>
      </c>
      <c r="F22" s="6" t="s">
        <v>196</v>
      </c>
      <c r="G22" s="150" t="str">
        <f ca="1">IFERROR((G8+G13+G14+G15+G16+G18)+G20, "n/a")</f>
        <v>n/a</v>
      </c>
      <c r="J22" s="6" t="s">
        <v>196</v>
      </c>
      <c r="K22" s="150" t="str">
        <f ca="1">IFERROR((K8+K13+K14+K15+K16+K18)+K20, "n/a")</f>
        <v>n/a</v>
      </c>
      <c r="N22" s="6" t="s">
        <v>213</v>
      </c>
      <c r="P22" s="191">
        <f>IFERROR(SUM(P14:P18)+P21, "n/a")</f>
        <v>250</v>
      </c>
    </row>
    <row r="23" spans="1:25" x14ac:dyDescent="0.25">
      <c r="B23" s="6" t="s">
        <v>170</v>
      </c>
      <c r="D23" s="133" t="str">
        <f>IFERROR(700+IF(D11=1, 0, IF(D11&lt;5, (D11-1)*300, (D11-1)*120))+995+394+50+IF(D22="Yes", 800, 0)+(0.0025*D17), "n/a")</f>
        <v>n/a</v>
      </c>
      <c r="N23" s="6" t="s">
        <v>244</v>
      </c>
      <c r="P23" s="133" t="str">
        <f>IFERROR(LoanAmount+P22, "n/a")</f>
        <v>n/a</v>
      </c>
    </row>
    <row r="24" spans="1:25" ht="15" customHeight="1" x14ac:dyDescent="0.25">
      <c r="F24" s="6" t="s">
        <v>188</v>
      </c>
      <c r="G24" s="173" t="str">
        <f ca="1">IFERROR(G19/-G20, "n/a")</f>
        <v>n/a</v>
      </c>
      <c r="H24" s="22"/>
      <c r="J24" s="6" t="s">
        <v>188</v>
      </c>
      <c r="K24" s="173" t="str">
        <f ca="1">IFERROR(K19/-K20, "n/a")</f>
        <v>n/a</v>
      </c>
      <c r="L24" s="22"/>
    </row>
    <row r="25" spans="1:25" ht="15.75" thickBot="1" x14ac:dyDescent="0.3">
      <c r="B25" s="193" t="s">
        <v>172</v>
      </c>
      <c r="C25" s="193"/>
      <c r="D25" s="193"/>
      <c r="F25" s="6" t="s">
        <v>197</v>
      </c>
      <c r="G25" s="173" t="str">
        <f ca="1">IFERROR((G8+G13+G14)/-G20, "n/a")</f>
        <v>n/a</v>
      </c>
      <c r="H25" s="22"/>
      <c r="J25" s="6" t="s">
        <v>197</v>
      </c>
      <c r="K25" s="173" t="str">
        <f ca="1">IFERROR((K8+K13+K14)/-K20, "n/a")</f>
        <v>n/a</v>
      </c>
      <c r="L25" s="22"/>
      <c r="N25" s="157" t="s">
        <v>138</v>
      </c>
      <c r="O25" s="158"/>
      <c r="P25" s="158"/>
      <c r="R25" s="146"/>
    </row>
    <row r="26" spans="1:25" x14ac:dyDescent="0.25">
      <c r="A26" s="131" t="s">
        <v>133</v>
      </c>
      <c r="B26" s="1" t="s">
        <v>171</v>
      </c>
      <c r="D26" s="126">
        <v>0</v>
      </c>
      <c r="F26" s="6" t="s">
        <v>242</v>
      </c>
      <c r="G26" s="137" t="str">
        <f ca="1">IFERROR((G21*12)/$P$22, "n/a")</f>
        <v>n/a</v>
      </c>
      <c r="J26" s="6" t="s">
        <v>242</v>
      </c>
      <c r="K26" s="137" t="str">
        <f ca="1">IFERROR((K21*12)/$P$22, "n/a")</f>
        <v>n/a</v>
      </c>
      <c r="N26" s="195" t="s">
        <v>240</v>
      </c>
      <c r="O26" s="195"/>
      <c r="P26" s="195"/>
    </row>
    <row r="27" spans="1:25" x14ac:dyDescent="0.25">
      <c r="A27" s="131" t="s">
        <v>133</v>
      </c>
      <c r="B27" s="1" t="s">
        <v>209</v>
      </c>
      <c r="D27" s="21">
        <v>2.5000000000000001E-2</v>
      </c>
      <c r="F27" s="6" t="s">
        <v>243</v>
      </c>
      <c r="G27" s="137" t="str">
        <f ca="1">IFERROR((G22*12)/$P$22, "n/a")</f>
        <v>n/a</v>
      </c>
      <c r="J27" s="6" t="s">
        <v>243</v>
      </c>
      <c r="K27" s="137" t="str">
        <f ca="1">IFERROR((K22*12)/$P$22, "n/a")</f>
        <v>n/a</v>
      </c>
      <c r="N27" s="195"/>
      <c r="O27" s="195"/>
      <c r="P27" s="195"/>
    </row>
    <row r="28" spans="1:25" x14ac:dyDescent="0.25">
      <c r="A28" s="131" t="s">
        <v>133</v>
      </c>
      <c r="B28" s="1" t="s">
        <v>211</v>
      </c>
      <c r="D28" s="126">
        <v>0</v>
      </c>
      <c r="G28" s="2"/>
      <c r="H28" s="2"/>
      <c r="K28" s="2"/>
      <c r="L28" s="2"/>
      <c r="N28" s="195"/>
      <c r="O28" s="195"/>
      <c r="P28" s="195"/>
    </row>
    <row r="29" spans="1:25" x14ac:dyDescent="0.25">
      <c r="B29" s="6" t="s">
        <v>164</v>
      </c>
      <c r="D29" s="137" t="str">
        <f>IFERROR(D28/D17, "n/a")</f>
        <v>n/a</v>
      </c>
      <c r="F29" s="6" t="s">
        <v>177</v>
      </c>
      <c r="G29" s="137" t="str">
        <f ca="1">IFERROR((G19*12)/$D$17, "n/a")</f>
        <v>n/a</v>
      </c>
      <c r="H29" s="178" t="str">
        <f ca="1">IFERROR((G19*12)/$P$23, "n/a")</f>
        <v>n/a</v>
      </c>
      <c r="J29" s="6" t="s">
        <v>177</v>
      </c>
      <c r="K29" s="137" t="str">
        <f ca="1">IFERROR((K19*12)/$D$17, "n/a")</f>
        <v>n/a</v>
      </c>
      <c r="L29" s="178" t="str">
        <f ca="1">IFERROR((K19*12)/$P$23, "n/a")</f>
        <v>n/a</v>
      </c>
      <c r="N29" s="195"/>
      <c r="O29" s="195"/>
      <c r="P29" s="195"/>
    </row>
    <row r="30" spans="1:25" x14ac:dyDescent="0.25">
      <c r="B30" s="6" t="s">
        <v>166</v>
      </c>
      <c r="D30" s="133" t="str">
        <f>IFERROR(D17-(D26+(D27*D17)+D28), "n/a")</f>
        <v>n/a</v>
      </c>
      <c r="F30" s="1" t="s">
        <v>44</v>
      </c>
      <c r="G30" s="179" t="str">
        <f>IFERROR((G20*12)/$P$12, "n/a")</f>
        <v>n/a</v>
      </c>
      <c r="J30" s="1" t="s">
        <v>44</v>
      </c>
      <c r="K30" s="179" t="str">
        <f>IFERROR((K20*12)/$P$12, "n/a")</f>
        <v>n/a</v>
      </c>
      <c r="L30" s="180"/>
      <c r="N30" s="195"/>
      <c r="O30" s="195"/>
      <c r="P30" s="195"/>
    </row>
    <row r="31" spans="1:25" x14ac:dyDescent="0.25">
      <c r="B31" s="6" t="s">
        <v>168</v>
      </c>
      <c r="D31" s="137" t="str">
        <f>IFERROR(($D$7-D30)/$D$7, "n/a")</f>
        <v>n/a</v>
      </c>
      <c r="F31" s="14" t="s">
        <v>45</v>
      </c>
      <c r="G31" s="137" t="str">
        <f ca="1">IFERROR(G29+G30, "n/a")</f>
        <v>n/a</v>
      </c>
      <c r="J31" s="14" t="s">
        <v>45</v>
      </c>
      <c r="K31" s="137" t="str">
        <f ca="1">IFERROR(K29+K30, "n/a")</f>
        <v>n/a</v>
      </c>
      <c r="L31" s="180"/>
      <c r="N31" s="195"/>
      <c r="O31" s="195"/>
      <c r="P31" s="195"/>
    </row>
    <row r="32" spans="1:25" x14ac:dyDescent="0.25">
      <c r="N32" s="195"/>
      <c r="O32" s="195"/>
      <c r="P32" s="195"/>
    </row>
    <row r="33" spans="1:16" ht="15.75" thickBot="1" x14ac:dyDescent="0.3">
      <c r="B33" s="193" t="s">
        <v>76</v>
      </c>
      <c r="C33" s="193"/>
      <c r="D33" s="193"/>
      <c r="G33" s="96"/>
      <c r="N33" s="195"/>
      <c r="O33" s="195"/>
      <c r="P33" s="195"/>
    </row>
    <row r="34" spans="1:16" x14ac:dyDescent="0.25">
      <c r="B34" s="1" t="s">
        <v>46</v>
      </c>
      <c r="D34" s="20">
        <v>0.8</v>
      </c>
      <c r="N34" s="195"/>
      <c r="O34" s="195"/>
      <c r="P34" s="195"/>
    </row>
    <row r="35" spans="1:16" x14ac:dyDescent="0.25">
      <c r="A35" s="131" t="s">
        <v>133</v>
      </c>
      <c r="B35" s="1" t="s">
        <v>162</v>
      </c>
      <c r="D35" s="90">
        <v>7.2499999999999995E-2</v>
      </c>
      <c r="N35" s="195"/>
      <c r="O35" s="195"/>
      <c r="P35" s="195"/>
    </row>
    <row r="36" spans="1:16" x14ac:dyDescent="0.25">
      <c r="A36" s="131" t="s">
        <v>133</v>
      </c>
      <c r="B36" s="1" t="s">
        <v>160</v>
      </c>
      <c r="D36" s="4">
        <v>0</v>
      </c>
      <c r="N36" s="195"/>
      <c r="O36" s="195"/>
      <c r="P36" s="195"/>
    </row>
    <row r="37" spans="1:16" x14ac:dyDescent="0.25">
      <c r="A37" s="131" t="s">
        <v>133</v>
      </c>
      <c r="B37" s="1" t="s">
        <v>200</v>
      </c>
      <c r="D37" s="176" t="str">
        <f>IFERROR((T13/R13)/LoanAmount, "n/a")</f>
        <v>n/a</v>
      </c>
      <c r="N37" s="195"/>
      <c r="O37" s="195"/>
      <c r="P37" s="195"/>
    </row>
    <row r="38" spans="1:16" x14ac:dyDescent="0.25">
      <c r="B38" s="1" t="s">
        <v>161</v>
      </c>
      <c r="D38" s="90">
        <v>1.25E-3</v>
      </c>
      <c r="N38" s="195"/>
      <c r="O38" s="195"/>
      <c r="P38" s="195"/>
    </row>
    <row r="39" spans="1:16" x14ac:dyDescent="0.25">
      <c r="B39" s="6" t="s">
        <v>163</v>
      </c>
      <c r="D39" s="152">
        <f>D35-(D36*D38)</f>
        <v>7.2499999999999995E-2</v>
      </c>
      <c r="N39" s="195"/>
      <c r="O39" s="195"/>
      <c r="P39" s="195"/>
    </row>
    <row r="40" spans="1:16" x14ac:dyDescent="0.25">
      <c r="B40" s="6" t="s">
        <v>159</v>
      </c>
      <c r="D40" s="133" t="str">
        <f>IFERROR(D36*(D37*P12), "n/a")</f>
        <v>n/a</v>
      </c>
      <c r="N40" s="195"/>
      <c r="O40" s="195"/>
      <c r="P40" s="195"/>
    </row>
    <row r="41" spans="1:16" x14ac:dyDescent="0.25">
      <c r="B41" s="1" t="s">
        <v>111</v>
      </c>
      <c r="D41" s="4">
        <v>30</v>
      </c>
      <c r="N41" s="195"/>
      <c r="O41" s="195"/>
      <c r="P41" s="195"/>
    </row>
    <row r="42" spans="1:16" x14ac:dyDescent="0.25">
      <c r="B42" s="6" t="s">
        <v>18</v>
      </c>
      <c r="D42" s="133" t="str">
        <f>IFERROR(PMT(D39/12,D41*12,-P12), "n/a")</f>
        <v>n/a</v>
      </c>
      <c r="N42" s="195"/>
      <c r="O42" s="195"/>
      <c r="P42" s="195"/>
    </row>
    <row r="43" spans="1:16" x14ac:dyDescent="0.25">
      <c r="B43" s="1" t="s">
        <v>123</v>
      </c>
      <c r="D43" s="46" t="s">
        <v>43</v>
      </c>
      <c r="N43" s="195"/>
      <c r="O43" s="195"/>
      <c r="P43" s="195"/>
    </row>
    <row r="44" spans="1:16" x14ac:dyDescent="0.25">
      <c r="B44" s="1" t="s">
        <v>42</v>
      </c>
      <c r="D44" s="4">
        <v>0</v>
      </c>
      <c r="N44" s="195"/>
      <c r="O44" s="195"/>
      <c r="P44" s="195"/>
    </row>
    <row r="45" spans="1:16" x14ac:dyDescent="0.25">
      <c r="B45" s="1" t="s">
        <v>124</v>
      </c>
      <c r="D45" s="47" t="str">
        <f>IF(D43="Yes",($D$35*$P$12)/12,"n/a")</f>
        <v>n/a</v>
      </c>
      <c r="N45" s="195"/>
      <c r="O45" s="195"/>
      <c r="P45" s="195"/>
    </row>
    <row r="46" spans="1:16" x14ac:dyDescent="0.25">
      <c r="B46" s="1" t="s">
        <v>199</v>
      </c>
      <c r="D46" s="21">
        <f>8535/506250</f>
        <v>1.6859259259259258E-2</v>
      </c>
      <c r="N46" s="195"/>
      <c r="O46" s="195"/>
      <c r="P46" s="195"/>
    </row>
    <row r="47" spans="1:16" x14ac:dyDescent="0.25">
      <c r="B47" s="6" t="s">
        <v>219</v>
      </c>
      <c r="D47" s="133" t="str">
        <f>IFERROR(P12*D46, "n/a")</f>
        <v>n/a</v>
      </c>
      <c r="N47" s="195"/>
      <c r="O47" s="195"/>
      <c r="P47" s="195"/>
    </row>
    <row r="48" spans="1:16" x14ac:dyDescent="0.25">
      <c r="A48" s="131" t="s">
        <v>133</v>
      </c>
      <c r="B48" s="1" t="s">
        <v>205</v>
      </c>
      <c r="D48" s="4">
        <v>5</v>
      </c>
      <c r="N48" s="195"/>
      <c r="O48" s="195"/>
      <c r="P48" s="195"/>
    </row>
    <row r="49" spans="1:16" x14ac:dyDescent="0.25">
      <c r="B49" s="6" t="s">
        <v>206</v>
      </c>
      <c r="D49" s="133">
        <f>1495+695+1000+300+(D48*350)</f>
        <v>5240</v>
      </c>
      <c r="N49" s="195"/>
      <c r="O49" s="195"/>
      <c r="P49" s="195"/>
    </row>
    <row r="50" spans="1:16" x14ac:dyDescent="0.25">
      <c r="N50" s="195"/>
      <c r="O50" s="195"/>
      <c r="P50" s="195"/>
    </row>
    <row r="51" spans="1:16" ht="15.75" thickBot="1" x14ac:dyDescent="0.3">
      <c r="B51" s="193" t="s">
        <v>122</v>
      </c>
      <c r="C51" s="193"/>
      <c r="D51" s="193"/>
      <c r="E51" s="5"/>
      <c r="N51" s="195"/>
      <c r="O51" s="195"/>
      <c r="P51" s="195"/>
    </row>
    <row r="52" spans="1:16" x14ac:dyDescent="0.25">
      <c r="A52" s="131" t="s">
        <v>133</v>
      </c>
      <c r="B52" s="1" t="s">
        <v>245</v>
      </c>
      <c r="D52" s="3">
        <v>250</v>
      </c>
      <c r="N52" s="195"/>
      <c r="O52" s="195"/>
      <c r="P52" s="195"/>
    </row>
    <row r="53" spans="1:16" x14ac:dyDescent="0.25">
      <c r="B53" s="1" t="s">
        <v>125</v>
      </c>
      <c r="D53" s="126">
        <v>0</v>
      </c>
      <c r="N53" s="195"/>
      <c r="O53" s="195"/>
      <c r="P53" s="195"/>
    </row>
    <row r="54" spans="1:16" x14ac:dyDescent="0.25">
      <c r="D54" s="126"/>
      <c r="N54" s="195"/>
      <c r="O54" s="195"/>
      <c r="P54" s="195"/>
    </row>
    <row r="55" spans="1:16" ht="15.75" thickBot="1" x14ac:dyDescent="0.3">
      <c r="B55" s="193" t="s">
        <v>158</v>
      </c>
      <c r="C55" s="193"/>
      <c r="D55" s="193"/>
      <c r="N55" s="195"/>
      <c r="O55" s="195"/>
      <c r="P55" s="195"/>
    </row>
    <row r="56" spans="1:16" x14ac:dyDescent="0.25">
      <c r="A56" s="131" t="s">
        <v>133</v>
      </c>
      <c r="B56" s="1" t="s">
        <v>30</v>
      </c>
      <c r="D56" s="126">
        <v>0</v>
      </c>
      <c r="N56" s="195"/>
      <c r="O56" s="195"/>
      <c r="P56" s="195"/>
    </row>
    <row r="57" spans="1:16" x14ac:dyDescent="0.25">
      <c r="A57" s="131" t="s">
        <v>133</v>
      </c>
      <c r="B57" s="1" t="s">
        <v>173</v>
      </c>
      <c r="D57" s="139">
        <v>3</v>
      </c>
      <c r="N57" s="195"/>
      <c r="O57" s="195"/>
      <c r="P57" s="195"/>
    </row>
    <row r="58" spans="1:16" x14ac:dyDescent="0.25">
      <c r="A58" s="131" t="s">
        <v>133</v>
      </c>
      <c r="B58" s="1" t="s">
        <v>181</v>
      </c>
      <c r="D58" s="126" t="s">
        <v>135</v>
      </c>
      <c r="N58" s="195"/>
      <c r="O58" s="195"/>
      <c r="P58" s="195"/>
    </row>
    <row r="59" spans="1:16" x14ac:dyDescent="0.25">
      <c r="A59" s="131" t="s">
        <v>133</v>
      </c>
      <c r="B59" s="1" t="s">
        <v>182</v>
      </c>
      <c r="D59" s="126" t="s">
        <v>135</v>
      </c>
      <c r="N59" s="195"/>
      <c r="O59" s="195"/>
      <c r="P59" s="195"/>
    </row>
    <row r="60" spans="1:16" x14ac:dyDescent="0.25">
      <c r="A60" s="131" t="s">
        <v>133</v>
      </c>
      <c r="B60" s="1" t="s">
        <v>183</v>
      </c>
      <c r="D60" s="126" t="s">
        <v>135</v>
      </c>
      <c r="N60" s="195"/>
      <c r="O60" s="195"/>
      <c r="P60" s="195"/>
    </row>
    <row r="61" spans="1:16" x14ac:dyDescent="0.25">
      <c r="A61" s="131" t="s">
        <v>133</v>
      </c>
      <c r="B61" s="1" t="s">
        <v>184</v>
      </c>
      <c r="D61" s="126" t="s">
        <v>135</v>
      </c>
      <c r="N61" s="195"/>
      <c r="O61" s="195"/>
      <c r="P61" s="195"/>
    </row>
    <row r="62" spans="1:16" x14ac:dyDescent="0.25">
      <c r="A62" s="131" t="s">
        <v>133</v>
      </c>
      <c r="B62" s="1" t="s">
        <v>186</v>
      </c>
      <c r="D62" s="126" t="s">
        <v>135</v>
      </c>
      <c r="N62" s="195"/>
      <c r="O62" s="195"/>
      <c r="P62" s="195"/>
    </row>
    <row r="63" spans="1:16" x14ac:dyDescent="0.25">
      <c r="A63" s="1"/>
      <c r="B63" s="6" t="s">
        <v>157</v>
      </c>
      <c r="D63" s="133" t="str">
        <f>IFERROR(AVERAGE(D58:D62), "$x")</f>
        <v>$x</v>
      </c>
      <c r="N63" s="195"/>
      <c r="O63" s="195"/>
      <c r="P63" s="195"/>
    </row>
    <row r="64" spans="1:16" x14ac:dyDescent="0.25">
      <c r="A64" s="1"/>
      <c r="B64" s="6" t="s">
        <v>175</v>
      </c>
      <c r="D64" s="138" t="str">
        <f>IFERROR(D63/D10,"n/a")</f>
        <v>n/a</v>
      </c>
      <c r="N64" s="195"/>
      <c r="O64" s="195"/>
      <c r="P64" s="195"/>
    </row>
    <row r="65" spans="1:16" x14ac:dyDescent="0.25">
      <c r="A65" s="1"/>
      <c r="B65" s="6" t="s">
        <v>176</v>
      </c>
      <c r="D65" s="137" t="str">
        <f>IFERROR(D63/P23, "n/a")</f>
        <v>n/a</v>
      </c>
      <c r="N65" s="195"/>
      <c r="O65" s="195"/>
      <c r="P65" s="195"/>
    </row>
    <row r="66" spans="1:16" x14ac:dyDescent="0.25">
      <c r="N66" s="195"/>
      <c r="O66" s="195"/>
      <c r="P66" s="195"/>
    </row>
    <row r="67" spans="1:16" ht="15.75" thickBot="1" x14ac:dyDescent="0.3">
      <c r="B67" s="193" t="s">
        <v>112</v>
      </c>
      <c r="C67" s="193"/>
      <c r="D67" s="193"/>
      <c r="N67" s="195"/>
      <c r="O67" s="195"/>
      <c r="P67" s="195"/>
    </row>
    <row r="68" spans="1:16" x14ac:dyDescent="0.25">
      <c r="A68" s="131" t="s">
        <v>133</v>
      </c>
      <c r="B68" s="1" t="s">
        <v>113</v>
      </c>
      <c r="D68" s="72">
        <v>1</v>
      </c>
      <c r="N68" s="195"/>
      <c r="O68" s="195"/>
      <c r="P68" s="195"/>
    </row>
    <row r="69" spans="1:16" x14ac:dyDescent="0.25">
      <c r="A69" s="131" t="s">
        <v>133</v>
      </c>
      <c r="B69" s="1" t="s">
        <v>114</v>
      </c>
      <c r="D69" s="122">
        <v>7.7</v>
      </c>
      <c r="N69" s="195"/>
      <c r="O69" s="195"/>
      <c r="P69" s="195"/>
    </row>
    <row r="70" spans="1:16" x14ac:dyDescent="0.25">
      <c r="A70" s="131" t="s">
        <v>133</v>
      </c>
      <c r="B70" s="1" t="s">
        <v>235</v>
      </c>
      <c r="D70" s="126" t="s">
        <v>135</v>
      </c>
      <c r="N70" s="195"/>
      <c r="O70" s="195"/>
      <c r="P70" s="195"/>
    </row>
    <row r="71" spans="1:16" x14ac:dyDescent="0.25">
      <c r="A71" s="131" t="s">
        <v>133</v>
      </c>
      <c r="B71" s="1" t="s">
        <v>236</v>
      </c>
      <c r="D71" s="4">
        <v>2027</v>
      </c>
      <c r="N71" s="195"/>
      <c r="O71" s="195"/>
      <c r="P71" s="195"/>
    </row>
    <row r="72" spans="1:16" x14ac:dyDescent="0.25">
      <c r="A72" s="131" t="s">
        <v>133</v>
      </c>
      <c r="B72" s="1" t="s">
        <v>226</v>
      </c>
      <c r="D72" s="122">
        <v>4</v>
      </c>
      <c r="N72" s="195"/>
      <c r="O72" s="195"/>
      <c r="P72" s="195"/>
    </row>
    <row r="73" spans="1:16" x14ac:dyDescent="0.25">
      <c r="B73" s="6" t="s">
        <v>165</v>
      </c>
      <c r="D73" s="137" t="str">
        <f>IFERROR(-(G13*12)/D17, "n/a")</f>
        <v>n/a</v>
      </c>
      <c r="N73" s="195"/>
      <c r="O73" s="195"/>
      <c r="P73" s="195"/>
    </row>
    <row r="74" spans="1:16" x14ac:dyDescent="0.25">
      <c r="N74" s="195"/>
      <c r="O74" s="195"/>
      <c r="P74" s="195"/>
    </row>
    <row r="75" spans="1:16" ht="15.75" thickBot="1" x14ac:dyDescent="0.3">
      <c r="B75" s="193" t="s">
        <v>151</v>
      </c>
      <c r="C75" s="193"/>
      <c r="D75" s="193"/>
      <c r="N75" s="195"/>
      <c r="O75" s="195"/>
      <c r="P75" s="195"/>
    </row>
    <row r="76" spans="1:16" x14ac:dyDescent="0.25">
      <c r="B76" s="1" t="s">
        <v>152</v>
      </c>
      <c r="D76" s="126">
        <v>150</v>
      </c>
      <c r="N76" s="195"/>
      <c r="O76" s="195"/>
      <c r="P76" s="195"/>
    </row>
    <row r="77" spans="1:16" x14ac:dyDescent="0.25">
      <c r="B77" s="1" t="s">
        <v>191</v>
      </c>
      <c r="D77" s="132">
        <v>0.65</v>
      </c>
      <c r="N77" s="195"/>
      <c r="O77" s="195"/>
      <c r="P77" s="195"/>
    </row>
    <row r="78" spans="1:16" x14ac:dyDescent="0.25">
      <c r="B78" s="1" t="s">
        <v>192</v>
      </c>
      <c r="D78" s="174" t="str">
        <f>IFERROR(MIN(0.3, (0.1*LN($D$11))), "n/a")</f>
        <v>n/a</v>
      </c>
      <c r="N78" s="195"/>
      <c r="O78" s="195"/>
      <c r="P78" s="195"/>
    </row>
    <row r="79" spans="1:16" x14ac:dyDescent="0.25">
      <c r="B79" s="1" t="s">
        <v>193</v>
      </c>
      <c r="D79" s="174" t="str">
        <f ca="1">IFERROR(MIN(0.3, (0.15*((YEAR(TODAY())-$D$6)/40))), "n/a")</f>
        <v>n/a</v>
      </c>
      <c r="N79" s="195"/>
      <c r="O79" s="195"/>
      <c r="P79" s="195"/>
    </row>
    <row r="80" spans="1:16" x14ac:dyDescent="0.25">
      <c r="A80" s="131" t="s">
        <v>133</v>
      </c>
      <c r="B80" s="1" t="s">
        <v>195</v>
      </c>
      <c r="D80" s="144">
        <v>0</v>
      </c>
      <c r="N80" s="195"/>
      <c r="O80" s="195"/>
      <c r="P80" s="195"/>
    </row>
    <row r="81" spans="1:16" x14ac:dyDescent="0.25">
      <c r="N81" s="195"/>
      <c r="O81" s="195"/>
      <c r="P81" s="195"/>
    </row>
    <row r="82" spans="1:16" ht="15.75" thickBot="1" x14ac:dyDescent="0.3">
      <c r="B82" s="193" t="s">
        <v>185</v>
      </c>
      <c r="C82" s="193"/>
      <c r="D82" s="193"/>
      <c r="N82" s="195"/>
      <c r="O82" s="195"/>
      <c r="P82" s="195"/>
    </row>
    <row r="83" spans="1:16" x14ac:dyDescent="0.25">
      <c r="A83" s="131" t="s">
        <v>133</v>
      </c>
      <c r="B83" s="1" t="s">
        <v>189</v>
      </c>
      <c r="D83" s="132">
        <v>0.8</v>
      </c>
      <c r="N83" s="195"/>
      <c r="O83" s="195"/>
      <c r="P83" s="195"/>
    </row>
    <row r="84" spans="1:16" x14ac:dyDescent="0.25">
      <c r="A84" s="131" t="s">
        <v>133</v>
      </c>
      <c r="B84" s="1" t="s">
        <v>190</v>
      </c>
      <c r="D84" s="126">
        <v>250</v>
      </c>
      <c r="N84" s="195"/>
      <c r="O84" s="195"/>
      <c r="P84" s="195"/>
    </row>
    <row r="85" spans="1:16" x14ac:dyDescent="0.25">
      <c r="B85" s="6" t="s">
        <v>194</v>
      </c>
      <c r="D85" s="138" t="str">
        <f>IFERROR(-(G17*12)/D10, "n/a")</f>
        <v>n/a</v>
      </c>
      <c r="N85" s="195"/>
      <c r="O85" s="195"/>
      <c r="P85" s="195"/>
    </row>
    <row r="86" spans="1:16" x14ac:dyDescent="0.25">
      <c r="N86" s="195"/>
      <c r="O86" s="195"/>
      <c r="P86" s="195"/>
    </row>
    <row r="87" spans="1:16" ht="15.75" thickBot="1" x14ac:dyDescent="0.3">
      <c r="B87" s="193" t="s">
        <v>153</v>
      </c>
      <c r="C87" s="193"/>
      <c r="D87" s="193"/>
      <c r="N87" s="195"/>
      <c r="O87" s="195"/>
      <c r="P87" s="195"/>
    </row>
    <row r="88" spans="1:16" x14ac:dyDescent="0.25">
      <c r="A88" s="131" t="s">
        <v>133</v>
      </c>
      <c r="B88" s="1" t="s">
        <v>154</v>
      </c>
      <c r="D88" s="16">
        <v>0.05</v>
      </c>
      <c r="N88" s="195"/>
      <c r="O88" s="195"/>
      <c r="P88" s="195"/>
    </row>
    <row r="89" spans="1:16" x14ac:dyDescent="0.25">
      <c r="A89" s="131" t="s">
        <v>133</v>
      </c>
      <c r="B89" s="1" t="s">
        <v>180</v>
      </c>
      <c r="D89" s="16">
        <v>0.08</v>
      </c>
      <c r="N89" s="195"/>
      <c r="O89" s="195"/>
      <c r="P89" s="195"/>
    </row>
    <row r="90" spans="1:16" x14ac:dyDescent="0.25">
      <c r="A90" s="131" t="s">
        <v>133</v>
      </c>
      <c r="B90" s="1" t="s">
        <v>155</v>
      </c>
      <c r="D90" s="126">
        <v>0</v>
      </c>
      <c r="E90" s="58"/>
      <c r="N90" s="195"/>
      <c r="O90" s="195"/>
      <c r="P90" s="195"/>
    </row>
    <row r="91" spans="1:16" x14ac:dyDescent="0.25">
      <c r="B91" s="1" t="s">
        <v>156</v>
      </c>
      <c r="D91" s="126">
        <v>0</v>
      </c>
      <c r="N91" s="195"/>
      <c r="O91" s="195"/>
      <c r="P91" s="195"/>
    </row>
    <row r="92" spans="1:16" x14ac:dyDescent="0.25">
      <c r="B92" s="1" t="s">
        <v>204</v>
      </c>
      <c r="D92" s="126">
        <v>0</v>
      </c>
      <c r="E92" s="58"/>
      <c r="N92" s="195"/>
      <c r="O92" s="195"/>
      <c r="P92" s="195"/>
    </row>
    <row r="93" spans="1:16" x14ac:dyDescent="0.25">
      <c r="N93" s="195"/>
      <c r="O93" s="195"/>
      <c r="P93" s="195"/>
    </row>
    <row r="94" spans="1:16" ht="15.75" thickBot="1" x14ac:dyDescent="0.3">
      <c r="B94" s="193" t="s">
        <v>231</v>
      </c>
      <c r="C94" s="193"/>
      <c r="D94" s="193"/>
      <c r="N94" s="195"/>
      <c r="O94" s="195"/>
      <c r="P94" s="195"/>
    </row>
    <row r="95" spans="1:16" x14ac:dyDescent="0.25">
      <c r="A95" s="131" t="s">
        <v>133</v>
      </c>
      <c r="B95" s="1" t="s">
        <v>232</v>
      </c>
      <c r="D95" s="21">
        <v>2.5000000000000001E-2</v>
      </c>
      <c r="N95" s="195"/>
      <c r="O95" s="195"/>
      <c r="P95" s="195"/>
    </row>
    <row r="96" spans="1:16" x14ac:dyDescent="0.25">
      <c r="A96" s="131" t="s">
        <v>133</v>
      </c>
      <c r="B96" s="1" t="s">
        <v>23</v>
      </c>
      <c r="D96" s="21">
        <v>2.5000000000000001E-2</v>
      </c>
      <c r="N96" s="195"/>
      <c r="O96" s="195"/>
      <c r="P96" s="195"/>
    </row>
    <row r="97" spans="1:16" x14ac:dyDescent="0.25">
      <c r="A97" s="131" t="s">
        <v>133</v>
      </c>
      <c r="B97" s="1" t="s">
        <v>145</v>
      </c>
      <c r="D97" s="21">
        <v>5.5E-2</v>
      </c>
      <c r="N97" s="195"/>
      <c r="O97" s="195"/>
      <c r="P97" s="195"/>
    </row>
    <row r="98" spans="1:16" x14ac:dyDescent="0.25">
      <c r="A98" s="131" t="s">
        <v>133</v>
      </c>
      <c r="B98" s="1" t="s">
        <v>229</v>
      </c>
      <c r="D98" s="21">
        <v>0.04</v>
      </c>
      <c r="N98" s="195"/>
      <c r="O98" s="195"/>
      <c r="P98" s="195"/>
    </row>
    <row r="99" spans="1:16" x14ac:dyDescent="0.25">
      <c r="A99" s="131" t="s">
        <v>133</v>
      </c>
      <c r="B99" s="1" t="s">
        <v>230</v>
      </c>
      <c r="D99" s="21">
        <v>7.4999999999999997E-3</v>
      </c>
      <c r="N99" s="195"/>
      <c r="O99" s="195"/>
      <c r="P99" s="195"/>
    </row>
    <row r="100" spans="1:16" x14ac:dyDescent="0.25">
      <c r="D100" s="20"/>
      <c r="N100" s="195"/>
      <c r="O100" s="195"/>
      <c r="P100" s="195"/>
    </row>
    <row r="101" spans="1:16" ht="15.75" thickBot="1" x14ac:dyDescent="0.3">
      <c r="B101" s="193" t="s">
        <v>52</v>
      </c>
      <c r="C101" s="193"/>
      <c r="D101" s="193"/>
      <c r="N101" s="195"/>
      <c r="O101" s="195"/>
      <c r="P101" s="195"/>
    </row>
    <row r="102" spans="1:16" x14ac:dyDescent="0.25">
      <c r="A102" s="131" t="s">
        <v>133</v>
      </c>
      <c r="B102" s="1" t="s">
        <v>54</v>
      </c>
      <c r="D102" s="4">
        <v>96</v>
      </c>
      <c r="N102" s="195"/>
      <c r="O102" s="195"/>
      <c r="P102" s="195"/>
    </row>
    <row r="103" spans="1:16" x14ac:dyDescent="0.25">
      <c r="B103" s="1" t="s">
        <v>79</v>
      </c>
      <c r="D103" s="175" t="str">
        <f ca="1">IFERROR(SUM(OFFSET(INDEX('Monthly Proforma'!$D$22:$DT$22,0,MATCH(D102,'Monthly Proforma'!$D$8:$DT$8,0)-11),,,,12)), "n/a")</f>
        <v>n/a</v>
      </c>
      <c r="N103" s="195"/>
      <c r="O103" s="195"/>
      <c r="P103" s="195"/>
    </row>
    <row r="104" spans="1:16" x14ac:dyDescent="0.25">
      <c r="B104" s="6" t="s">
        <v>53</v>
      </c>
      <c r="D104" s="137" t="str">
        <f ca="1">IFERROR(D103/O5, "n/a")</f>
        <v>n/a</v>
      </c>
      <c r="N104" s="195"/>
      <c r="O104" s="195"/>
      <c r="P104" s="195"/>
    </row>
    <row r="105" spans="1:16" x14ac:dyDescent="0.25">
      <c r="A105" s="131" t="s">
        <v>133</v>
      </c>
      <c r="B105" s="1" t="s">
        <v>179</v>
      </c>
      <c r="D105" s="21">
        <f>0.05 + 0.015 + 0 + 0.005</f>
        <v>7.0000000000000007E-2</v>
      </c>
      <c r="N105" s="195"/>
      <c r="O105" s="195"/>
      <c r="P105" s="195"/>
    </row>
    <row r="106" spans="1:16" x14ac:dyDescent="0.25">
      <c r="B106" s="6" t="s">
        <v>59</v>
      </c>
      <c r="D106" s="133" t="str">
        <f>IFERROR(O5*(1-D105), "n/a")</f>
        <v>n/a</v>
      </c>
      <c r="N106" s="195"/>
      <c r="O106" s="195"/>
      <c r="P106" s="195"/>
    </row>
    <row r="107" spans="1:16" x14ac:dyDescent="0.25">
      <c r="N107" s="195"/>
      <c r="O107" s="195"/>
      <c r="P107" s="195"/>
    </row>
    <row r="108" spans="1:16" x14ac:dyDescent="0.25">
      <c r="B108" s="151" t="s">
        <v>216</v>
      </c>
      <c r="N108" s="195"/>
      <c r="O108" s="195"/>
      <c r="P108" s="195"/>
    </row>
    <row r="109" spans="1:16" ht="15.75" thickBot="1" x14ac:dyDescent="0.3">
      <c r="B109" s="193" t="s">
        <v>104</v>
      </c>
      <c r="C109" s="193"/>
      <c r="D109" s="193"/>
      <c r="N109" s="195"/>
      <c r="O109" s="195"/>
      <c r="P109" s="195"/>
    </row>
    <row r="110" spans="1:16" x14ac:dyDescent="0.25">
      <c r="B110" s="1" t="s">
        <v>109</v>
      </c>
      <c r="D110" s="4">
        <v>60</v>
      </c>
      <c r="N110" s="195"/>
      <c r="O110" s="195"/>
      <c r="P110" s="195"/>
    </row>
    <row r="111" spans="1:16" x14ac:dyDescent="0.25">
      <c r="B111" s="1" t="s">
        <v>215</v>
      </c>
      <c r="D111" s="117">
        <f>D110/12</f>
        <v>5</v>
      </c>
      <c r="N111" s="195"/>
      <c r="O111" s="195"/>
      <c r="P111" s="195"/>
    </row>
    <row r="112" spans="1:16" x14ac:dyDescent="0.25">
      <c r="B112" s="1" t="s">
        <v>110</v>
      </c>
      <c r="D112" s="175" t="str">
        <f ca="1">IFERROR(SUM(OFFSET(INDEX('Monthly Proforma'!$D$22:$DT$22,0,MATCH(D110,'Monthly Proforma'!$D$8:$DT$8,0)-11),,,,12)), "n/a")</f>
        <v>n/a</v>
      </c>
      <c r="N112" s="195"/>
      <c r="O112" s="195"/>
      <c r="P112" s="195"/>
    </row>
    <row r="113" spans="2:16" x14ac:dyDescent="0.25">
      <c r="B113" s="1" t="s">
        <v>119</v>
      </c>
      <c r="D113" s="176" t="str">
        <f ca="1">D104</f>
        <v>n/a</v>
      </c>
      <c r="N113" s="195"/>
      <c r="O113" s="195"/>
      <c r="P113" s="195"/>
    </row>
    <row r="114" spans="2:16" x14ac:dyDescent="0.25">
      <c r="B114" s="1" t="s">
        <v>105</v>
      </c>
      <c r="D114" s="175" t="str">
        <f>IFERROR(D17*((1+D97)^(D110/12)), "n/a")</f>
        <v>n/a</v>
      </c>
    </row>
    <row r="115" spans="2:16" x14ac:dyDescent="0.25">
      <c r="B115" s="1" t="s">
        <v>107</v>
      </c>
      <c r="D115" s="20">
        <v>0.8</v>
      </c>
    </row>
    <row r="116" spans="2:16" x14ac:dyDescent="0.25">
      <c r="B116" s="1" t="s">
        <v>47</v>
      </c>
      <c r="D116" s="175" t="str">
        <f>IFERROR(D114*D115, "n/a")</f>
        <v>n/a</v>
      </c>
    </row>
    <row r="117" spans="2:16" x14ac:dyDescent="0.25">
      <c r="B117" s="6" t="s">
        <v>108</v>
      </c>
      <c r="D117" s="133" t="str">
        <f>IFERROR(D116-P12, "n/a")</f>
        <v>n/a</v>
      </c>
    </row>
    <row r="118" spans="2:16" x14ac:dyDescent="0.25">
      <c r="B118" s="1" t="s">
        <v>106</v>
      </c>
      <c r="D118" s="1">
        <f>D110/12</f>
        <v>5</v>
      </c>
    </row>
    <row r="119" spans="2:16" x14ac:dyDescent="0.25">
      <c r="B119" s="1" t="s">
        <v>17</v>
      </c>
      <c r="D119" s="90">
        <f>D35-0.01</f>
        <v>6.2499999999999993E-2</v>
      </c>
    </row>
    <row r="120" spans="2:16" x14ac:dyDescent="0.25">
      <c r="B120" s="1" t="s">
        <v>111</v>
      </c>
      <c r="D120" s="4">
        <v>30</v>
      </c>
    </row>
    <row r="121" spans="2:16" x14ac:dyDescent="0.25">
      <c r="B121" s="6" t="s">
        <v>178</v>
      </c>
      <c r="D121" s="133" t="str">
        <f>IFERROR(PMT(D119/12,D120*12,-D116), "n/a")</f>
        <v>n/a</v>
      </c>
    </row>
  </sheetData>
  <mergeCells count="18">
    <mergeCell ref="O4:P4"/>
    <mergeCell ref="O5:P5"/>
    <mergeCell ref="B87:D87"/>
    <mergeCell ref="B2:D2"/>
    <mergeCell ref="B25:D25"/>
    <mergeCell ref="B33:D33"/>
    <mergeCell ref="B51:D51"/>
    <mergeCell ref="B67:D67"/>
    <mergeCell ref="B16:D16"/>
    <mergeCell ref="B94:D94"/>
    <mergeCell ref="B101:D101"/>
    <mergeCell ref="B109:D109"/>
    <mergeCell ref="B55:D55"/>
    <mergeCell ref="W16:Y19"/>
    <mergeCell ref="B82:D82"/>
    <mergeCell ref="B75:D75"/>
    <mergeCell ref="R16:T20"/>
    <mergeCell ref="N26:P113"/>
  </mergeCells>
  <conditionalFormatting sqref="W5:W15">
    <cfRule type="colorScale" priority="1">
      <colorScale>
        <cfvo type="min"/>
        <cfvo type="percentile" val="50"/>
        <cfvo type="max"/>
        <color rgb="FFF8696B"/>
        <color rgb="FFFFEB84"/>
        <color rgb="FF63BE7B"/>
      </colorScale>
    </cfRule>
  </conditionalFormatting>
  <dataValidations count="1">
    <dataValidation type="list" allowBlank="1" showInputMessage="1" showErrorMessage="1" sqref="D43 D22" xr:uid="{0E52A16C-71EA-448B-B039-194B936E84DF}">
      <formula1>"Yes, No"</formula1>
    </dataValidation>
  </dataValidations>
  <pageMargins left="0.25" right="0.25" top="0.25" bottom="0.25" header="0.25" footer="0.25"/>
  <pageSetup scale="48" orientation="landscape" r:id="rId1"/>
  <headerFooter>
    <oddFooter>&amp;C_x000D_&amp;1#&amp;"Aptos"&amp;10&amp;K000000 Barings-Public</oddFooter>
  </headerFooter>
  <colBreaks count="1" manualBreakCount="1">
    <brk id="14" max="1048575" man="1"/>
  </colBreaks>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60878CA7-DC25-4E23-BD13-A0631933B4BA}">
          <x14:formula1>
            <xm:f>'Data Validation'!$A$1:$A$5</xm:f>
          </x14:formula1>
          <xm:sqref>D12</xm:sqref>
        </x14:dataValidation>
        <x14:dataValidation type="list" allowBlank="1" showInputMessage="1" showErrorMessage="1" xr:uid="{4492EF43-ADB8-42C7-B8C1-62D20637362C}">
          <x14:formula1>
            <xm:f>'Data Validation'!$B$1:$B$3</xm:f>
          </x14:formula1>
          <xm:sqref>D14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3088A-6340-4907-B661-44E1A88C07A5}">
  <dimension ref="A1:B5"/>
  <sheetViews>
    <sheetView workbookViewId="0"/>
  </sheetViews>
  <sheetFormatPr defaultRowHeight="14.25" x14ac:dyDescent="0.2"/>
  <cols>
    <col min="1" max="1" width="15.25" bestFit="1" customWidth="1"/>
  </cols>
  <sheetData>
    <row r="1" spans="1:2" x14ac:dyDescent="0.2">
      <c r="A1" t="s">
        <v>140</v>
      </c>
      <c r="B1" t="s">
        <v>147</v>
      </c>
    </row>
    <row r="2" spans="1:2" x14ac:dyDescent="0.2">
      <c r="A2" t="s">
        <v>144</v>
      </c>
      <c r="B2" t="s">
        <v>148</v>
      </c>
    </row>
    <row r="3" spans="1:2" x14ac:dyDescent="0.2">
      <c r="A3" t="s">
        <v>142</v>
      </c>
      <c r="B3" t="s">
        <v>149</v>
      </c>
    </row>
    <row r="4" spans="1:2" x14ac:dyDescent="0.2">
      <c r="A4" t="s">
        <v>143</v>
      </c>
    </row>
    <row r="5" spans="1:2" x14ac:dyDescent="0.2">
      <c r="A5" t="s">
        <v>141</v>
      </c>
    </row>
  </sheetData>
  <pageMargins left="0.7" right="0.7" top="0.75" bottom="0.75" header="0.3" footer="0.3"/>
  <headerFooter>
    <oddFooter>&amp;C_x000D_&amp;1#&amp;"Aptos"&amp;10&amp;K000000 Barings-Public</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5AAF4-09AA-43BE-B93D-3EEEEDCA1F33}">
  <sheetPr>
    <tabColor theme="5"/>
  </sheetPr>
  <dimension ref="B1:DT68"/>
  <sheetViews>
    <sheetView showGridLines="0" zoomScale="90" zoomScaleNormal="90" workbookViewId="0">
      <pane xSplit="4" ySplit="8" topLeftCell="E9" activePane="bottomRight" state="frozen"/>
      <selection pane="topRight" activeCell="G1" sqref="G1"/>
      <selection pane="bottomLeft" activeCell="A5" sqref="A5"/>
      <selection pane="bottomRight" activeCell="E9" sqref="E9"/>
    </sheetView>
  </sheetViews>
  <sheetFormatPr defaultColWidth="9" defaultRowHeight="15" x14ac:dyDescent="0.25"/>
  <cols>
    <col min="1" max="1" width="5.875" style="1" customWidth="1"/>
    <col min="2" max="2" width="28.625" style="1" customWidth="1"/>
    <col min="3" max="3" width="12.375" style="1" bestFit="1" customWidth="1"/>
    <col min="4" max="4" width="11.5" style="1" bestFit="1" customWidth="1"/>
    <col min="5" max="60" width="10" style="1" bestFit="1" customWidth="1"/>
    <col min="61" max="63" width="8.875" style="1" bestFit="1" customWidth="1"/>
    <col min="64" max="99" width="9.5" style="1" bestFit="1" customWidth="1"/>
    <col min="100" max="100" width="10.25" style="1" customWidth="1"/>
    <col min="101" max="124" width="9.5" style="1" bestFit="1" customWidth="1"/>
    <col min="125" max="16384" width="9" style="1"/>
  </cols>
  <sheetData>
    <row r="1" spans="2:124" x14ac:dyDescent="0.25">
      <c r="C1" s="153" t="s">
        <v>228</v>
      </c>
      <c r="D1" s="155" cm="1">
        <f t="array" aca="1" ref="D1" ca="1">INDEX(E8:DT8, MATCH(1, ('Inputs &amp; Summary'!D71=YEAR(E6:DT6))*(1=MONTH(E6:DT6)), 0))</f>
        <v>7</v>
      </c>
      <c r="E1" s="171" t="str">
        <f t="shared" ref="E1:AJ1" ca="1" si="0">IF(MOD(E$8-$D$1, (ReassessmentFreq*12))=0, "x", "")</f>
        <v/>
      </c>
      <c r="F1" s="171" t="str">
        <f t="shared" ca="1" si="0"/>
        <v/>
      </c>
      <c r="G1" s="171" t="str">
        <f t="shared" ca="1" si="0"/>
        <v/>
      </c>
      <c r="H1" s="171" t="str">
        <f t="shared" ca="1" si="0"/>
        <v/>
      </c>
      <c r="I1" s="171" t="str">
        <f t="shared" ca="1" si="0"/>
        <v/>
      </c>
      <c r="J1" s="171" t="str">
        <f t="shared" ca="1" si="0"/>
        <v/>
      </c>
      <c r="K1" s="171" t="str">
        <f t="shared" ca="1" si="0"/>
        <v>x</v>
      </c>
      <c r="L1" s="171" t="str">
        <f t="shared" ca="1" si="0"/>
        <v/>
      </c>
      <c r="M1" s="171" t="str">
        <f t="shared" ca="1" si="0"/>
        <v/>
      </c>
      <c r="N1" s="171" t="str">
        <f t="shared" ca="1" si="0"/>
        <v/>
      </c>
      <c r="O1" s="171" t="str">
        <f t="shared" ca="1" si="0"/>
        <v/>
      </c>
      <c r="P1" s="171" t="str">
        <f t="shared" ca="1" si="0"/>
        <v/>
      </c>
      <c r="Q1" s="171" t="str">
        <f t="shared" ca="1" si="0"/>
        <v/>
      </c>
      <c r="R1" s="171" t="str">
        <f t="shared" ca="1" si="0"/>
        <v/>
      </c>
      <c r="S1" s="171" t="str">
        <f t="shared" ca="1" si="0"/>
        <v/>
      </c>
      <c r="T1" s="171" t="str">
        <f t="shared" ca="1" si="0"/>
        <v/>
      </c>
      <c r="U1" s="171" t="str">
        <f t="shared" ca="1" si="0"/>
        <v/>
      </c>
      <c r="V1" s="171" t="str">
        <f t="shared" ca="1" si="0"/>
        <v/>
      </c>
      <c r="W1" s="171" t="str">
        <f t="shared" ca="1" si="0"/>
        <v/>
      </c>
      <c r="X1" s="171" t="str">
        <f t="shared" ca="1" si="0"/>
        <v/>
      </c>
      <c r="Y1" s="171" t="str">
        <f t="shared" ca="1" si="0"/>
        <v/>
      </c>
      <c r="Z1" s="171" t="str">
        <f t="shared" ca="1" si="0"/>
        <v/>
      </c>
      <c r="AA1" s="171" t="str">
        <f t="shared" ca="1" si="0"/>
        <v/>
      </c>
      <c r="AB1" s="171" t="str">
        <f t="shared" ca="1" si="0"/>
        <v/>
      </c>
      <c r="AC1" s="171" t="str">
        <f t="shared" ca="1" si="0"/>
        <v/>
      </c>
      <c r="AD1" s="171" t="str">
        <f t="shared" ca="1" si="0"/>
        <v/>
      </c>
      <c r="AE1" s="171" t="str">
        <f t="shared" ca="1" si="0"/>
        <v/>
      </c>
      <c r="AF1" s="171" t="str">
        <f t="shared" ca="1" si="0"/>
        <v/>
      </c>
      <c r="AG1" s="171" t="str">
        <f t="shared" ca="1" si="0"/>
        <v/>
      </c>
      <c r="AH1" s="171" t="str">
        <f t="shared" ca="1" si="0"/>
        <v/>
      </c>
      <c r="AI1" s="171" t="str">
        <f t="shared" ca="1" si="0"/>
        <v/>
      </c>
      <c r="AJ1" s="171" t="str">
        <f t="shared" ca="1" si="0"/>
        <v/>
      </c>
      <c r="AK1" s="171" t="str">
        <f t="shared" ref="AK1:BP1" ca="1" si="1">IF(MOD(AK$8-$D$1, (ReassessmentFreq*12))=0, "x", "")</f>
        <v/>
      </c>
      <c r="AL1" s="171" t="str">
        <f t="shared" ca="1" si="1"/>
        <v/>
      </c>
      <c r="AM1" s="171" t="str">
        <f t="shared" ca="1" si="1"/>
        <v/>
      </c>
      <c r="AN1" s="171" t="str">
        <f t="shared" ca="1" si="1"/>
        <v/>
      </c>
      <c r="AO1" s="171" t="str">
        <f t="shared" ca="1" si="1"/>
        <v/>
      </c>
      <c r="AP1" s="171" t="str">
        <f t="shared" ca="1" si="1"/>
        <v/>
      </c>
      <c r="AQ1" s="171" t="str">
        <f t="shared" ca="1" si="1"/>
        <v/>
      </c>
      <c r="AR1" s="171" t="str">
        <f t="shared" ca="1" si="1"/>
        <v/>
      </c>
      <c r="AS1" s="171" t="str">
        <f t="shared" ca="1" si="1"/>
        <v/>
      </c>
      <c r="AT1" s="171" t="str">
        <f t="shared" ca="1" si="1"/>
        <v/>
      </c>
      <c r="AU1" s="171" t="str">
        <f t="shared" ca="1" si="1"/>
        <v/>
      </c>
      <c r="AV1" s="171" t="str">
        <f t="shared" ca="1" si="1"/>
        <v/>
      </c>
      <c r="AW1" s="171" t="str">
        <f t="shared" ca="1" si="1"/>
        <v/>
      </c>
      <c r="AX1" s="171" t="str">
        <f t="shared" ca="1" si="1"/>
        <v/>
      </c>
      <c r="AY1" s="171" t="str">
        <f t="shared" ca="1" si="1"/>
        <v/>
      </c>
      <c r="AZ1" s="171" t="str">
        <f t="shared" ca="1" si="1"/>
        <v/>
      </c>
      <c r="BA1" s="171" t="str">
        <f t="shared" ca="1" si="1"/>
        <v/>
      </c>
      <c r="BB1" s="171" t="str">
        <f t="shared" ca="1" si="1"/>
        <v/>
      </c>
      <c r="BC1" s="171" t="str">
        <f t="shared" ca="1" si="1"/>
        <v/>
      </c>
      <c r="BD1" s="171" t="str">
        <f t="shared" ca="1" si="1"/>
        <v/>
      </c>
      <c r="BE1" s="171" t="str">
        <f t="shared" ca="1" si="1"/>
        <v/>
      </c>
      <c r="BF1" s="171" t="str">
        <f t="shared" ca="1" si="1"/>
        <v/>
      </c>
      <c r="BG1" s="171" t="str">
        <f t="shared" ca="1" si="1"/>
        <v>x</v>
      </c>
      <c r="BH1" s="171" t="str">
        <f t="shared" ca="1" si="1"/>
        <v/>
      </c>
      <c r="BI1" s="171" t="str">
        <f t="shared" ca="1" si="1"/>
        <v/>
      </c>
      <c r="BJ1" s="171" t="str">
        <f t="shared" ca="1" si="1"/>
        <v/>
      </c>
      <c r="BK1" s="171" t="str">
        <f t="shared" ca="1" si="1"/>
        <v/>
      </c>
      <c r="BL1" s="171" t="str">
        <f t="shared" ca="1" si="1"/>
        <v/>
      </c>
      <c r="BM1" s="171" t="str">
        <f t="shared" ca="1" si="1"/>
        <v/>
      </c>
      <c r="BN1" s="171" t="str">
        <f t="shared" ca="1" si="1"/>
        <v/>
      </c>
      <c r="BO1" s="171" t="str">
        <f t="shared" ca="1" si="1"/>
        <v/>
      </c>
      <c r="BP1" s="171" t="str">
        <f t="shared" ca="1" si="1"/>
        <v/>
      </c>
      <c r="BQ1" s="171" t="str">
        <f t="shared" ref="BQ1:CV1" ca="1" si="2">IF(MOD(BQ$8-$D$1, (ReassessmentFreq*12))=0, "x", "")</f>
        <v/>
      </c>
      <c r="BR1" s="171" t="str">
        <f t="shared" ca="1" si="2"/>
        <v/>
      </c>
      <c r="BS1" s="171" t="str">
        <f t="shared" ca="1" si="2"/>
        <v/>
      </c>
      <c r="BT1" s="171" t="str">
        <f t="shared" ca="1" si="2"/>
        <v/>
      </c>
      <c r="BU1" s="171" t="str">
        <f t="shared" ca="1" si="2"/>
        <v/>
      </c>
      <c r="BV1" s="171" t="str">
        <f t="shared" ca="1" si="2"/>
        <v/>
      </c>
      <c r="BW1" s="171" t="str">
        <f t="shared" ca="1" si="2"/>
        <v/>
      </c>
      <c r="BX1" s="171" t="str">
        <f t="shared" ca="1" si="2"/>
        <v/>
      </c>
      <c r="BY1" s="171" t="str">
        <f t="shared" ca="1" si="2"/>
        <v/>
      </c>
      <c r="BZ1" s="171" t="str">
        <f t="shared" ca="1" si="2"/>
        <v/>
      </c>
      <c r="CA1" s="171" t="str">
        <f t="shared" ca="1" si="2"/>
        <v/>
      </c>
      <c r="CB1" s="171" t="str">
        <f t="shared" ca="1" si="2"/>
        <v/>
      </c>
      <c r="CC1" s="171" t="str">
        <f t="shared" ca="1" si="2"/>
        <v/>
      </c>
      <c r="CD1" s="171" t="str">
        <f t="shared" ca="1" si="2"/>
        <v/>
      </c>
      <c r="CE1" s="171" t="str">
        <f t="shared" ca="1" si="2"/>
        <v/>
      </c>
      <c r="CF1" s="171" t="str">
        <f t="shared" ca="1" si="2"/>
        <v/>
      </c>
      <c r="CG1" s="171" t="str">
        <f t="shared" ca="1" si="2"/>
        <v/>
      </c>
      <c r="CH1" s="171" t="str">
        <f t="shared" ca="1" si="2"/>
        <v/>
      </c>
      <c r="CI1" s="171" t="str">
        <f t="shared" ca="1" si="2"/>
        <v/>
      </c>
      <c r="CJ1" s="171" t="str">
        <f t="shared" ca="1" si="2"/>
        <v/>
      </c>
      <c r="CK1" s="171" t="str">
        <f t="shared" ca="1" si="2"/>
        <v/>
      </c>
      <c r="CL1" s="171" t="str">
        <f t="shared" ca="1" si="2"/>
        <v/>
      </c>
      <c r="CM1" s="171" t="str">
        <f t="shared" ca="1" si="2"/>
        <v/>
      </c>
      <c r="CN1" s="171" t="str">
        <f t="shared" ca="1" si="2"/>
        <v/>
      </c>
      <c r="CO1" s="171" t="str">
        <f t="shared" ca="1" si="2"/>
        <v/>
      </c>
      <c r="CP1" s="171" t="str">
        <f t="shared" ca="1" si="2"/>
        <v/>
      </c>
      <c r="CQ1" s="171" t="str">
        <f t="shared" ca="1" si="2"/>
        <v/>
      </c>
      <c r="CR1" s="171" t="str">
        <f t="shared" ca="1" si="2"/>
        <v/>
      </c>
      <c r="CS1" s="171" t="str">
        <f t="shared" ca="1" si="2"/>
        <v/>
      </c>
      <c r="CT1" s="171" t="str">
        <f t="shared" ca="1" si="2"/>
        <v/>
      </c>
      <c r="CU1" s="171" t="str">
        <f t="shared" ca="1" si="2"/>
        <v/>
      </c>
      <c r="CV1" s="171" t="str">
        <f t="shared" ca="1" si="2"/>
        <v/>
      </c>
      <c r="CW1" s="171" t="str">
        <f t="shared" ref="CW1:DT1" ca="1" si="3">IF(MOD(CW$8-$D$1, (ReassessmentFreq*12))=0, "x", "")</f>
        <v/>
      </c>
      <c r="CX1" s="171" t="str">
        <f t="shared" ca="1" si="3"/>
        <v/>
      </c>
      <c r="CY1" s="171" t="str">
        <f t="shared" ca="1" si="3"/>
        <v/>
      </c>
      <c r="CZ1" s="171" t="str">
        <f t="shared" ca="1" si="3"/>
        <v/>
      </c>
      <c r="DA1" s="171" t="str">
        <f t="shared" ca="1" si="3"/>
        <v/>
      </c>
      <c r="DB1" s="171" t="str">
        <f t="shared" ca="1" si="3"/>
        <v/>
      </c>
      <c r="DC1" s="171" t="str">
        <f t="shared" ca="1" si="3"/>
        <v>x</v>
      </c>
      <c r="DD1" s="171" t="str">
        <f t="shared" ca="1" si="3"/>
        <v/>
      </c>
      <c r="DE1" s="171" t="str">
        <f t="shared" ca="1" si="3"/>
        <v/>
      </c>
      <c r="DF1" s="171" t="str">
        <f t="shared" ca="1" si="3"/>
        <v/>
      </c>
      <c r="DG1" s="171" t="str">
        <f t="shared" ca="1" si="3"/>
        <v/>
      </c>
      <c r="DH1" s="171" t="str">
        <f t="shared" ca="1" si="3"/>
        <v/>
      </c>
      <c r="DI1" s="171" t="str">
        <f t="shared" ca="1" si="3"/>
        <v/>
      </c>
      <c r="DJ1" s="171" t="str">
        <f t="shared" ca="1" si="3"/>
        <v/>
      </c>
      <c r="DK1" s="171" t="str">
        <f t="shared" ca="1" si="3"/>
        <v/>
      </c>
      <c r="DL1" s="171" t="str">
        <f t="shared" ca="1" si="3"/>
        <v/>
      </c>
      <c r="DM1" s="171" t="str">
        <f t="shared" ca="1" si="3"/>
        <v/>
      </c>
      <c r="DN1" s="171" t="str">
        <f t="shared" ca="1" si="3"/>
        <v/>
      </c>
      <c r="DO1" s="171" t="str">
        <f t="shared" ca="1" si="3"/>
        <v/>
      </c>
      <c r="DP1" s="171" t="str">
        <f t="shared" ca="1" si="3"/>
        <v/>
      </c>
      <c r="DQ1" s="171" t="str">
        <f t="shared" ca="1" si="3"/>
        <v/>
      </c>
      <c r="DR1" s="171" t="str">
        <f t="shared" ca="1" si="3"/>
        <v/>
      </c>
      <c r="DS1" s="171" t="str">
        <f t="shared" ca="1" si="3"/>
        <v/>
      </c>
      <c r="DT1" s="171" t="str">
        <f t="shared" ca="1" si="3"/>
        <v/>
      </c>
    </row>
    <row r="2" spans="2:124" x14ac:dyDescent="0.25">
      <c r="C2" s="153" t="s">
        <v>227</v>
      </c>
      <c r="D2" s="154" t="str">
        <f>'Inputs &amp; Summary'!D70</f>
        <v>$x</v>
      </c>
      <c r="E2" s="154" t="str">
        <f t="shared" ref="E2:AJ2" ca="1" si="4">IF(E$8=$D$1, MAX(D2, PurchasePrice)*((1+TaxValueAppreciation)^($D$1/12)), IF(E$1="x", D2*((1+TaxValueAppreciation)^ReassessmentFreq),D2))</f>
        <v>$x</v>
      </c>
      <c r="F2" s="154" t="str">
        <f t="shared" ca="1" si="4"/>
        <v>$x</v>
      </c>
      <c r="G2" s="154" t="str">
        <f t="shared" ca="1" si="4"/>
        <v>$x</v>
      </c>
      <c r="H2" s="154" t="str">
        <f t="shared" ca="1" si="4"/>
        <v>$x</v>
      </c>
      <c r="I2" s="154" t="str">
        <f t="shared" ca="1" si="4"/>
        <v>$x</v>
      </c>
      <c r="J2" s="154" t="str">
        <f t="shared" ca="1" si="4"/>
        <v>$x</v>
      </c>
      <c r="K2" s="154">
        <f t="shared" ca="1" si="4"/>
        <v>0</v>
      </c>
      <c r="L2" s="154">
        <f t="shared" ca="1" si="4"/>
        <v>0</v>
      </c>
      <c r="M2" s="154">
        <f t="shared" ca="1" si="4"/>
        <v>0</v>
      </c>
      <c r="N2" s="154">
        <f t="shared" ca="1" si="4"/>
        <v>0</v>
      </c>
      <c r="O2" s="154">
        <f t="shared" ca="1" si="4"/>
        <v>0</v>
      </c>
      <c r="P2" s="154">
        <f t="shared" ca="1" si="4"/>
        <v>0</v>
      </c>
      <c r="Q2" s="154">
        <f t="shared" ca="1" si="4"/>
        <v>0</v>
      </c>
      <c r="R2" s="154">
        <f t="shared" ca="1" si="4"/>
        <v>0</v>
      </c>
      <c r="S2" s="154">
        <f t="shared" ca="1" si="4"/>
        <v>0</v>
      </c>
      <c r="T2" s="154">
        <f t="shared" ca="1" si="4"/>
        <v>0</v>
      </c>
      <c r="U2" s="154">
        <f t="shared" ca="1" si="4"/>
        <v>0</v>
      </c>
      <c r="V2" s="154">
        <f t="shared" ca="1" si="4"/>
        <v>0</v>
      </c>
      <c r="W2" s="154">
        <f t="shared" ca="1" si="4"/>
        <v>0</v>
      </c>
      <c r="X2" s="154">
        <f t="shared" ca="1" si="4"/>
        <v>0</v>
      </c>
      <c r="Y2" s="154">
        <f t="shared" ca="1" si="4"/>
        <v>0</v>
      </c>
      <c r="Z2" s="154">
        <f t="shared" ca="1" si="4"/>
        <v>0</v>
      </c>
      <c r="AA2" s="154">
        <f t="shared" ca="1" si="4"/>
        <v>0</v>
      </c>
      <c r="AB2" s="154">
        <f t="shared" ca="1" si="4"/>
        <v>0</v>
      </c>
      <c r="AC2" s="154">
        <f t="shared" ca="1" si="4"/>
        <v>0</v>
      </c>
      <c r="AD2" s="154">
        <f t="shared" ca="1" si="4"/>
        <v>0</v>
      </c>
      <c r="AE2" s="154">
        <f t="shared" ca="1" si="4"/>
        <v>0</v>
      </c>
      <c r="AF2" s="154">
        <f t="shared" ca="1" si="4"/>
        <v>0</v>
      </c>
      <c r="AG2" s="154">
        <f t="shared" ca="1" si="4"/>
        <v>0</v>
      </c>
      <c r="AH2" s="154">
        <f t="shared" ca="1" si="4"/>
        <v>0</v>
      </c>
      <c r="AI2" s="154">
        <f t="shared" ca="1" si="4"/>
        <v>0</v>
      </c>
      <c r="AJ2" s="154">
        <f t="shared" ca="1" si="4"/>
        <v>0</v>
      </c>
      <c r="AK2" s="154">
        <f t="shared" ref="AK2:BP2" ca="1" si="5">IF(AK$8=$D$1, MAX(AJ2, PurchasePrice)*((1+TaxValueAppreciation)^($D$1/12)), IF(AK$1="x", AJ2*((1+TaxValueAppreciation)^ReassessmentFreq),AJ2))</f>
        <v>0</v>
      </c>
      <c r="AL2" s="154">
        <f t="shared" ca="1" si="5"/>
        <v>0</v>
      </c>
      <c r="AM2" s="154">
        <f t="shared" ca="1" si="5"/>
        <v>0</v>
      </c>
      <c r="AN2" s="154">
        <f t="shared" ca="1" si="5"/>
        <v>0</v>
      </c>
      <c r="AO2" s="154">
        <f t="shared" ca="1" si="5"/>
        <v>0</v>
      </c>
      <c r="AP2" s="154">
        <f t="shared" ca="1" si="5"/>
        <v>0</v>
      </c>
      <c r="AQ2" s="154">
        <f t="shared" ca="1" si="5"/>
        <v>0</v>
      </c>
      <c r="AR2" s="154">
        <f t="shared" ca="1" si="5"/>
        <v>0</v>
      </c>
      <c r="AS2" s="154">
        <f t="shared" ca="1" si="5"/>
        <v>0</v>
      </c>
      <c r="AT2" s="154">
        <f t="shared" ca="1" si="5"/>
        <v>0</v>
      </c>
      <c r="AU2" s="154">
        <f t="shared" ca="1" si="5"/>
        <v>0</v>
      </c>
      <c r="AV2" s="154">
        <f t="shared" ca="1" si="5"/>
        <v>0</v>
      </c>
      <c r="AW2" s="154">
        <f t="shared" ca="1" si="5"/>
        <v>0</v>
      </c>
      <c r="AX2" s="154">
        <f t="shared" ca="1" si="5"/>
        <v>0</v>
      </c>
      <c r="AY2" s="154">
        <f t="shared" ca="1" si="5"/>
        <v>0</v>
      </c>
      <c r="AZ2" s="154">
        <f t="shared" ca="1" si="5"/>
        <v>0</v>
      </c>
      <c r="BA2" s="154">
        <f t="shared" ca="1" si="5"/>
        <v>0</v>
      </c>
      <c r="BB2" s="154">
        <f t="shared" ca="1" si="5"/>
        <v>0</v>
      </c>
      <c r="BC2" s="154">
        <f t="shared" ca="1" si="5"/>
        <v>0</v>
      </c>
      <c r="BD2" s="154">
        <f t="shared" ca="1" si="5"/>
        <v>0</v>
      </c>
      <c r="BE2" s="154">
        <f t="shared" ca="1" si="5"/>
        <v>0</v>
      </c>
      <c r="BF2" s="154">
        <f t="shared" ca="1" si="5"/>
        <v>0</v>
      </c>
      <c r="BG2" s="154">
        <f t="shared" ca="1" si="5"/>
        <v>0</v>
      </c>
      <c r="BH2" s="154">
        <f t="shared" ca="1" si="5"/>
        <v>0</v>
      </c>
      <c r="BI2" s="154">
        <f t="shared" ca="1" si="5"/>
        <v>0</v>
      </c>
      <c r="BJ2" s="154">
        <f t="shared" ca="1" si="5"/>
        <v>0</v>
      </c>
      <c r="BK2" s="154">
        <f t="shared" ca="1" si="5"/>
        <v>0</v>
      </c>
      <c r="BL2" s="154">
        <f t="shared" ca="1" si="5"/>
        <v>0</v>
      </c>
      <c r="BM2" s="154">
        <f t="shared" ca="1" si="5"/>
        <v>0</v>
      </c>
      <c r="BN2" s="154">
        <f t="shared" ca="1" si="5"/>
        <v>0</v>
      </c>
      <c r="BO2" s="154">
        <f t="shared" ca="1" si="5"/>
        <v>0</v>
      </c>
      <c r="BP2" s="154">
        <f t="shared" ca="1" si="5"/>
        <v>0</v>
      </c>
      <c r="BQ2" s="154">
        <f t="shared" ref="BQ2:CV2" ca="1" si="6">IF(BQ$8=$D$1, MAX(BP2, PurchasePrice)*((1+TaxValueAppreciation)^($D$1/12)), IF(BQ$1="x", BP2*((1+TaxValueAppreciation)^ReassessmentFreq),BP2))</f>
        <v>0</v>
      </c>
      <c r="BR2" s="154">
        <f t="shared" ca="1" si="6"/>
        <v>0</v>
      </c>
      <c r="BS2" s="154">
        <f t="shared" ca="1" si="6"/>
        <v>0</v>
      </c>
      <c r="BT2" s="154">
        <f t="shared" ca="1" si="6"/>
        <v>0</v>
      </c>
      <c r="BU2" s="154">
        <f t="shared" ca="1" si="6"/>
        <v>0</v>
      </c>
      <c r="BV2" s="154">
        <f t="shared" ca="1" si="6"/>
        <v>0</v>
      </c>
      <c r="BW2" s="154">
        <f t="shared" ca="1" si="6"/>
        <v>0</v>
      </c>
      <c r="BX2" s="154">
        <f t="shared" ca="1" si="6"/>
        <v>0</v>
      </c>
      <c r="BY2" s="154">
        <f t="shared" ca="1" si="6"/>
        <v>0</v>
      </c>
      <c r="BZ2" s="154">
        <f t="shared" ca="1" si="6"/>
        <v>0</v>
      </c>
      <c r="CA2" s="154">
        <f t="shared" ca="1" si="6"/>
        <v>0</v>
      </c>
      <c r="CB2" s="154">
        <f t="shared" ca="1" si="6"/>
        <v>0</v>
      </c>
      <c r="CC2" s="154">
        <f t="shared" ca="1" si="6"/>
        <v>0</v>
      </c>
      <c r="CD2" s="154">
        <f t="shared" ca="1" si="6"/>
        <v>0</v>
      </c>
      <c r="CE2" s="154">
        <f t="shared" ca="1" si="6"/>
        <v>0</v>
      </c>
      <c r="CF2" s="154">
        <f t="shared" ca="1" si="6"/>
        <v>0</v>
      </c>
      <c r="CG2" s="154">
        <f t="shared" ca="1" si="6"/>
        <v>0</v>
      </c>
      <c r="CH2" s="154">
        <f t="shared" ca="1" si="6"/>
        <v>0</v>
      </c>
      <c r="CI2" s="154">
        <f t="shared" ca="1" si="6"/>
        <v>0</v>
      </c>
      <c r="CJ2" s="154">
        <f t="shared" ca="1" si="6"/>
        <v>0</v>
      </c>
      <c r="CK2" s="154">
        <f t="shared" ca="1" si="6"/>
        <v>0</v>
      </c>
      <c r="CL2" s="154">
        <f t="shared" ca="1" si="6"/>
        <v>0</v>
      </c>
      <c r="CM2" s="154">
        <f t="shared" ca="1" si="6"/>
        <v>0</v>
      </c>
      <c r="CN2" s="154">
        <f t="shared" ca="1" si="6"/>
        <v>0</v>
      </c>
      <c r="CO2" s="154">
        <f t="shared" ca="1" si="6"/>
        <v>0</v>
      </c>
      <c r="CP2" s="154">
        <f t="shared" ca="1" si="6"/>
        <v>0</v>
      </c>
      <c r="CQ2" s="154">
        <f t="shared" ca="1" si="6"/>
        <v>0</v>
      </c>
      <c r="CR2" s="154">
        <f t="shared" ca="1" si="6"/>
        <v>0</v>
      </c>
      <c r="CS2" s="154">
        <f t="shared" ca="1" si="6"/>
        <v>0</v>
      </c>
      <c r="CT2" s="154">
        <f t="shared" ca="1" si="6"/>
        <v>0</v>
      </c>
      <c r="CU2" s="154">
        <f t="shared" ca="1" si="6"/>
        <v>0</v>
      </c>
      <c r="CV2" s="154">
        <f t="shared" ca="1" si="6"/>
        <v>0</v>
      </c>
      <c r="CW2" s="154">
        <f t="shared" ref="CW2:DT2" ca="1" si="7">IF(CW$8=$D$1, MAX(CV2, PurchasePrice)*((1+TaxValueAppreciation)^($D$1/12)), IF(CW$1="x", CV2*((1+TaxValueAppreciation)^ReassessmentFreq),CV2))</f>
        <v>0</v>
      </c>
      <c r="CX2" s="154">
        <f t="shared" ca="1" si="7"/>
        <v>0</v>
      </c>
      <c r="CY2" s="154">
        <f t="shared" ca="1" si="7"/>
        <v>0</v>
      </c>
      <c r="CZ2" s="154">
        <f t="shared" ca="1" si="7"/>
        <v>0</v>
      </c>
      <c r="DA2" s="154">
        <f t="shared" ca="1" si="7"/>
        <v>0</v>
      </c>
      <c r="DB2" s="154">
        <f t="shared" ca="1" si="7"/>
        <v>0</v>
      </c>
      <c r="DC2" s="154">
        <f t="shared" ca="1" si="7"/>
        <v>0</v>
      </c>
      <c r="DD2" s="154">
        <f t="shared" ca="1" si="7"/>
        <v>0</v>
      </c>
      <c r="DE2" s="154">
        <f t="shared" ca="1" si="7"/>
        <v>0</v>
      </c>
      <c r="DF2" s="154">
        <f t="shared" ca="1" si="7"/>
        <v>0</v>
      </c>
      <c r="DG2" s="154">
        <f t="shared" ca="1" si="7"/>
        <v>0</v>
      </c>
      <c r="DH2" s="154">
        <f t="shared" ca="1" si="7"/>
        <v>0</v>
      </c>
      <c r="DI2" s="154">
        <f t="shared" ca="1" si="7"/>
        <v>0</v>
      </c>
      <c r="DJ2" s="154">
        <f t="shared" ca="1" si="7"/>
        <v>0</v>
      </c>
      <c r="DK2" s="154">
        <f t="shared" ca="1" si="7"/>
        <v>0</v>
      </c>
      <c r="DL2" s="154">
        <f t="shared" ca="1" si="7"/>
        <v>0</v>
      </c>
      <c r="DM2" s="154">
        <f t="shared" ca="1" si="7"/>
        <v>0</v>
      </c>
      <c r="DN2" s="154">
        <f t="shared" ca="1" si="7"/>
        <v>0</v>
      </c>
      <c r="DO2" s="154">
        <f t="shared" ca="1" si="7"/>
        <v>0</v>
      </c>
      <c r="DP2" s="154">
        <f t="shared" ca="1" si="7"/>
        <v>0</v>
      </c>
      <c r="DQ2" s="154">
        <f t="shared" ca="1" si="7"/>
        <v>0</v>
      </c>
      <c r="DR2" s="154">
        <f t="shared" ca="1" si="7"/>
        <v>0</v>
      </c>
      <c r="DS2" s="154">
        <f t="shared" ca="1" si="7"/>
        <v>0</v>
      </c>
      <c r="DT2" s="154">
        <f t="shared" ca="1" si="7"/>
        <v>0</v>
      </c>
    </row>
    <row r="3" spans="2:124" x14ac:dyDescent="0.25">
      <c r="C3" s="153" t="s">
        <v>114</v>
      </c>
      <c r="D3" s="156">
        <f>'Inputs &amp; Summary'!D69</f>
        <v>7.7</v>
      </c>
      <c r="E3" s="156">
        <f t="shared" ref="E3:AJ3" ca="1" si="8">IF(E$1="x", D3*((1+MillageRateGrowth)^ReassessmentFreq),D3)</f>
        <v>7.7</v>
      </c>
      <c r="F3" s="156">
        <f t="shared" ca="1" si="8"/>
        <v>7.7</v>
      </c>
      <c r="G3" s="156">
        <f t="shared" ca="1" si="8"/>
        <v>7.7</v>
      </c>
      <c r="H3" s="156">
        <f t="shared" ca="1" si="8"/>
        <v>7.7</v>
      </c>
      <c r="I3" s="156">
        <f t="shared" ca="1" si="8"/>
        <v>7.7</v>
      </c>
      <c r="J3" s="156">
        <f t="shared" ca="1" si="8"/>
        <v>7.7</v>
      </c>
      <c r="K3" s="156">
        <f t="shared" ca="1" si="8"/>
        <v>7.9336117681132841</v>
      </c>
      <c r="L3" s="156">
        <f t="shared" ca="1" si="8"/>
        <v>7.9336117681132841</v>
      </c>
      <c r="M3" s="156">
        <f t="shared" ca="1" si="8"/>
        <v>7.9336117681132841</v>
      </c>
      <c r="N3" s="156">
        <f t="shared" ca="1" si="8"/>
        <v>7.9336117681132841</v>
      </c>
      <c r="O3" s="156">
        <f t="shared" ca="1" si="8"/>
        <v>7.9336117681132841</v>
      </c>
      <c r="P3" s="156">
        <f t="shared" ca="1" si="8"/>
        <v>7.9336117681132841</v>
      </c>
      <c r="Q3" s="156">
        <f t="shared" ca="1" si="8"/>
        <v>7.9336117681132841</v>
      </c>
      <c r="R3" s="156">
        <f t="shared" ca="1" si="8"/>
        <v>7.9336117681132841</v>
      </c>
      <c r="S3" s="156">
        <f t="shared" ca="1" si="8"/>
        <v>7.9336117681132841</v>
      </c>
      <c r="T3" s="156">
        <f t="shared" ca="1" si="8"/>
        <v>7.9336117681132841</v>
      </c>
      <c r="U3" s="156">
        <f t="shared" ca="1" si="8"/>
        <v>7.9336117681132841</v>
      </c>
      <c r="V3" s="156">
        <f t="shared" ca="1" si="8"/>
        <v>7.9336117681132841</v>
      </c>
      <c r="W3" s="156">
        <f t="shared" ca="1" si="8"/>
        <v>7.9336117681132841</v>
      </c>
      <c r="X3" s="156">
        <f t="shared" ca="1" si="8"/>
        <v>7.9336117681132841</v>
      </c>
      <c r="Y3" s="156">
        <f t="shared" ca="1" si="8"/>
        <v>7.9336117681132841</v>
      </c>
      <c r="Z3" s="156">
        <f t="shared" ca="1" si="8"/>
        <v>7.9336117681132841</v>
      </c>
      <c r="AA3" s="156">
        <f t="shared" ca="1" si="8"/>
        <v>7.9336117681132841</v>
      </c>
      <c r="AB3" s="156">
        <f t="shared" ca="1" si="8"/>
        <v>7.9336117681132841</v>
      </c>
      <c r="AC3" s="156">
        <f t="shared" ca="1" si="8"/>
        <v>7.9336117681132841</v>
      </c>
      <c r="AD3" s="156">
        <f t="shared" ca="1" si="8"/>
        <v>7.9336117681132841</v>
      </c>
      <c r="AE3" s="156">
        <f t="shared" ca="1" si="8"/>
        <v>7.9336117681132841</v>
      </c>
      <c r="AF3" s="156">
        <f t="shared" ca="1" si="8"/>
        <v>7.9336117681132841</v>
      </c>
      <c r="AG3" s="156">
        <f t="shared" ca="1" si="8"/>
        <v>7.9336117681132841</v>
      </c>
      <c r="AH3" s="156">
        <f t="shared" ca="1" si="8"/>
        <v>7.9336117681132841</v>
      </c>
      <c r="AI3" s="156">
        <f t="shared" ca="1" si="8"/>
        <v>7.9336117681132841</v>
      </c>
      <c r="AJ3" s="156">
        <f t="shared" ca="1" si="8"/>
        <v>7.9336117681132841</v>
      </c>
      <c r="AK3" s="156">
        <f t="shared" ref="AK3:BP3" ca="1" si="9">IF(AK$1="x", AJ3*((1+MillageRateGrowth)^ReassessmentFreq),AJ3)</f>
        <v>7.9336117681132841</v>
      </c>
      <c r="AL3" s="156">
        <f t="shared" ca="1" si="9"/>
        <v>7.9336117681132841</v>
      </c>
      <c r="AM3" s="156">
        <f t="shared" ca="1" si="9"/>
        <v>7.9336117681132841</v>
      </c>
      <c r="AN3" s="156">
        <f t="shared" ca="1" si="9"/>
        <v>7.9336117681132841</v>
      </c>
      <c r="AO3" s="156">
        <f t="shared" ca="1" si="9"/>
        <v>7.9336117681132841</v>
      </c>
      <c r="AP3" s="156">
        <f t="shared" ca="1" si="9"/>
        <v>7.9336117681132841</v>
      </c>
      <c r="AQ3" s="156">
        <f t="shared" ca="1" si="9"/>
        <v>7.9336117681132841</v>
      </c>
      <c r="AR3" s="156">
        <f t="shared" ca="1" si="9"/>
        <v>7.9336117681132841</v>
      </c>
      <c r="AS3" s="156">
        <f t="shared" ca="1" si="9"/>
        <v>7.9336117681132841</v>
      </c>
      <c r="AT3" s="156">
        <f t="shared" ca="1" si="9"/>
        <v>7.9336117681132841</v>
      </c>
      <c r="AU3" s="156">
        <f t="shared" ca="1" si="9"/>
        <v>7.9336117681132841</v>
      </c>
      <c r="AV3" s="156">
        <f t="shared" ca="1" si="9"/>
        <v>7.9336117681132841</v>
      </c>
      <c r="AW3" s="156">
        <f t="shared" ca="1" si="9"/>
        <v>7.9336117681132841</v>
      </c>
      <c r="AX3" s="156">
        <f t="shared" ca="1" si="9"/>
        <v>7.9336117681132841</v>
      </c>
      <c r="AY3" s="156">
        <f t="shared" ca="1" si="9"/>
        <v>7.9336117681132841</v>
      </c>
      <c r="AZ3" s="156">
        <f t="shared" ca="1" si="9"/>
        <v>7.9336117681132841</v>
      </c>
      <c r="BA3" s="156">
        <f t="shared" ca="1" si="9"/>
        <v>7.9336117681132841</v>
      </c>
      <c r="BB3" s="156">
        <f t="shared" ca="1" si="9"/>
        <v>7.9336117681132841</v>
      </c>
      <c r="BC3" s="156">
        <f t="shared" ca="1" si="9"/>
        <v>7.9336117681132841</v>
      </c>
      <c r="BD3" s="156">
        <f t="shared" ca="1" si="9"/>
        <v>7.9336117681132841</v>
      </c>
      <c r="BE3" s="156">
        <f t="shared" ca="1" si="9"/>
        <v>7.9336117681132841</v>
      </c>
      <c r="BF3" s="156">
        <f t="shared" ca="1" si="9"/>
        <v>7.9336117681132841</v>
      </c>
      <c r="BG3" s="156">
        <f t="shared" ca="1" si="9"/>
        <v>8.1743111282007259</v>
      </c>
      <c r="BH3" s="156">
        <f t="shared" ca="1" si="9"/>
        <v>8.1743111282007259</v>
      </c>
      <c r="BI3" s="156">
        <f t="shared" ca="1" si="9"/>
        <v>8.1743111282007259</v>
      </c>
      <c r="BJ3" s="156">
        <f t="shared" ca="1" si="9"/>
        <v>8.1743111282007259</v>
      </c>
      <c r="BK3" s="156">
        <f t="shared" ca="1" si="9"/>
        <v>8.1743111282007259</v>
      </c>
      <c r="BL3" s="156">
        <f t="shared" ca="1" si="9"/>
        <v>8.1743111282007259</v>
      </c>
      <c r="BM3" s="156">
        <f t="shared" ca="1" si="9"/>
        <v>8.1743111282007259</v>
      </c>
      <c r="BN3" s="156">
        <f t="shared" ca="1" si="9"/>
        <v>8.1743111282007259</v>
      </c>
      <c r="BO3" s="156">
        <f t="shared" ca="1" si="9"/>
        <v>8.1743111282007259</v>
      </c>
      <c r="BP3" s="156">
        <f t="shared" ca="1" si="9"/>
        <v>8.1743111282007259</v>
      </c>
      <c r="BQ3" s="156">
        <f t="shared" ref="BQ3:CV3" ca="1" si="10">IF(BQ$1="x", BP3*((1+MillageRateGrowth)^ReassessmentFreq),BP3)</f>
        <v>8.1743111282007259</v>
      </c>
      <c r="BR3" s="156">
        <f t="shared" ca="1" si="10"/>
        <v>8.1743111282007259</v>
      </c>
      <c r="BS3" s="156">
        <f t="shared" ca="1" si="10"/>
        <v>8.1743111282007259</v>
      </c>
      <c r="BT3" s="156">
        <f t="shared" ca="1" si="10"/>
        <v>8.1743111282007259</v>
      </c>
      <c r="BU3" s="156">
        <f t="shared" ca="1" si="10"/>
        <v>8.1743111282007259</v>
      </c>
      <c r="BV3" s="156">
        <f t="shared" ca="1" si="10"/>
        <v>8.1743111282007259</v>
      </c>
      <c r="BW3" s="156">
        <f t="shared" ca="1" si="10"/>
        <v>8.1743111282007259</v>
      </c>
      <c r="BX3" s="156">
        <f t="shared" ca="1" si="10"/>
        <v>8.1743111282007259</v>
      </c>
      <c r="BY3" s="156">
        <f t="shared" ca="1" si="10"/>
        <v>8.1743111282007259</v>
      </c>
      <c r="BZ3" s="156">
        <f t="shared" ca="1" si="10"/>
        <v>8.1743111282007259</v>
      </c>
      <c r="CA3" s="156">
        <f t="shared" ca="1" si="10"/>
        <v>8.1743111282007259</v>
      </c>
      <c r="CB3" s="156">
        <f t="shared" ca="1" si="10"/>
        <v>8.1743111282007259</v>
      </c>
      <c r="CC3" s="156">
        <f t="shared" ca="1" si="10"/>
        <v>8.1743111282007259</v>
      </c>
      <c r="CD3" s="156">
        <f t="shared" ca="1" si="10"/>
        <v>8.1743111282007259</v>
      </c>
      <c r="CE3" s="156">
        <f t="shared" ca="1" si="10"/>
        <v>8.1743111282007259</v>
      </c>
      <c r="CF3" s="156">
        <f t="shared" ca="1" si="10"/>
        <v>8.1743111282007259</v>
      </c>
      <c r="CG3" s="156">
        <f t="shared" ca="1" si="10"/>
        <v>8.1743111282007259</v>
      </c>
      <c r="CH3" s="156">
        <f t="shared" ca="1" si="10"/>
        <v>8.1743111282007259</v>
      </c>
      <c r="CI3" s="156">
        <f t="shared" ca="1" si="10"/>
        <v>8.1743111282007259</v>
      </c>
      <c r="CJ3" s="156">
        <f t="shared" ca="1" si="10"/>
        <v>8.1743111282007259</v>
      </c>
      <c r="CK3" s="156">
        <f t="shared" ca="1" si="10"/>
        <v>8.1743111282007259</v>
      </c>
      <c r="CL3" s="156">
        <f t="shared" ca="1" si="10"/>
        <v>8.1743111282007259</v>
      </c>
      <c r="CM3" s="156">
        <f t="shared" ca="1" si="10"/>
        <v>8.1743111282007259</v>
      </c>
      <c r="CN3" s="156">
        <f t="shared" ca="1" si="10"/>
        <v>8.1743111282007259</v>
      </c>
      <c r="CO3" s="156">
        <f t="shared" ca="1" si="10"/>
        <v>8.1743111282007259</v>
      </c>
      <c r="CP3" s="156">
        <f t="shared" ca="1" si="10"/>
        <v>8.1743111282007259</v>
      </c>
      <c r="CQ3" s="156">
        <f t="shared" ca="1" si="10"/>
        <v>8.1743111282007259</v>
      </c>
      <c r="CR3" s="156">
        <f t="shared" ca="1" si="10"/>
        <v>8.1743111282007259</v>
      </c>
      <c r="CS3" s="156">
        <f t="shared" ca="1" si="10"/>
        <v>8.1743111282007259</v>
      </c>
      <c r="CT3" s="156">
        <f t="shared" ca="1" si="10"/>
        <v>8.1743111282007259</v>
      </c>
      <c r="CU3" s="156">
        <f t="shared" ca="1" si="10"/>
        <v>8.1743111282007259</v>
      </c>
      <c r="CV3" s="156">
        <f t="shared" ca="1" si="10"/>
        <v>8.1743111282007259</v>
      </c>
      <c r="CW3" s="156">
        <f t="shared" ref="CW3:DT3" ca="1" si="11">IF(CW$1="x", CV3*((1+MillageRateGrowth)^ReassessmentFreq),CV3)</f>
        <v>8.1743111282007259</v>
      </c>
      <c r="CX3" s="156">
        <f t="shared" ca="1" si="11"/>
        <v>8.1743111282007259</v>
      </c>
      <c r="CY3" s="156">
        <f t="shared" ca="1" si="11"/>
        <v>8.1743111282007259</v>
      </c>
      <c r="CZ3" s="156">
        <f t="shared" ca="1" si="11"/>
        <v>8.1743111282007259</v>
      </c>
      <c r="DA3" s="156">
        <f t="shared" ca="1" si="11"/>
        <v>8.1743111282007259</v>
      </c>
      <c r="DB3" s="156">
        <f t="shared" ca="1" si="11"/>
        <v>8.1743111282007259</v>
      </c>
      <c r="DC3" s="156">
        <f t="shared" ca="1" si="11"/>
        <v>8.4223131120665791</v>
      </c>
      <c r="DD3" s="156">
        <f t="shared" ca="1" si="11"/>
        <v>8.4223131120665791</v>
      </c>
      <c r="DE3" s="156">
        <f t="shared" ca="1" si="11"/>
        <v>8.4223131120665791</v>
      </c>
      <c r="DF3" s="156">
        <f t="shared" ca="1" si="11"/>
        <v>8.4223131120665791</v>
      </c>
      <c r="DG3" s="156">
        <f t="shared" ca="1" si="11"/>
        <v>8.4223131120665791</v>
      </c>
      <c r="DH3" s="156">
        <f t="shared" ca="1" si="11"/>
        <v>8.4223131120665791</v>
      </c>
      <c r="DI3" s="156">
        <f t="shared" ca="1" si="11"/>
        <v>8.4223131120665791</v>
      </c>
      <c r="DJ3" s="156">
        <f t="shared" ca="1" si="11"/>
        <v>8.4223131120665791</v>
      </c>
      <c r="DK3" s="156">
        <f t="shared" ca="1" si="11"/>
        <v>8.4223131120665791</v>
      </c>
      <c r="DL3" s="156">
        <f t="shared" ca="1" si="11"/>
        <v>8.4223131120665791</v>
      </c>
      <c r="DM3" s="156">
        <f t="shared" ca="1" si="11"/>
        <v>8.4223131120665791</v>
      </c>
      <c r="DN3" s="156">
        <f t="shared" ca="1" si="11"/>
        <v>8.4223131120665791</v>
      </c>
      <c r="DO3" s="156">
        <f t="shared" ca="1" si="11"/>
        <v>8.4223131120665791</v>
      </c>
      <c r="DP3" s="156">
        <f t="shared" ca="1" si="11"/>
        <v>8.4223131120665791</v>
      </c>
      <c r="DQ3" s="156">
        <f t="shared" ca="1" si="11"/>
        <v>8.4223131120665791</v>
      </c>
      <c r="DR3" s="156">
        <f t="shared" ca="1" si="11"/>
        <v>8.4223131120665791</v>
      </c>
      <c r="DS3" s="156">
        <f t="shared" ca="1" si="11"/>
        <v>8.4223131120665791</v>
      </c>
      <c r="DT3" s="156">
        <f t="shared" ca="1" si="11"/>
        <v>8.4223131120665791</v>
      </c>
    </row>
    <row r="4" spans="2:124" x14ac:dyDescent="0.25">
      <c r="C4" s="153" t="s">
        <v>233</v>
      </c>
      <c r="E4" s="171" t="str">
        <f>IF(AND(MOD(E$8-13, 12)=0, E$8&gt;=13), "x", "")</f>
        <v/>
      </c>
      <c r="F4" s="171" t="str">
        <f t="shared" ref="F4:BQ4" si="12">IF(AND(MOD(F$8-13, 12)=0, F$8&gt;=13), "x", "")</f>
        <v/>
      </c>
      <c r="G4" s="171" t="str">
        <f t="shared" si="12"/>
        <v/>
      </c>
      <c r="H4" s="171" t="str">
        <f t="shared" si="12"/>
        <v/>
      </c>
      <c r="I4" s="171" t="str">
        <f t="shared" si="12"/>
        <v/>
      </c>
      <c r="J4" s="171" t="str">
        <f t="shared" si="12"/>
        <v/>
      </c>
      <c r="K4" s="171" t="str">
        <f t="shared" si="12"/>
        <v/>
      </c>
      <c r="L4" s="171" t="str">
        <f t="shared" si="12"/>
        <v/>
      </c>
      <c r="M4" s="171" t="str">
        <f t="shared" si="12"/>
        <v/>
      </c>
      <c r="N4" s="171" t="str">
        <f t="shared" si="12"/>
        <v/>
      </c>
      <c r="O4" s="171" t="str">
        <f t="shared" si="12"/>
        <v/>
      </c>
      <c r="P4" s="171" t="str">
        <f t="shared" si="12"/>
        <v/>
      </c>
      <c r="Q4" s="171" t="str">
        <f t="shared" si="12"/>
        <v>x</v>
      </c>
      <c r="R4" s="171" t="str">
        <f t="shared" si="12"/>
        <v/>
      </c>
      <c r="S4" s="171" t="str">
        <f t="shared" si="12"/>
        <v/>
      </c>
      <c r="T4" s="171" t="str">
        <f t="shared" si="12"/>
        <v/>
      </c>
      <c r="U4" s="171" t="str">
        <f t="shared" si="12"/>
        <v/>
      </c>
      <c r="V4" s="171" t="str">
        <f t="shared" si="12"/>
        <v/>
      </c>
      <c r="W4" s="171" t="str">
        <f t="shared" si="12"/>
        <v/>
      </c>
      <c r="X4" s="171" t="str">
        <f t="shared" si="12"/>
        <v/>
      </c>
      <c r="Y4" s="171" t="str">
        <f t="shared" si="12"/>
        <v/>
      </c>
      <c r="Z4" s="171" t="str">
        <f t="shared" si="12"/>
        <v/>
      </c>
      <c r="AA4" s="171" t="str">
        <f t="shared" si="12"/>
        <v/>
      </c>
      <c r="AB4" s="171" t="str">
        <f t="shared" si="12"/>
        <v/>
      </c>
      <c r="AC4" s="171" t="str">
        <f t="shared" si="12"/>
        <v>x</v>
      </c>
      <c r="AD4" s="171" t="str">
        <f t="shared" si="12"/>
        <v/>
      </c>
      <c r="AE4" s="171" t="str">
        <f t="shared" si="12"/>
        <v/>
      </c>
      <c r="AF4" s="171" t="str">
        <f t="shared" si="12"/>
        <v/>
      </c>
      <c r="AG4" s="171" t="str">
        <f t="shared" si="12"/>
        <v/>
      </c>
      <c r="AH4" s="171" t="str">
        <f t="shared" si="12"/>
        <v/>
      </c>
      <c r="AI4" s="171" t="str">
        <f t="shared" si="12"/>
        <v/>
      </c>
      <c r="AJ4" s="171" t="str">
        <f t="shared" si="12"/>
        <v/>
      </c>
      <c r="AK4" s="171" t="str">
        <f t="shared" si="12"/>
        <v/>
      </c>
      <c r="AL4" s="171" t="str">
        <f t="shared" si="12"/>
        <v/>
      </c>
      <c r="AM4" s="171" t="str">
        <f t="shared" si="12"/>
        <v/>
      </c>
      <c r="AN4" s="171" t="str">
        <f t="shared" si="12"/>
        <v/>
      </c>
      <c r="AO4" s="171" t="str">
        <f t="shared" si="12"/>
        <v>x</v>
      </c>
      <c r="AP4" s="171" t="str">
        <f t="shared" si="12"/>
        <v/>
      </c>
      <c r="AQ4" s="171" t="str">
        <f t="shared" si="12"/>
        <v/>
      </c>
      <c r="AR4" s="171" t="str">
        <f t="shared" si="12"/>
        <v/>
      </c>
      <c r="AS4" s="171" t="str">
        <f t="shared" si="12"/>
        <v/>
      </c>
      <c r="AT4" s="171" t="str">
        <f t="shared" si="12"/>
        <v/>
      </c>
      <c r="AU4" s="171" t="str">
        <f t="shared" si="12"/>
        <v/>
      </c>
      <c r="AV4" s="171" t="str">
        <f t="shared" si="12"/>
        <v/>
      </c>
      <c r="AW4" s="171" t="str">
        <f t="shared" si="12"/>
        <v/>
      </c>
      <c r="AX4" s="171" t="str">
        <f t="shared" si="12"/>
        <v/>
      </c>
      <c r="AY4" s="171" t="str">
        <f t="shared" si="12"/>
        <v/>
      </c>
      <c r="AZ4" s="171" t="str">
        <f t="shared" si="12"/>
        <v/>
      </c>
      <c r="BA4" s="171" t="str">
        <f t="shared" si="12"/>
        <v>x</v>
      </c>
      <c r="BB4" s="171" t="str">
        <f t="shared" si="12"/>
        <v/>
      </c>
      <c r="BC4" s="171" t="str">
        <f t="shared" si="12"/>
        <v/>
      </c>
      <c r="BD4" s="171" t="str">
        <f t="shared" si="12"/>
        <v/>
      </c>
      <c r="BE4" s="171" t="str">
        <f t="shared" si="12"/>
        <v/>
      </c>
      <c r="BF4" s="171" t="str">
        <f t="shared" si="12"/>
        <v/>
      </c>
      <c r="BG4" s="171" t="str">
        <f t="shared" si="12"/>
        <v/>
      </c>
      <c r="BH4" s="171" t="str">
        <f t="shared" si="12"/>
        <v/>
      </c>
      <c r="BI4" s="171" t="str">
        <f t="shared" si="12"/>
        <v/>
      </c>
      <c r="BJ4" s="171" t="str">
        <f t="shared" si="12"/>
        <v/>
      </c>
      <c r="BK4" s="171" t="str">
        <f t="shared" si="12"/>
        <v/>
      </c>
      <c r="BL4" s="171" t="str">
        <f t="shared" si="12"/>
        <v/>
      </c>
      <c r="BM4" s="171" t="str">
        <f t="shared" si="12"/>
        <v>x</v>
      </c>
      <c r="BN4" s="171" t="str">
        <f t="shared" si="12"/>
        <v/>
      </c>
      <c r="BO4" s="171" t="str">
        <f t="shared" si="12"/>
        <v/>
      </c>
      <c r="BP4" s="171" t="str">
        <f t="shared" si="12"/>
        <v/>
      </c>
      <c r="BQ4" s="171" t="str">
        <f t="shared" si="12"/>
        <v/>
      </c>
      <c r="BR4" s="171" t="str">
        <f t="shared" ref="BR4:DT4" si="13">IF(AND(MOD(BR$8-13, 12)=0, BR$8&gt;=13), "x", "")</f>
        <v/>
      </c>
      <c r="BS4" s="171" t="str">
        <f t="shared" si="13"/>
        <v/>
      </c>
      <c r="BT4" s="171" t="str">
        <f t="shared" si="13"/>
        <v/>
      </c>
      <c r="BU4" s="171" t="str">
        <f t="shared" si="13"/>
        <v/>
      </c>
      <c r="BV4" s="171" t="str">
        <f t="shared" si="13"/>
        <v/>
      </c>
      <c r="BW4" s="171" t="str">
        <f t="shared" si="13"/>
        <v/>
      </c>
      <c r="BX4" s="171" t="str">
        <f t="shared" si="13"/>
        <v/>
      </c>
      <c r="BY4" s="171" t="str">
        <f t="shared" si="13"/>
        <v>x</v>
      </c>
      <c r="BZ4" s="171" t="str">
        <f t="shared" si="13"/>
        <v/>
      </c>
      <c r="CA4" s="171" t="str">
        <f t="shared" si="13"/>
        <v/>
      </c>
      <c r="CB4" s="171" t="str">
        <f t="shared" si="13"/>
        <v/>
      </c>
      <c r="CC4" s="171" t="str">
        <f t="shared" si="13"/>
        <v/>
      </c>
      <c r="CD4" s="171" t="str">
        <f t="shared" si="13"/>
        <v/>
      </c>
      <c r="CE4" s="171" t="str">
        <f t="shared" si="13"/>
        <v/>
      </c>
      <c r="CF4" s="171" t="str">
        <f t="shared" si="13"/>
        <v/>
      </c>
      <c r="CG4" s="171" t="str">
        <f t="shared" si="13"/>
        <v/>
      </c>
      <c r="CH4" s="171" t="str">
        <f t="shared" si="13"/>
        <v/>
      </c>
      <c r="CI4" s="171" t="str">
        <f t="shared" si="13"/>
        <v/>
      </c>
      <c r="CJ4" s="171" t="str">
        <f t="shared" si="13"/>
        <v/>
      </c>
      <c r="CK4" s="171" t="str">
        <f t="shared" si="13"/>
        <v>x</v>
      </c>
      <c r="CL4" s="171" t="str">
        <f t="shared" si="13"/>
        <v/>
      </c>
      <c r="CM4" s="171" t="str">
        <f t="shared" si="13"/>
        <v/>
      </c>
      <c r="CN4" s="171" t="str">
        <f t="shared" si="13"/>
        <v/>
      </c>
      <c r="CO4" s="171" t="str">
        <f t="shared" si="13"/>
        <v/>
      </c>
      <c r="CP4" s="171" t="str">
        <f t="shared" si="13"/>
        <v/>
      </c>
      <c r="CQ4" s="171" t="str">
        <f t="shared" si="13"/>
        <v/>
      </c>
      <c r="CR4" s="171" t="str">
        <f t="shared" si="13"/>
        <v/>
      </c>
      <c r="CS4" s="171" t="str">
        <f t="shared" si="13"/>
        <v/>
      </c>
      <c r="CT4" s="171" t="str">
        <f t="shared" si="13"/>
        <v/>
      </c>
      <c r="CU4" s="171" t="str">
        <f t="shared" si="13"/>
        <v/>
      </c>
      <c r="CV4" s="171" t="str">
        <f t="shared" si="13"/>
        <v/>
      </c>
      <c r="CW4" s="171" t="str">
        <f t="shared" si="13"/>
        <v>x</v>
      </c>
      <c r="CX4" s="171" t="str">
        <f t="shared" si="13"/>
        <v/>
      </c>
      <c r="CY4" s="171" t="str">
        <f t="shared" si="13"/>
        <v/>
      </c>
      <c r="CZ4" s="171" t="str">
        <f t="shared" si="13"/>
        <v/>
      </c>
      <c r="DA4" s="171" t="str">
        <f t="shared" si="13"/>
        <v/>
      </c>
      <c r="DB4" s="171" t="str">
        <f t="shared" si="13"/>
        <v/>
      </c>
      <c r="DC4" s="171" t="str">
        <f t="shared" si="13"/>
        <v/>
      </c>
      <c r="DD4" s="171" t="str">
        <f t="shared" si="13"/>
        <v/>
      </c>
      <c r="DE4" s="171" t="str">
        <f t="shared" si="13"/>
        <v/>
      </c>
      <c r="DF4" s="171" t="str">
        <f t="shared" si="13"/>
        <v/>
      </c>
      <c r="DG4" s="171" t="str">
        <f t="shared" si="13"/>
        <v/>
      </c>
      <c r="DH4" s="171" t="str">
        <f t="shared" si="13"/>
        <v/>
      </c>
      <c r="DI4" s="171" t="str">
        <f t="shared" si="13"/>
        <v>x</v>
      </c>
      <c r="DJ4" s="171" t="str">
        <f t="shared" si="13"/>
        <v/>
      </c>
      <c r="DK4" s="171" t="str">
        <f t="shared" si="13"/>
        <v/>
      </c>
      <c r="DL4" s="171" t="str">
        <f t="shared" si="13"/>
        <v/>
      </c>
      <c r="DM4" s="171" t="str">
        <f t="shared" si="13"/>
        <v/>
      </c>
      <c r="DN4" s="171" t="str">
        <f t="shared" si="13"/>
        <v/>
      </c>
      <c r="DO4" s="171" t="str">
        <f t="shared" si="13"/>
        <v/>
      </c>
      <c r="DP4" s="171" t="str">
        <f t="shared" si="13"/>
        <v/>
      </c>
      <c r="DQ4" s="171" t="str">
        <f t="shared" si="13"/>
        <v/>
      </c>
      <c r="DR4" s="171" t="str">
        <f t="shared" si="13"/>
        <v/>
      </c>
      <c r="DS4" s="171" t="str">
        <f t="shared" si="13"/>
        <v/>
      </c>
      <c r="DT4" s="171" t="str">
        <f t="shared" si="13"/>
        <v/>
      </c>
    </row>
    <row r="5" spans="2:124" x14ac:dyDescent="0.25">
      <c r="C5" s="153" t="s">
        <v>234</v>
      </c>
      <c r="D5" s="155">
        <f>'Inputs &amp; Summary'!D57</f>
        <v>3</v>
      </c>
      <c r="E5" s="171" t="str">
        <f>IF(AND(MOD(E$8-$D$5, 12)=0, E$8&gt;=$D$5), "x", "")</f>
        <v/>
      </c>
      <c r="F5" s="171" t="str">
        <f t="shared" ref="F5:BQ5" si="14">IF(AND(MOD(F$8-$D$5, 12)=0, F$8&gt;=$D$5), "x", "")</f>
        <v/>
      </c>
      <c r="G5" s="171" t="str">
        <f t="shared" si="14"/>
        <v>x</v>
      </c>
      <c r="H5" s="171" t="str">
        <f t="shared" si="14"/>
        <v/>
      </c>
      <c r="I5" s="171" t="str">
        <f t="shared" si="14"/>
        <v/>
      </c>
      <c r="J5" s="171" t="str">
        <f t="shared" si="14"/>
        <v/>
      </c>
      <c r="K5" s="171" t="str">
        <f t="shared" si="14"/>
        <v/>
      </c>
      <c r="L5" s="171" t="str">
        <f t="shared" si="14"/>
        <v/>
      </c>
      <c r="M5" s="171" t="str">
        <f t="shared" si="14"/>
        <v/>
      </c>
      <c r="N5" s="171" t="str">
        <f t="shared" si="14"/>
        <v/>
      </c>
      <c r="O5" s="171" t="str">
        <f t="shared" si="14"/>
        <v/>
      </c>
      <c r="P5" s="171" t="str">
        <f t="shared" si="14"/>
        <v/>
      </c>
      <c r="Q5" s="171" t="str">
        <f t="shared" si="14"/>
        <v/>
      </c>
      <c r="R5" s="171" t="str">
        <f t="shared" si="14"/>
        <v/>
      </c>
      <c r="S5" s="171" t="str">
        <f t="shared" si="14"/>
        <v>x</v>
      </c>
      <c r="T5" s="171" t="str">
        <f t="shared" si="14"/>
        <v/>
      </c>
      <c r="U5" s="171" t="str">
        <f t="shared" si="14"/>
        <v/>
      </c>
      <c r="V5" s="171" t="str">
        <f t="shared" si="14"/>
        <v/>
      </c>
      <c r="W5" s="171" t="str">
        <f t="shared" si="14"/>
        <v/>
      </c>
      <c r="X5" s="171" t="str">
        <f t="shared" si="14"/>
        <v/>
      </c>
      <c r="Y5" s="171" t="str">
        <f t="shared" si="14"/>
        <v/>
      </c>
      <c r="Z5" s="171" t="str">
        <f t="shared" si="14"/>
        <v/>
      </c>
      <c r="AA5" s="171" t="str">
        <f t="shared" si="14"/>
        <v/>
      </c>
      <c r="AB5" s="171" t="str">
        <f t="shared" si="14"/>
        <v/>
      </c>
      <c r="AC5" s="171" t="str">
        <f t="shared" si="14"/>
        <v/>
      </c>
      <c r="AD5" s="171" t="str">
        <f t="shared" si="14"/>
        <v/>
      </c>
      <c r="AE5" s="171" t="str">
        <f t="shared" si="14"/>
        <v>x</v>
      </c>
      <c r="AF5" s="171" t="str">
        <f t="shared" si="14"/>
        <v/>
      </c>
      <c r="AG5" s="171" t="str">
        <f t="shared" si="14"/>
        <v/>
      </c>
      <c r="AH5" s="171" t="str">
        <f t="shared" si="14"/>
        <v/>
      </c>
      <c r="AI5" s="171" t="str">
        <f t="shared" si="14"/>
        <v/>
      </c>
      <c r="AJ5" s="171" t="str">
        <f t="shared" si="14"/>
        <v/>
      </c>
      <c r="AK5" s="171" t="str">
        <f t="shared" si="14"/>
        <v/>
      </c>
      <c r="AL5" s="171" t="str">
        <f t="shared" si="14"/>
        <v/>
      </c>
      <c r="AM5" s="171" t="str">
        <f t="shared" si="14"/>
        <v/>
      </c>
      <c r="AN5" s="171" t="str">
        <f t="shared" si="14"/>
        <v/>
      </c>
      <c r="AO5" s="171" t="str">
        <f t="shared" si="14"/>
        <v/>
      </c>
      <c r="AP5" s="171" t="str">
        <f t="shared" si="14"/>
        <v/>
      </c>
      <c r="AQ5" s="171" t="str">
        <f t="shared" si="14"/>
        <v>x</v>
      </c>
      <c r="AR5" s="171" t="str">
        <f t="shared" si="14"/>
        <v/>
      </c>
      <c r="AS5" s="171" t="str">
        <f t="shared" si="14"/>
        <v/>
      </c>
      <c r="AT5" s="171" t="str">
        <f t="shared" si="14"/>
        <v/>
      </c>
      <c r="AU5" s="171" t="str">
        <f t="shared" si="14"/>
        <v/>
      </c>
      <c r="AV5" s="171" t="str">
        <f t="shared" si="14"/>
        <v/>
      </c>
      <c r="AW5" s="171" t="str">
        <f t="shared" si="14"/>
        <v/>
      </c>
      <c r="AX5" s="171" t="str">
        <f t="shared" si="14"/>
        <v/>
      </c>
      <c r="AY5" s="171" t="str">
        <f t="shared" si="14"/>
        <v/>
      </c>
      <c r="AZ5" s="171" t="str">
        <f t="shared" si="14"/>
        <v/>
      </c>
      <c r="BA5" s="171" t="str">
        <f t="shared" si="14"/>
        <v/>
      </c>
      <c r="BB5" s="171" t="str">
        <f t="shared" si="14"/>
        <v/>
      </c>
      <c r="BC5" s="171" t="str">
        <f t="shared" si="14"/>
        <v>x</v>
      </c>
      <c r="BD5" s="171" t="str">
        <f t="shared" si="14"/>
        <v/>
      </c>
      <c r="BE5" s="171" t="str">
        <f t="shared" si="14"/>
        <v/>
      </c>
      <c r="BF5" s="171" t="str">
        <f t="shared" si="14"/>
        <v/>
      </c>
      <c r="BG5" s="171" t="str">
        <f t="shared" si="14"/>
        <v/>
      </c>
      <c r="BH5" s="171" t="str">
        <f t="shared" si="14"/>
        <v/>
      </c>
      <c r="BI5" s="171" t="str">
        <f t="shared" si="14"/>
        <v/>
      </c>
      <c r="BJ5" s="171" t="str">
        <f t="shared" si="14"/>
        <v/>
      </c>
      <c r="BK5" s="171" t="str">
        <f t="shared" si="14"/>
        <v/>
      </c>
      <c r="BL5" s="171" t="str">
        <f t="shared" si="14"/>
        <v/>
      </c>
      <c r="BM5" s="171" t="str">
        <f t="shared" si="14"/>
        <v/>
      </c>
      <c r="BN5" s="171" t="str">
        <f t="shared" si="14"/>
        <v/>
      </c>
      <c r="BO5" s="171" t="str">
        <f t="shared" si="14"/>
        <v>x</v>
      </c>
      <c r="BP5" s="171" t="str">
        <f t="shared" si="14"/>
        <v/>
      </c>
      <c r="BQ5" s="171" t="str">
        <f t="shared" si="14"/>
        <v/>
      </c>
      <c r="BR5" s="171" t="str">
        <f t="shared" ref="BR5:DT5" si="15">IF(AND(MOD(BR$8-$D$5, 12)=0, BR$8&gt;=$D$5), "x", "")</f>
        <v/>
      </c>
      <c r="BS5" s="171" t="str">
        <f t="shared" si="15"/>
        <v/>
      </c>
      <c r="BT5" s="171" t="str">
        <f t="shared" si="15"/>
        <v/>
      </c>
      <c r="BU5" s="171" t="str">
        <f t="shared" si="15"/>
        <v/>
      </c>
      <c r="BV5" s="171" t="str">
        <f t="shared" si="15"/>
        <v/>
      </c>
      <c r="BW5" s="171" t="str">
        <f t="shared" si="15"/>
        <v/>
      </c>
      <c r="BX5" s="171" t="str">
        <f t="shared" si="15"/>
        <v/>
      </c>
      <c r="BY5" s="171" t="str">
        <f t="shared" si="15"/>
        <v/>
      </c>
      <c r="BZ5" s="171" t="str">
        <f t="shared" si="15"/>
        <v/>
      </c>
      <c r="CA5" s="171" t="str">
        <f t="shared" si="15"/>
        <v>x</v>
      </c>
      <c r="CB5" s="171" t="str">
        <f t="shared" si="15"/>
        <v/>
      </c>
      <c r="CC5" s="171" t="str">
        <f t="shared" si="15"/>
        <v/>
      </c>
      <c r="CD5" s="171" t="str">
        <f t="shared" si="15"/>
        <v/>
      </c>
      <c r="CE5" s="171" t="str">
        <f t="shared" si="15"/>
        <v/>
      </c>
      <c r="CF5" s="171" t="str">
        <f t="shared" si="15"/>
        <v/>
      </c>
      <c r="CG5" s="171" t="str">
        <f t="shared" si="15"/>
        <v/>
      </c>
      <c r="CH5" s="171" t="str">
        <f t="shared" si="15"/>
        <v/>
      </c>
      <c r="CI5" s="171" t="str">
        <f t="shared" si="15"/>
        <v/>
      </c>
      <c r="CJ5" s="171" t="str">
        <f t="shared" si="15"/>
        <v/>
      </c>
      <c r="CK5" s="171" t="str">
        <f t="shared" si="15"/>
        <v/>
      </c>
      <c r="CL5" s="171" t="str">
        <f t="shared" si="15"/>
        <v/>
      </c>
      <c r="CM5" s="171" t="str">
        <f t="shared" si="15"/>
        <v>x</v>
      </c>
      <c r="CN5" s="171" t="str">
        <f t="shared" si="15"/>
        <v/>
      </c>
      <c r="CO5" s="171" t="str">
        <f t="shared" si="15"/>
        <v/>
      </c>
      <c r="CP5" s="171" t="str">
        <f t="shared" si="15"/>
        <v/>
      </c>
      <c r="CQ5" s="171" t="str">
        <f t="shared" si="15"/>
        <v/>
      </c>
      <c r="CR5" s="171" t="str">
        <f t="shared" si="15"/>
        <v/>
      </c>
      <c r="CS5" s="171" t="str">
        <f t="shared" si="15"/>
        <v/>
      </c>
      <c r="CT5" s="171" t="str">
        <f t="shared" si="15"/>
        <v/>
      </c>
      <c r="CU5" s="171" t="str">
        <f t="shared" si="15"/>
        <v/>
      </c>
      <c r="CV5" s="171" t="str">
        <f t="shared" si="15"/>
        <v/>
      </c>
      <c r="CW5" s="171" t="str">
        <f t="shared" si="15"/>
        <v/>
      </c>
      <c r="CX5" s="171" t="str">
        <f t="shared" si="15"/>
        <v/>
      </c>
      <c r="CY5" s="171" t="str">
        <f t="shared" si="15"/>
        <v>x</v>
      </c>
      <c r="CZ5" s="171" t="str">
        <f t="shared" si="15"/>
        <v/>
      </c>
      <c r="DA5" s="171" t="str">
        <f t="shared" si="15"/>
        <v/>
      </c>
      <c r="DB5" s="171" t="str">
        <f t="shared" si="15"/>
        <v/>
      </c>
      <c r="DC5" s="171" t="str">
        <f t="shared" si="15"/>
        <v/>
      </c>
      <c r="DD5" s="171" t="str">
        <f t="shared" si="15"/>
        <v/>
      </c>
      <c r="DE5" s="171" t="str">
        <f t="shared" si="15"/>
        <v/>
      </c>
      <c r="DF5" s="171" t="str">
        <f t="shared" si="15"/>
        <v/>
      </c>
      <c r="DG5" s="171" t="str">
        <f t="shared" si="15"/>
        <v/>
      </c>
      <c r="DH5" s="171" t="str">
        <f t="shared" si="15"/>
        <v/>
      </c>
      <c r="DI5" s="171" t="str">
        <f t="shared" si="15"/>
        <v/>
      </c>
      <c r="DJ5" s="171" t="str">
        <f t="shared" si="15"/>
        <v/>
      </c>
      <c r="DK5" s="171" t="str">
        <f t="shared" si="15"/>
        <v>x</v>
      </c>
      <c r="DL5" s="171" t="str">
        <f t="shared" si="15"/>
        <v/>
      </c>
      <c r="DM5" s="171" t="str">
        <f t="shared" si="15"/>
        <v/>
      </c>
      <c r="DN5" s="171" t="str">
        <f t="shared" si="15"/>
        <v/>
      </c>
      <c r="DO5" s="171" t="str">
        <f t="shared" si="15"/>
        <v/>
      </c>
      <c r="DP5" s="171" t="str">
        <f t="shared" si="15"/>
        <v/>
      </c>
      <c r="DQ5" s="171" t="str">
        <f t="shared" si="15"/>
        <v/>
      </c>
      <c r="DR5" s="171" t="str">
        <f t="shared" si="15"/>
        <v/>
      </c>
      <c r="DS5" s="171" t="str">
        <f t="shared" si="15"/>
        <v/>
      </c>
      <c r="DT5" s="171" t="str">
        <f t="shared" si="15"/>
        <v/>
      </c>
    </row>
    <row r="6" spans="2:124" x14ac:dyDescent="0.25">
      <c r="C6" s="25" t="s">
        <v>27</v>
      </c>
      <c r="D6" s="24">
        <f ca="1">'Inputs &amp; Summary'!$D$20</f>
        <v>46174</v>
      </c>
      <c r="E6" s="24">
        <f ca="1">EOMONTH(D6,1)</f>
        <v>46234</v>
      </c>
      <c r="F6" s="24">
        <f t="shared" ref="F6:BQ6" ca="1" si="16">EOMONTH(E6,1)</f>
        <v>46265</v>
      </c>
      <c r="G6" s="24">
        <f t="shared" ca="1" si="16"/>
        <v>46295</v>
      </c>
      <c r="H6" s="24">
        <f ca="1">EOMONTH(G6,1)</f>
        <v>46326</v>
      </c>
      <c r="I6" s="24">
        <f t="shared" ca="1" si="16"/>
        <v>46356</v>
      </c>
      <c r="J6" s="24">
        <f t="shared" ca="1" si="16"/>
        <v>46387</v>
      </c>
      <c r="K6" s="24">
        <f t="shared" ca="1" si="16"/>
        <v>46418</v>
      </c>
      <c r="L6" s="24">
        <f t="shared" ca="1" si="16"/>
        <v>46446</v>
      </c>
      <c r="M6" s="24">
        <f t="shared" ca="1" si="16"/>
        <v>46477</v>
      </c>
      <c r="N6" s="24">
        <f t="shared" ca="1" si="16"/>
        <v>46507</v>
      </c>
      <c r="O6" s="24">
        <f t="shared" ca="1" si="16"/>
        <v>46538</v>
      </c>
      <c r="P6" s="24">
        <f t="shared" ca="1" si="16"/>
        <v>46568</v>
      </c>
      <c r="Q6" s="24">
        <f t="shared" ca="1" si="16"/>
        <v>46599</v>
      </c>
      <c r="R6" s="24">
        <f t="shared" ca="1" si="16"/>
        <v>46630</v>
      </c>
      <c r="S6" s="24">
        <f t="shared" ca="1" si="16"/>
        <v>46660</v>
      </c>
      <c r="T6" s="24">
        <f t="shared" ca="1" si="16"/>
        <v>46691</v>
      </c>
      <c r="U6" s="24">
        <f t="shared" ca="1" si="16"/>
        <v>46721</v>
      </c>
      <c r="V6" s="24">
        <f t="shared" ca="1" si="16"/>
        <v>46752</v>
      </c>
      <c r="W6" s="24">
        <f t="shared" ca="1" si="16"/>
        <v>46783</v>
      </c>
      <c r="X6" s="24">
        <f t="shared" ca="1" si="16"/>
        <v>46812</v>
      </c>
      <c r="Y6" s="24">
        <f t="shared" ca="1" si="16"/>
        <v>46843</v>
      </c>
      <c r="Z6" s="24">
        <f t="shared" ca="1" si="16"/>
        <v>46873</v>
      </c>
      <c r="AA6" s="24">
        <f t="shared" ca="1" si="16"/>
        <v>46904</v>
      </c>
      <c r="AB6" s="24">
        <f t="shared" ca="1" si="16"/>
        <v>46934</v>
      </c>
      <c r="AC6" s="24">
        <f t="shared" ca="1" si="16"/>
        <v>46965</v>
      </c>
      <c r="AD6" s="24">
        <f t="shared" ca="1" si="16"/>
        <v>46996</v>
      </c>
      <c r="AE6" s="24">
        <f t="shared" ca="1" si="16"/>
        <v>47026</v>
      </c>
      <c r="AF6" s="24">
        <f t="shared" ca="1" si="16"/>
        <v>47057</v>
      </c>
      <c r="AG6" s="24">
        <f t="shared" ca="1" si="16"/>
        <v>47087</v>
      </c>
      <c r="AH6" s="24">
        <f t="shared" ca="1" si="16"/>
        <v>47118</v>
      </c>
      <c r="AI6" s="24">
        <f t="shared" ca="1" si="16"/>
        <v>47149</v>
      </c>
      <c r="AJ6" s="24">
        <f t="shared" ca="1" si="16"/>
        <v>47177</v>
      </c>
      <c r="AK6" s="24">
        <f t="shared" ca="1" si="16"/>
        <v>47208</v>
      </c>
      <c r="AL6" s="24">
        <f t="shared" ca="1" si="16"/>
        <v>47238</v>
      </c>
      <c r="AM6" s="24">
        <f t="shared" ca="1" si="16"/>
        <v>47269</v>
      </c>
      <c r="AN6" s="24">
        <f t="shared" ca="1" si="16"/>
        <v>47299</v>
      </c>
      <c r="AO6" s="24">
        <f t="shared" ca="1" si="16"/>
        <v>47330</v>
      </c>
      <c r="AP6" s="24">
        <f t="shared" ca="1" si="16"/>
        <v>47361</v>
      </c>
      <c r="AQ6" s="24">
        <f t="shared" ca="1" si="16"/>
        <v>47391</v>
      </c>
      <c r="AR6" s="24">
        <f t="shared" ca="1" si="16"/>
        <v>47422</v>
      </c>
      <c r="AS6" s="24">
        <f t="shared" ca="1" si="16"/>
        <v>47452</v>
      </c>
      <c r="AT6" s="24">
        <f t="shared" ca="1" si="16"/>
        <v>47483</v>
      </c>
      <c r="AU6" s="24">
        <f t="shared" ca="1" si="16"/>
        <v>47514</v>
      </c>
      <c r="AV6" s="24">
        <f t="shared" ca="1" si="16"/>
        <v>47542</v>
      </c>
      <c r="AW6" s="24">
        <f t="shared" ca="1" si="16"/>
        <v>47573</v>
      </c>
      <c r="AX6" s="24">
        <f t="shared" ca="1" si="16"/>
        <v>47603</v>
      </c>
      <c r="AY6" s="24">
        <f t="shared" ca="1" si="16"/>
        <v>47634</v>
      </c>
      <c r="AZ6" s="24">
        <f t="shared" ca="1" si="16"/>
        <v>47664</v>
      </c>
      <c r="BA6" s="24">
        <f t="shared" ca="1" si="16"/>
        <v>47695</v>
      </c>
      <c r="BB6" s="24">
        <f t="shared" ca="1" si="16"/>
        <v>47726</v>
      </c>
      <c r="BC6" s="24">
        <f t="shared" ca="1" si="16"/>
        <v>47756</v>
      </c>
      <c r="BD6" s="24">
        <f t="shared" ca="1" si="16"/>
        <v>47787</v>
      </c>
      <c r="BE6" s="24">
        <f t="shared" ca="1" si="16"/>
        <v>47817</v>
      </c>
      <c r="BF6" s="24">
        <f t="shared" ca="1" si="16"/>
        <v>47848</v>
      </c>
      <c r="BG6" s="24">
        <f t="shared" ca="1" si="16"/>
        <v>47879</v>
      </c>
      <c r="BH6" s="24">
        <f t="shared" ca="1" si="16"/>
        <v>47907</v>
      </c>
      <c r="BI6" s="24">
        <f t="shared" ca="1" si="16"/>
        <v>47938</v>
      </c>
      <c r="BJ6" s="24">
        <f t="shared" ca="1" si="16"/>
        <v>47968</v>
      </c>
      <c r="BK6" s="24">
        <f t="shared" ca="1" si="16"/>
        <v>47999</v>
      </c>
      <c r="BL6" s="24">
        <f t="shared" ca="1" si="16"/>
        <v>48029</v>
      </c>
      <c r="BM6" s="24">
        <f t="shared" ca="1" si="16"/>
        <v>48060</v>
      </c>
      <c r="BN6" s="24">
        <f t="shared" ca="1" si="16"/>
        <v>48091</v>
      </c>
      <c r="BO6" s="24">
        <f t="shared" ca="1" si="16"/>
        <v>48121</v>
      </c>
      <c r="BP6" s="24">
        <f t="shared" ca="1" si="16"/>
        <v>48152</v>
      </c>
      <c r="BQ6" s="24">
        <f t="shared" ca="1" si="16"/>
        <v>48182</v>
      </c>
      <c r="BR6" s="24">
        <f t="shared" ref="BR6:DT6" ca="1" si="17">EOMONTH(BQ6,1)</f>
        <v>48213</v>
      </c>
      <c r="BS6" s="24">
        <f t="shared" ca="1" si="17"/>
        <v>48244</v>
      </c>
      <c r="BT6" s="24">
        <f t="shared" ca="1" si="17"/>
        <v>48273</v>
      </c>
      <c r="BU6" s="24">
        <f t="shared" ca="1" si="17"/>
        <v>48304</v>
      </c>
      <c r="BV6" s="24">
        <f t="shared" ca="1" si="17"/>
        <v>48334</v>
      </c>
      <c r="BW6" s="24">
        <f t="shared" ca="1" si="17"/>
        <v>48365</v>
      </c>
      <c r="BX6" s="24">
        <f t="shared" ca="1" si="17"/>
        <v>48395</v>
      </c>
      <c r="BY6" s="24">
        <f t="shared" ca="1" si="17"/>
        <v>48426</v>
      </c>
      <c r="BZ6" s="24">
        <f t="shared" ca="1" si="17"/>
        <v>48457</v>
      </c>
      <c r="CA6" s="24">
        <f t="shared" ca="1" si="17"/>
        <v>48487</v>
      </c>
      <c r="CB6" s="24">
        <f t="shared" ca="1" si="17"/>
        <v>48518</v>
      </c>
      <c r="CC6" s="24">
        <f t="shared" ca="1" si="17"/>
        <v>48548</v>
      </c>
      <c r="CD6" s="24">
        <f t="shared" ca="1" si="17"/>
        <v>48579</v>
      </c>
      <c r="CE6" s="24">
        <f t="shared" ca="1" si="17"/>
        <v>48610</v>
      </c>
      <c r="CF6" s="24">
        <f t="shared" ca="1" si="17"/>
        <v>48638</v>
      </c>
      <c r="CG6" s="24">
        <f t="shared" ca="1" si="17"/>
        <v>48669</v>
      </c>
      <c r="CH6" s="24">
        <f t="shared" ca="1" si="17"/>
        <v>48699</v>
      </c>
      <c r="CI6" s="24">
        <f t="shared" ca="1" si="17"/>
        <v>48730</v>
      </c>
      <c r="CJ6" s="24">
        <f t="shared" ca="1" si="17"/>
        <v>48760</v>
      </c>
      <c r="CK6" s="24">
        <f t="shared" ca="1" si="17"/>
        <v>48791</v>
      </c>
      <c r="CL6" s="24">
        <f t="shared" ca="1" si="17"/>
        <v>48822</v>
      </c>
      <c r="CM6" s="24">
        <f t="shared" ca="1" si="17"/>
        <v>48852</v>
      </c>
      <c r="CN6" s="24">
        <f t="shared" ca="1" si="17"/>
        <v>48883</v>
      </c>
      <c r="CO6" s="24">
        <f t="shared" ca="1" si="17"/>
        <v>48913</v>
      </c>
      <c r="CP6" s="24">
        <f t="shared" ca="1" si="17"/>
        <v>48944</v>
      </c>
      <c r="CQ6" s="24">
        <f t="shared" ca="1" si="17"/>
        <v>48975</v>
      </c>
      <c r="CR6" s="24">
        <f t="shared" ca="1" si="17"/>
        <v>49003</v>
      </c>
      <c r="CS6" s="24">
        <f t="shared" ca="1" si="17"/>
        <v>49034</v>
      </c>
      <c r="CT6" s="24">
        <f t="shared" ca="1" si="17"/>
        <v>49064</v>
      </c>
      <c r="CU6" s="24">
        <f t="shared" ca="1" si="17"/>
        <v>49095</v>
      </c>
      <c r="CV6" s="24">
        <f t="shared" ca="1" si="17"/>
        <v>49125</v>
      </c>
      <c r="CW6" s="24">
        <f t="shared" ca="1" si="17"/>
        <v>49156</v>
      </c>
      <c r="CX6" s="24">
        <f t="shared" ca="1" si="17"/>
        <v>49187</v>
      </c>
      <c r="CY6" s="24">
        <f t="shared" ca="1" si="17"/>
        <v>49217</v>
      </c>
      <c r="CZ6" s="24">
        <f t="shared" ca="1" si="17"/>
        <v>49248</v>
      </c>
      <c r="DA6" s="24">
        <f t="shared" ca="1" si="17"/>
        <v>49278</v>
      </c>
      <c r="DB6" s="24">
        <f t="shared" ca="1" si="17"/>
        <v>49309</v>
      </c>
      <c r="DC6" s="24">
        <f t="shared" ca="1" si="17"/>
        <v>49340</v>
      </c>
      <c r="DD6" s="24">
        <f t="shared" ca="1" si="17"/>
        <v>49368</v>
      </c>
      <c r="DE6" s="24">
        <f t="shared" ca="1" si="17"/>
        <v>49399</v>
      </c>
      <c r="DF6" s="24">
        <f t="shared" ca="1" si="17"/>
        <v>49429</v>
      </c>
      <c r="DG6" s="24">
        <f t="shared" ca="1" si="17"/>
        <v>49460</v>
      </c>
      <c r="DH6" s="24">
        <f t="shared" ca="1" si="17"/>
        <v>49490</v>
      </c>
      <c r="DI6" s="24">
        <f t="shared" ca="1" si="17"/>
        <v>49521</v>
      </c>
      <c r="DJ6" s="24">
        <f t="shared" ca="1" si="17"/>
        <v>49552</v>
      </c>
      <c r="DK6" s="24">
        <f t="shared" ca="1" si="17"/>
        <v>49582</v>
      </c>
      <c r="DL6" s="24">
        <f t="shared" ca="1" si="17"/>
        <v>49613</v>
      </c>
      <c r="DM6" s="24">
        <f t="shared" ca="1" si="17"/>
        <v>49643</v>
      </c>
      <c r="DN6" s="24">
        <f t="shared" ca="1" si="17"/>
        <v>49674</v>
      </c>
      <c r="DO6" s="24">
        <f t="shared" ca="1" si="17"/>
        <v>49705</v>
      </c>
      <c r="DP6" s="24">
        <f t="shared" ca="1" si="17"/>
        <v>49734</v>
      </c>
      <c r="DQ6" s="24">
        <f t="shared" ca="1" si="17"/>
        <v>49765</v>
      </c>
      <c r="DR6" s="24">
        <f t="shared" ca="1" si="17"/>
        <v>49795</v>
      </c>
      <c r="DS6" s="24">
        <f t="shared" ca="1" si="17"/>
        <v>49826</v>
      </c>
      <c r="DT6" s="24">
        <f t="shared" ca="1" si="17"/>
        <v>49856</v>
      </c>
    </row>
    <row r="7" spans="2:124" x14ac:dyDescent="0.25">
      <c r="C7" s="25" t="s">
        <v>26</v>
      </c>
      <c r="D7" s="23">
        <v>0</v>
      </c>
      <c r="E7" s="23">
        <f>ROUNDUP(E8/12,0)</f>
        <v>1</v>
      </c>
      <c r="F7" s="23">
        <f t="shared" ref="F7:BQ7" si="18">ROUNDUP(F8/12,0)</f>
        <v>1</v>
      </c>
      <c r="G7" s="23">
        <f t="shared" si="18"/>
        <v>1</v>
      </c>
      <c r="H7" s="23">
        <f t="shared" si="18"/>
        <v>1</v>
      </c>
      <c r="I7" s="23">
        <f t="shared" si="18"/>
        <v>1</v>
      </c>
      <c r="J7" s="23">
        <f t="shared" si="18"/>
        <v>1</v>
      </c>
      <c r="K7" s="23">
        <f t="shared" si="18"/>
        <v>1</v>
      </c>
      <c r="L7" s="23">
        <f t="shared" si="18"/>
        <v>1</v>
      </c>
      <c r="M7" s="23">
        <f t="shared" si="18"/>
        <v>1</v>
      </c>
      <c r="N7" s="23">
        <f t="shared" si="18"/>
        <v>1</v>
      </c>
      <c r="O7" s="23">
        <f t="shared" si="18"/>
        <v>1</v>
      </c>
      <c r="P7" s="23">
        <f t="shared" si="18"/>
        <v>1</v>
      </c>
      <c r="Q7" s="23">
        <f t="shared" si="18"/>
        <v>2</v>
      </c>
      <c r="R7" s="23">
        <f t="shared" si="18"/>
        <v>2</v>
      </c>
      <c r="S7" s="23">
        <f t="shared" si="18"/>
        <v>2</v>
      </c>
      <c r="T7" s="23">
        <f t="shared" si="18"/>
        <v>2</v>
      </c>
      <c r="U7" s="23">
        <f t="shared" si="18"/>
        <v>2</v>
      </c>
      <c r="V7" s="23">
        <f t="shared" si="18"/>
        <v>2</v>
      </c>
      <c r="W7" s="23">
        <f t="shared" si="18"/>
        <v>2</v>
      </c>
      <c r="X7" s="23">
        <f t="shared" si="18"/>
        <v>2</v>
      </c>
      <c r="Y7" s="23">
        <f t="shared" si="18"/>
        <v>2</v>
      </c>
      <c r="Z7" s="23">
        <f t="shared" si="18"/>
        <v>2</v>
      </c>
      <c r="AA7" s="23">
        <f t="shared" si="18"/>
        <v>2</v>
      </c>
      <c r="AB7" s="23">
        <f t="shared" si="18"/>
        <v>2</v>
      </c>
      <c r="AC7" s="23">
        <f t="shared" si="18"/>
        <v>3</v>
      </c>
      <c r="AD7" s="23">
        <f t="shared" si="18"/>
        <v>3</v>
      </c>
      <c r="AE7" s="23">
        <f t="shared" si="18"/>
        <v>3</v>
      </c>
      <c r="AF7" s="23">
        <f t="shared" si="18"/>
        <v>3</v>
      </c>
      <c r="AG7" s="23">
        <f t="shared" si="18"/>
        <v>3</v>
      </c>
      <c r="AH7" s="23">
        <f t="shared" si="18"/>
        <v>3</v>
      </c>
      <c r="AI7" s="23">
        <f t="shared" si="18"/>
        <v>3</v>
      </c>
      <c r="AJ7" s="23">
        <f t="shared" si="18"/>
        <v>3</v>
      </c>
      <c r="AK7" s="23">
        <f t="shared" si="18"/>
        <v>3</v>
      </c>
      <c r="AL7" s="23">
        <f t="shared" si="18"/>
        <v>3</v>
      </c>
      <c r="AM7" s="23">
        <f t="shared" si="18"/>
        <v>3</v>
      </c>
      <c r="AN7" s="23">
        <f t="shared" si="18"/>
        <v>3</v>
      </c>
      <c r="AO7" s="23">
        <f t="shared" si="18"/>
        <v>4</v>
      </c>
      <c r="AP7" s="23">
        <f t="shared" si="18"/>
        <v>4</v>
      </c>
      <c r="AQ7" s="23">
        <f t="shared" si="18"/>
        <v>4</v>
      </c>
      <c r="AR7" s="23">
        <f t="shared" si="18"/>
        <v>4</v>
      </c>
      <c r="AS7" s="23">
        <f t="shared" si="18"/>
        <v>4</v>
      </c>
      <c r="AT7" s="23">
        <f t="shared" si="18"/>
        <v>4</v>
      </c>
      <c r="AU7" s="23">
        <f t="shared" si="18"/>
        <v>4</v>
      </c>
      <c r="AV7" s="23">
        <f t="shared" si="18"/>
        <v>4</v>
      </c>
      <c r="AW7" s="23">
        <f t="shared" si="18"/>
        <v>4</v>
      </c>
      <c r="AX7" s="23">
        <f t="shared" si="18"/>
        <v>4</v>
      </c>
      <c r="AY7" s="23">
        <f t="shared" si="18"/>
        <v>4</v>
      </c>
      <c r="AZ7" s="23">
        <f t="shared" si="18"/>
        <v>4</v>
      </c>
      <c r="BA7" s="23">
        <f t="shared" si="18"/>
        <v>5</v>
      </c>
      <c r="BB7" s="23">
        <f t="shared" si="18"/>
        <v>5</v>
      </c>
      <c r="BC7" s="23">
        <f t="shared" si="18"/>
        <v>5</v>
      </c>
      <c r="BD7" s="23">
        <f t="shared" si="18"/>
        <v>5</v>
      </c>
      <c r="BE7" s="23">
        <f t="shared" si="18"/>
        <v>5</v>
      </c>
      <c r="BF7" s="23">
        <f t="shared" si="18"/>
        <v>5</v>
      </c>
      <c r="BG7" s="23">
        <f t="shared" si="18"/>
        <v>5</v>
      </c>
      <c r="BH7" s="23">
        <f t="shared" si="18"/>
        <v>5</v>
      </c>
      <c r="BI7" s="23">
        <f t="shared" si="18"/>
        <v>5</v>
      </c>
      <c r="BJ7" s="23">
        <f t="shared" si="18"/>
        <v>5</v>
      </c>
      <c r="BK7" s="23">
        <f t="shared" si="18"/>
        <v>5</v>
      </c>
      <c r="BL7" s="23">
        <f t="shared" si="18"/>
        <v>5</v>
      </c>
      <c r="BM7" s="23">
        <f t="shared" si="18"/>
        <v>6</v>
      </c>
      <c r="BN7" s="23">
        <f t="shared" si="18"/>
        <v>6</v>
      </c>
      <c r="BO7" s="23">
        <f t="shared" si="18"/>
        <v>6</v>
      </c>
      <c r="BP7" s="23">
        <f t="shared" si="18"/>
        <v>6</v>
      </c>
      <c r="BQ7" s="23">
        <f t="shared" si="18"/>
        <v>6</v>
      </c>
      <c r="BR7" s="23">
        <f t="shared" ref="BR7:DT7" si="19">ROUNDUP(BR8/12,0)</f>
        <v>6</v>
      </c>
      <c r="BS7" s="23">
        <f t="shared" si="19"/>
        <v>6</v>
      </c>
      <c r="BT7" s="23">
        <f t="shared" si="19"/>
        <v>6</v>
      </c>
      <c r="BU7" s="23">
        <f t="shared" si="19"/>
        <v>6</v>
      </c>
      <c r="BV7" s="23">
        <f t="shared" si="19"/>
        <v>6</v>
      </c>
      <c r="BW7" s="23">
        <f t="shared" si="19"/>
        <v>6</v>
      </c>
      <c r="BX7" s="23">
        <f t="shared" si="19"/>
        <v>6</v>
      </c>
      <c r="BY7" s="23">
        <f t="shared" si="19"/>
        <v>7</v>
      </c>
      <c r="BZ7" s="23">
        <f t="shared" si="19"/>
        <v>7</v>
      </c>
      <c r="CA7" s="23">
        <f t="shared" si="19"/>
        <v>7</v>
      </c>
      <c r="CB7" s="23">
        <f t="shared" si="19"/>
        <v>7</v>
      </c>
      <c r="CC7" s="23">
        <f t="shared" si="19"/>
        <v>7</v>
      </c>
      <c r="CD7" s="23">
        <f t="shared" si="19"/>
        <v>7</v>
      </c>
      <c r="CE7" s="23">
        <f t="shared" si="19"/>
        <v>7</v>
      </c>
      <c r="CF7" s="23">
        <f t="shared" si="19"/>
        <v>7</v>
      </c>
      <c r="CG7" s="23">
        <f t="shared" si="19"/>
        <v>7</v>
      </c>
      <c r="CH7" s="23">
        <f t="shared" si="19"/>
        <v>7</v>
      </c>
      <c r="CI7" s="23">
        <f t="shared" si="19"/>
        <v>7</v>
      </c>
      <c r="CJ7" s="23">
        <f t="shared" si="19"/>
        <v>7</v>
      </c>
      <c r="CK7" s="23">
        <f t="shared" si="19"/>
        <v>8</v>
      </c>
      <c r="CL7" s="23">
        <f t="shared" si="19"/>
        <v>8</v>
      </c>
      <c r="CM7" s="23">
        <f t="shared" si="19"/>
        <v>8</v>
      </c>
      <c r="CN7" s="23">
        <f t="shared" si="19"/>
        <v>8</v>
      </c>
      <c r="CO7" s="23">
        <f t="shared" si="19"/>
        <v>8</v>
      </c>
      <c r="CP7" s="23">
        <f t="shared" si="19"/>
        <v>8</v>
      </c>
      <c r="CQ7" s="23">
        <f t="shared" si="19"/>
        <v>8</v>
      </c>
      <c r="CR7" s="23">
        <f t="shared" si="19"/>
        <v>8</v>
      </c>
      <c r="CS7" s="23">
        <f t="shared" si="19"/>
        <v>8</v>
      </c>
      <c r="CT7" s="23">
        <f t="shared" si="19"/>
        <v>8</v>
      </c>
      <c r="CU7" s="23">
        <f t="shared" si="19"/>
        <v>8</v>
      </c>
      <c r="CV7" s="23">
        <f t="shared" si="19"/>
        <v>8</v>
      </c>
      <c r="CW7" s="23">
        <f t="shared" si="19"/>
        <v>9</v>
      </c>
      <c r="CX7" s="23">
        <f t="shared" si="19"/>
        <v>9</v>
      </c>
      <c r="CY7" s="23">
        <f t="shared" si="19"/>
        <v>9</v>
      </c>
      <c r="CZ7" s="23">
        <f t="shared" si="19"/>
        <v>9</v>
      </c>
      <c r="DA7" s="23">
        <f t="shared" si="19"/>
        <v>9</v>
      </c>
      <c r="DB7" s="23">
        <f t="shared" si="19"/>
        <v>9</v>
      </c>
      <c r="DC7" s="23">
        <f t="shared" si="19"/>
        <v>9</v>
      </c>
      <c r="DD7" s="23">
        <f t="shared" si="19"/>
        <v>9</v>
      </c>
      <c r="DE7" s="23">
        <f t="shared" si="19"/>
        <v>9</v>
      </c>
      <c r="DF7" s="23">
        <f t="shared" si="19"/>
        <v>9</v>
      </c>
      <c r="DG7" s="23">
        <f t="shared" si="19"/>
        <v>9</v>
      </c>
      <c r="DH7" s="23">
        <f t="shared" si="19"/>
        <v>9</v>
      </c>
      <c r="DI7" s="23">
        <f t="shared" si="19"/>
        <v>10</v>
      </c>
      <c r="DJ7" s="23">
        <f t="shared" si="19"/>
        <v>10</v>
      </c>
      <c r="DK7" s="23">
        <f t="shared" si="19"/>
        <v>10</v>
      </c>
      <c r="DL7" s="23">
        <f t="shared" si="19"/>
        <v>10</v>
      </c>
      <c r="DM7" s="23">
        <f t="shared" si="19"/>
        <v>10</v>
      </c>
      <c r="DN7" s="23">
        <f t="shared" si="19"/>
        <v>10</v>
      </c>
      <c r="DO7" s="23">
        <f t="shared" si="19"/>
        <v>10</v>
      </c>
      <c r="DP7" s="23">
        <f t="shared" si="19"/>
        <v>10</v>
      </c>
      <c r="DQ7" s="23">
        <f t="shared" si="19"/>
        <v>10</v>
      </c>
      <c r="DR7" s="23">
        <f t="shared" si="19"/>
        <v>10</v>
      </c>
      <c r="DS7" s="23">
        <f t="shared" si="19"/>
        <v>10</v>
      </c>
      <c r="DT7" s="23">
        <f t="shared" si="19"/>
        <v>10</v>
      </c>
    </row>
    <row r="8" spans="2:124" x14ac:dyDescent="0.25">
      <c r="C8" s="26" t="s">
        <v>25</v>
      </c>
      <c r="D8" s="27">
        <v>0</v>
      </c>
      <c r="E8" s="27">
        <f>D8+1</f>
        <v>1</v>
      </c>
      <c r="F8" s="27">
        <f t="shared" ref="F8:BQ8" si="20">E8+1</f>
        <v>2</v>
      </c>
      <c r="G8" s="27">
        <f t="shared" si="20"/>
        <v>3</v>
      </c>
      <c r="H8" s="27">
        <f t="shared" si="20"/>
        <v>4</v>
      </c>
      <c r="I8" s="27">
        <f t="shared" si="20"/>
        <v>5</v>
      </c>
      <c r="J8" s="27">
        <f>I8+1</f>
        <v>6</v>
      </c>
      <c r="K8" s="27">
        <f t="shared" si="20"/>
        <v>7</v>
      </c>
      <c r="L8" s="27">
        <f t="shared" si="20"/>
        <v>8</v>
      </c>
      <c r="M8" s="27">
        <f t="shared" si="20"/>
        <v>9</v>
      </c>
      <c r="N8" s="27">
        <f t="shared" si="20"/>
        <v>10</v>
      </c>
      <c r="O8" s="27">
        <f t="shared" si="20"/>
        <v>11</v>
      </c>
      <c r="P8" s="27">
        <f t="shared" si="20"/>
        <v>12</v>
      </c>
      <c r="Q8" s="27">
        <f t="shared" si="20"/>
        <v>13</v>
      </c>
      <c r="R8" s="27">
        <f t="shared" si="20"/>
        <v>14</v>
      </c>
      <c r="S8" s="27">
        <f t="shared" si="20"/>
        <v>15</v>
      </c>
      <c r="T8" s="27">
        <f t="shared" si="20"/>
        <v>16</v>
      </c>
      <c r="U8" s="27">
        <f t="shared" si="20"/>
        <v>17</v>
      </c>
      <c r="V8" s="27">
        <f t="shared" si="20"/>
        <v>18</v>
      </c>
      <c r="W8" s="27">
        <f t="shared" si="20"/>
        <v>19</v>
      </c>
      <c r="X8" s="27">
        <f t="shared" si="20"/>
        <v>20</v>
      </c>
      <c r="Y8" s="27">
        <f t="shared" si="20"/>
        <v>21</v>
      </c>
      <c r="Z8" s="27">
        <f t="shared" si="20"/>
        <v>22</v>
      </c>
      <c r="AA8" s="27">
        <f t="shared" si="20"/>
        <v>23</v>
      </c>
      <c r="AB8" s="27">
        <f t="shared" si="20"/>
        <v>24</v>
      </c>
      <c r="AC8" s="27">
        <f t="shared" si="20"/>
        <v>25</v>
      </c>
      <c r="AD8" s="27">
        <f t="shared" si="20"/>
        <v>26</v>
      </c>
      <c r="AE8" s="27">
        <f t="shared" si="20"/>
        <v>27</v>
      </c>
      <c r="AF8" s="27">
        <f t="shared" si="20"/>
        <v>28</v>
      </c>
      <c r="AG8" s="27">
        <f t="shared" si="20"/>
        <v>29</v>
      </c>
      <c r="AH8" s="27">
        <f t="shared" si="20"/>
        <v>30</v>
      </c>
      <c r="AI8" s="27">
        <f t="shared" si="20"/>
        <v>31</v>
      </c>
      <c r="AJ8" s="27">
        <f t="shared" si="20"/>
        <v>32</v>
      </c>
      <c r="AK8" s="27">
        <f t="shared" si="20"/>
        <v>33</v>
      </c>
      <c r="AL8" s="27">
        <f t="shared" si="20"/>
        <v>34</v>
      </c>
      <c r="AM8" s="27">
        <f t="shared" si="20"/>
        <v>35</v>
      </c>
      <c r="AN8" s="27">
        <f t="shared" si="20"/>
        <v>36</v>
      </c>
      <c r="AO8" s="27">
        <f t="shared" si="20"/>
        <v>37</v>
      </c>
      <c r="AP8" s="27">
        <f t="shared" si="20"/>
        <v>38</v>
      </c>
      <c r="AQ8" s="27">
        <f t="shared" si="20"/>
        <v>39</v>
      </c>
      <c r="AR8" s="27">
        <f t="shared" si="20"/>
        <v>40</v>
      </c>
      <c r="AS8" s="27">
        <f t="shared" si="20"/>
        <v>41</v>
      </c>
      <c r="AT8" s="27">
        <f t="shared" si="20"/>
        <v>42</v>
      </c>
      <c r="AU8" s="27">
        <f t="shared" si="20"/>
        <v>43</v>
      </c>
      <c r="AV8" s="27">
        <f t="shared" si="20"/>
        <v>44</v>
      </c>
      <c r="AW8" s="27">
        <f t="shared" si="20"/>
        <v>45</v>
      </c>
      <c r="AX8" s="27">
        <f t="shared" si="20"/>
        <v>46</v>
      </c>
      <c r="AY8" s="27">
        <f t="shared" si="20"/>
        <v>47</v>
      </c>
      <c r="AZ8" s="27">
        <f t="shared" si="20"/>
        <v>48</v>
      </c>
      <c r="BA8" s="27">
        <f t="shared" si="20"/>
        <v>49</v>
      </c>
      <c r="BB8" s="27">
        <f t="shared" si="20"/>
        <v>50</v>
      </c>
      <c r="BC8" s="27">
        <f t="shared" si="20"/>
        <v>51</v>
      </c>
      <c r="BD8" s="27">
        <f t="shared" si="20"/>
        <v>52</v>
      </c>
      <c r="BE8" s="27">
        <f t="shared" si="20"/>
        <v>53</v>
      </c>
      <c r="BF8" s="27">
        <f t="shared" si="20"/>
        <v>54</v>
      </c>
      <c r="BG8" s="27">
        <f t="shared" si="20"/>
        <v>55</v>
      </c>
      <c r="BH8" s="27">
        <f t="shared" si="20"/>
        <v>56</v>
      </c>
      <c r="BI8" s="27">
        <f t="shared" si="20"/>
        <v>57</v>
      </c>
      <c r="BJ8" s="27">
        <f t="shared" si="20"/>
        <v>58</v>
      </c>
      <c r="BK8" s="27">
        <f t="shared" si="20"/>
        <v>59</v>
      </c>
      <c r="BL8" s="27">
        <f t="shared" si="20"/>
        <v>60</v>
      </c>
      <c r="BM8" s="27">
        <f t="shared" si="20"/>
        <v>61</v>
      </c>
      <c r="BN8" s="27">
        <f t="shared" si="20"/>
        <v>62</v>
      </c>
      <c r="BO8" s="27">
        <f t="shared" si="20"/>
        <v>63</v>
      </c>
      <c r="BP8" s="27">
        <f t="shared" si="20"/>
        <v>64</v>
      </c>
      <c r="BQ8" s="27">
        <f t="shared" si="20"/>
        <v>65</v>
      </c>
      <c r="BR8" s="27">
        <f t="shared" ref="BR8:DT8" si="21">BQ8+1</f>
        <v>66</v>
      </c>
      <c r="BS8" s="27">
        <f t="shared" si="21"/>
        <v>67</v>
      </c>
      <c r="BT8" s="27">
        <f t="shared" si="21"/>
        <v>68</v>
      </c>
      <c r="BU8" s="27">
        <f t="shared" si="21"/>
        <v>69</v>
      </c>
      <c r="BV8" s="27">
        <f t="shared" si="21"/>
        <v>70</v>
      </c>
      <c r="BW8" s="27">
        <f t="shared" si="21"/>
        <v>71</v>
      </c>
      <c r="BX8" s="27">
        <f t="shared" si="21"/>
        <v>72</v>
      </c>
      <c r="BY8" s="27">
        <f t="shared" si="21"/>
        <v>73</v>
      </c>
      <c r="BZ8" s="27">
        <f t="shared" si="21"/>
        <v>74</v>
      </c>
      <c r="CA8" s="27">
        <f t="shared" si="21"/>
        <v>75</v>
      </c>
      <c r="CB8" s="27">
        <f t="shared" si="21"/>
        <v>76</v>
      </c>
      <c r="CC8" s="27">
        <f t="shared" si="21"/>
        <v>77</v>
      </c>
      <c r="CD8" s="27">
        <f t="shared" si="21"/>
        <v>78</v>
      </c>
      <c r="CE8" s="27">
        <f t="shared" si="21"/>
        <v>79</v>
      </c>
      <c r="CF8" s="27">
        <f t="shared" si="21"/>
        <v>80</v>
      </c>
      <c r="CG8" s="27">
        <f t="shared" si="21"/>
        <v>81</v>
      </c>
      <c r="CH8" s="27">
        <f t="shared" si="21"/>
        <v>82</v>
      </c>
      <c r="CI8" s="27">
        <f t="shared" si="21"/>
        <v>83</v>
      </c>
      <c r="CJ8" s="27">
        <f t="shared" si="21"/>
        <v>84</v>
      </c>
      <c r="CK8" s="27">
        <f t="shared" si="21"/>
        <v>85</v>
      </c>
      <c r="CL8" s="27">
        <f t="shared" si="21"/>
        <v>86</v>
      </c>
      <c r="CM8" s="27">
        <f t="shared" si="21"/>
        <v>87</v>
      </c>
      <c r="CN8" s="27">
        <f t="shared" si="21"/>
        <v>88</v>
      </c>
      <c r="CO8" s="27">
        <f t="shared" si="21"/>
        <v>89</v>
      </c>
      <c r="CP8" s="27">
        <f t="shared" si="21"/>
        <v>90</v>
      </c>
      <c r="CQ8" s="27">
        <f t="shared" si="21"/>
        <v>91</v>
      </c>
      <c r="CR8" s="27">
        <f t="shared" si="21"/>
        <v>92</v>
      </c>
      <c r="CS8" s="27">
        <f t="shared" si="21"/>
        <v>93</v>
      </c>
      <c r="CT8" s="27">
        <f t="shared" si="21"/>
        <v>94</v>
      </c>
      <c r="CU8" s="27">
        <f t="shared" si="21"/>
        <v>95</v>
      </c>
      <c r="CV8" s="27">
        <f t="shared" si="21"/>
        <v>96</v>
      </c>
      <c r="CW8" s="27">
        <f t="shared" si="21"/>
        <v>97</v>
      </c>
      <c r="CX8" s="27">
        <f t="shared" si="21"/>
        <v>98</v>
      </c>
      <c r="CY8" s="27">
        <f t="shared" si="21"/>
        <v>99</v>
      </c>
      <c r="CZ8" s="27">
        <f t="shared" si="21"/>
        <v>100</v>
      </c>
      <c r="DA8" s="27">
        <f t="shared" si="21"/>
        <v>101</v>
      </c>
      <c r="DB8" s="27">
        <f t="shared" si="21"/>
        <v>102</v>
      </c>
      <c r="DC8" s="27">
        <f t="shared" si="21"/>
        <v>103</v>
      </c>
      <c r="DD8" s="27">
        <f t="shared" si="21"/>
        <v>104</v>
      </c>
      <c r="DE8" s="27">
        <f t="shared" si="21"/>
        <v>105</v>
      </c>
      <c r="DF8" s="27">
        <f t="shared" si="21"/>
        <v>106</v>
      </c>
      <c r="DG8" s="27">
        <f t="shared" si="21"/>
        <v>107</v>
      </c>
      <c r="DH8" s="27">
        <f t="shared" si="21"/>
        <v>108</v>
      </c>
      <c r="DI8" s="27">
        <f t="shared" si="21"/>
        <v>109</v>
      </c>
      <c r="DJ8" s="27">
        <f t="shared" si="21"/>
        <v>110</v>
      </c>
      <c r="DK8" s="27">
        <f t="shared" si="21"/>
        <v>111</v>
      </c>
      <c r="DL8" s="27">
        <f t="shared" si="21"/>
        <v>112</v>
      </c>
      <c r="DM8" s="27">
        <f t="shared" si="21"/>
        <v>113</v>
      </c>
      <c r="DN8" s="27">
        <f t="shared" si="21"/>
        <v>114</v>
      </c>
      <c r="DO8" s="27">
        <f t="shared" si="21"/>
        <v>115</v>
      </c>
      <c r="DP8" s="27">
        <f t="shared" si="21"/>
        <v>116</v>
      </c>
      <c r="DQ8" s="27">
        <f t="shared" si="21"/>
        <v>117</v>
      </c>
      <c r="DR8" s="27">
        <f t="shared" si="21"/>
        <v>118</v>
      </c>
      <c r="DS8" s="27">
        <f t="shared" si="21"/>
        <v>119</v>
      </c>
      <c r="DT8" s="27">
        <f t="shared" si="21"/>
        <v>120</v>
      </c>
    </row>
    <row r="9" spans="2:124" x14ac:dyDescent="0.25">
      <c r="B9" s="60" t="s">
        <v>29</v>
      </c>
      <c r="C9" s="61" t="s">
        <v>30</v>
      </c>
      <c r="D9" s="61" t="s">
        <v>31</v>
      </c>
      <c r="E9" s="62"/>
      <c r="F9" s="62"/>
      <c r="G9" s="62"/>
      <c r="H9" s="62"/>
      <c r="I9" s="62"/>
      <c r="J9" s="62"/>
      <c r="K9" s="62"/>
      <c r="L9" s="62"/>
      <c r="M9" s="62"/>
      <c r="N9" s="62"/>
      <c r="O9" s="62"/>
      <c r="P9" s="62"/>
      <c r="Q9" s="62"/>
      <c r="R9" s="62"/>
      <c r="S9" s="62"/>
      <c r="T9" s="62"/>
      <c r="U9" s="62"/>
      <c r="V9" s="62"/>
      <c r="W9" s="62"/>
      <c r="X9" s="62"/>
      <c r="Y9" s="62"/>
      <c r="Z9" s="62"/>
      <c r="AA9" s="62"/>
      <c r="AB9" s="62"/>
      <c r="AC9" s="62"/>
      <c r="AD9" s="62"/>
      <c r="AE9" s="62"/>
      <c r="AF9" s="62"/>
      <c r="AG9" s="62"/>
      <c r="AH9" s="62"/>
      <c r="AI9" s="62"/>
      <c r="AJ9" s="62"/>
      <c r="AK9" s="62"/>
      <c r="AL9" s="62"/>
      <c r="AM9" s="62"/>
      <c r="AN9" s="62"/>
      <c r="AO9" s="62"/>
      <c r="AP9" s="62"/>
      <c r="AQ9" s="62"/>
      <c r="AR9" s="62"/>
      <c r="AS9" s="62"/>
      <c r="AT9" s="62"/>
      <c r="AU9" s="62"/>
      <c r="AV9" s="62"/>
      <c r="AW9" s="62"/>
      <c r="AX9" s="62"/>
      <c r="AY9" s="62"/>
      <c r="AZ9" s="62"/>
      <c r="BA9" s="62"/>
      <c r="BB9" s="62"/>
      <c r="BC9" s="62"/>
      <c r="BD9" s="62"/>
      <c r="BE9" s="62"/>
      <c r="BF9" s="62"/>
      <c r="BG9" s="62"/>
      <c r="BH9" s="62"/>
      <c r="BI9" s="62"/>
      <c r="BJ9" s="62"/>
      <c r="BK9" s="62"/>
      <c r="BL9" s="62"/>
      <c r="BM9" s="62"/>
      <c r="BN9" s="62"/>
      <c r="BO9" s="62"/>
      <c r="BP9" s="62"/>
      <c r="BQ9" s="62"/>
      <c r="BR9" s="62"/>
      <c r="BS9" s="62"/>
      <c r="BT9" s="62"/>
      <c r="BU9" s="62"/>
      <c r="BV9" s="62"/>
      <c r="BW9" s="62"/>
      <c r="BX9" s="62"/>
      <c r="BY9" s="62"/>
      <c r="BZ9" s="62"/>
      <c r="CA9" s="62"/>
      <c r="CB9" s="62"/>
      <c r="CC9" s="62"/>
      <c r="CD9" s="62"/>
      <c r="CE9" s="62"/>
      <c r="CF9" s="62"/>
      <c r="CG9" s="62"/>
      <c r="CH9" s="62"/>
      <c r="CI9" s="62"/>
      <c r="CJ9" s="62"/>
      <c r="CK9" s="62"/>
      <c r="CL9" s="62"/>
      <c r="CM9" s="62"/>
      <c r="CN9" s="62"/>
      <c r="CO9" s="62"/>
      <c r="CP9" s="62"/>
      <c r="CQ9" s="62"/>
      <c r="CR9" s="62"/>
      <c r="CS9" s="62"/>
      <c r="CT9" s="62"/>
      <c r="CU9" s="62"/>
      <c r="CV9" s="62"/>
      <c r="CW9" s="62"/>
      <c r="CX9" s="62"/>
      <c r="CY9" s="62"/>
      <c r="CZ9" s="62"/>
      <c r="DA9" s="62"/>
      <c r="DB9" s="62"/>
      <c r="DC9" s="62"/>
      <c r="DD9" s="62"/>
      <c r="DE9" s="62"/>
      <c r="DF9" s="62"/>
      <c r="DG9" s="62"/>
      <c r="DH9" s="62"/>
      <c r="DI9" s="62"/>
      <c r="DJ9" s="62"/>
      <c r="DK9" s="62"/>
      <c r="DL9" s="62"/>
      <c r="DM9" s="62"/>
      <c r="DN9" s="62"/>
      <c r="DO9" s="62"/>
      <c r="DP9" s="62"/>
      <c r="DQ9" s="62"/>
      <c r="DR9" s="62"/>
      <c r="DS9" s="62"/>
      <c r="DT9" s="62"/>
    </row>
    <row r="10" spans="2:124" x14ac:dyDescent="0.25">
      <c r="B10" s="28" t="str">
        <f>'Inputs &amp; Summary'!F4</f>
        <v>x bd + x ba</v>
      </c>
      <c r="C10" s="34">
        <f>'Inputs &amp; Summary'!G4</f>
        <v>0</v>
      </c>
      <c r="D10" s="34" t="str">
        <f>'Inputs &amp; Summary'!K4</f>
        <v>$x</v>
      </c>
      <c r="E10" s="29">
        <f t="shared" ref="E10:AJ10" si="22">IF(E$8=$D5,$D10,IF(E$8=1,$C10,IF(E$5="x", D10*(1+IncomeGrowth), D10)))</f>
        <v>0</v>
      </c>
      <c r="F10" s="29">
        <f t="shared" si="22"/>
        <v>0</v>
      </c>
      <c r="G10" s="29" t="str">
        <f t="shared" si="22"/>
        <v>$x</v>
      </c>
      <c r="H10" s="29" t="str">
        <f t="shared" si="22"/>
        <v>$x</v>
      </c>
      <c r="I10" s="29" t="str">
        <f t="shared" si="22"/>
        <v>$x</v>
      </c>
      <c r="J10" s="29" t="str">
        <f t="shared" si="22"/>
        <v>$x</v>
      </c>
      <c r="K10" s="29" t="str">
        <f t="shared" si="22"/>
        <v>$x</v>
      </c>
      <c r="L10" s="29" t="str">
        <f t="shared" si="22"/>
        <v>$x</v>
      </c>
      <c r="M10" s="29" t="str">
        <f t="shared" si="22"/>
        <v>$x</v>
      </c>
      <c r="N10" s="29" t="str">
        <f t="shared" si="22"/>
        <v>$x</v>
      </c>
      <c r="O10" s="29" t="str">
        <f t="shared" si="22"/>
        <v>$x</v>
      </c>
      <c r="P10" s="29" t="str">
        <f t="shared" si="22"/>
        <v>$x</v>
      </c>
      <c r="Q10" s="29" t="str">
        <f t="shared" si="22"/>
        <v>$x</v>
      </c>
      <c r="R10" s="29" t="str">
        <f t="shared" si="22"/>
        <v>$x</v>
      </c>
      <c r="S10" s="29" t="e">
        <f t="shared" si="22"/>
        <v>#VALUE!</v>
      </c>
      <c r="T10" s="29" t="e">
        <f t="shared" si="22"/>
        <v>#VALUE!</v>
      </c>
      <c r="U10" s="29" t="e">
        <f t="shared" si="22"/>
        <v>#VALUE!</v>
      </c>
      <c r="V10" s="29" t="e">
        <f t="shared" si="22"/>
        <v>#VALUE!</v>
      </c>
      <c r="W10" s="29" t="e">
        <f t="shared" si="22"/>
        <v>#VALUE!</v>
      </c>
      <c r="X10" s="29" t="e">
        <f t="shared" si="22"/>
        <v>#VALUE!</v>
      </c>
      <c r="Y10" s="29" t="e">
        <f t="shared" si="22"/>
        <v>#VALUE!</v>
      </c>
      <c r="Z10" s="29" t="e">
        <f t="shared" si="22"/>
        <v>#VALUE!</v>
      </c>
      <c r="AA10" s="29" t="e">
        <f t="shared" si="22"/>
        <v>#VALUE!</v>
      </c>
      <c r="AB10" s="29" t="e">
        <f t="shared" si="22"/>
        <v>#VALUE!</v>
      </c>
      <c r="AC10" s="29" t="e">
        <f t="shared" si="22"/>
        <v>#VALUE!</v>
      </c>
      <c r="AD10" s="29" t="e">
        <f t="shared" si="22"/>
        <v>#VALUE!</v>
      </c>
      <c r="AE10" s="29" t="e">
        <f t="shared" si="22"/>
        <v>#VALUE!</v>
      </c>
      <c r="AF10" s="29" t="e">
        <f t="shared" si="22"/>
        <v>#VALUE!</v>
      </c>
      <c r="AG10" s="29" t="e">
        <f t="shared" si="22"/>
        <v>#VALUE!</v>
      </c>
      <c r="AH10" s="29" t="e">
        <f t="shared" si="22"/>
        <v>#VALUE!</v>
      </c>
      <c r="AI10" s="29" t="e">
        <f t="shared" si="22"/>
        <v>#VALUE!</v>
      </c>
      <c r="AJ10" s="29" t="e">
        <f t="shared" si="22"/>
        <v>#VALUE!</v>
      </c>
      <c r="AK10" s="29" t="e">
        <f t="shared" ref="AK10:BP10" si="23">IF(AK$8=$D5,$D10,IF(AK$8=1,$C10,IF(AK$5="x", AJ10*(1+IncomeGrowth), AJ10)))</f>
        <v>#VALUE!</v>
      </c>
      <c r="AL10" s="29" t="e">
        <f t="shared" si="23"/>
        <v>#VALUE!</v>
      </c>
      <c r="AM10" s="29" t="e">
        <f t="shared" si="23"/>
        <v>#VALUE!</v>
      </c>
      <c r="AN10" s="29" t="e">
        <f t="shared" si="23"/>
        <v>#VALUE!</v>
      </c>
      <c r="AO10" s="29" t="e">
        <f t="shared" si="23"/>
        <v>#VALUE!</v>
      </c>
      <c r="AP10" s="29" t="e">
        <f t="shared" si="23"/>
        <v>#VALUE!</v>
      </c>
      <c r="AQ10" s="29" t="e">
        <f t="shared" si="23"/>
        <v>#VALUE!</v>
      </c>
      <c r="AR10" s="29" t="e">
        <f t="shared" si="23"/>
        <v>#VALUE!</v>
      </c>
      <c r="AS10" s="29" t="e">
        <f t="shared" si="23"/>
        <v>#VALUE!</v>
      </c>
      <c r="AT10" s="29" t="e">
        <f t="shared" si="23"/>
        <v>#VALUE!</v>
      </c>
      <c r="AU10" s="29" t="e">
        <f t="shared" si="23"/>
        <v>#VALUE!</v>
      </c>
      <c r="AV10" s="29" t="e">
        <f t="shared" si="23"/>
        <v>#VALUE!</v>
      </c>
      <c r="AW10" s="29" t="e">
        <f t="shared" si="23"/>
        <v>#VALUE!</v>
      </c>
      <c r="AX10" s="29" t="e">
        <f t="shared" si="23"/>
        <v>#VALUE!</v>
      </c>
      <c r="AY10" s="29" t="e">
        <f t="shared" si="23"/>
        <v>#VALUE!</v>
      </c>
      <c r="AZ10" s="29" t="e">
        <f t="shared" si="23"/>
        <v>#VALUE!</v>
      </c>
      <c r="BA10" s="29" t="e">
        <f t="shared" si="23"/>
        <v>#VALUE!</v>
      </c>
      <c r="BB10" s="29" t="e">
        <f t="shared" si="23"/>
        <v>#VALUE!</v>
      </c>
      <c r="BC10" s="29" t="e">
        <f t="shared" si="23"/>
        <v>#VALUE!</v>
      </c>
      <c r="BD10" s="29" t="e">
        <f t="shared" si="23"/>
        <v>#VALUE!</v>
      </c>
      <c r="BE10" s="29" t="e">
        <f t="shared" si="23"/>
        <v>#VALUE!</v>
      </c>
      <c r="BF10" s="29" t="e">
        <f t="shared" si="23"/>
        <v>#VALUE!</v>
      </c>
      <c r="BG10" s="29" t="e">
        <f t="shared" si="23"/>
        <v>#VALUE!</v>
      </c>
      <c r="BH10" s="29" t="e">
        <f t="shared" si="23"/>
        <v>#VALUE!</v>
      </c>
      <c r="BI10" s="29" t="e">
        <f t="shared" si="23"/>
        <v>#VALUE!</v>
      </c>
      <c r="BJ10" s="29" t="e">
        <f t="shared" si="23"/>
        <v>#VALUE!</v>
      </c>
      <c r="BK10" s="29" t="e">
        <f t="shared" si="23"/>
        <v>#VALUE!</v>
      </c>
      <c r="BL10" s="29" t="e">
        <f t="shared" si="23"/>
        <v>#VALUE!</v>
      </c>
      <c r="BM10" s="29" t="e">
        <f t="shared" si="23"/>
        <v>#VALUE!</v>
      </c>
      <c r="BN10" s="29" t="e">
        <f t="shared" si="23"/>
        <v>#VALUE!</v>
      </c>
      <c r="BO10" s="29" t="e">
        <f t="shared" si="23"/>
        <v>#VALUE!</v>
      </c>
      <c r="BP10" s="29" t="e">
        <f t="shared" si="23"/>
        <v>#VALUE!</v>
      </c>
      <c r="BQ10" s="29" t="e">
        <f t="shared" ref="BQ10:CV10" si="24">IF(BQ$8=$D5,$D10,IF(BQ$8=1,$C10,IF(BQ$5="x", BP10*(1+IncomeGrowth), BP10)))</f>
        <v>#VALUE!</v>
      </c>
      <c r="BR10" s="29" t="e">
        <f t="shared" si="24"/>
        <v>#VALUE!</v>
      </c>
      <c r="BS10" s="29" t="e">
        <f t="shared" si="24"/>
        <v>#VALUE!</v>
      </c>
      <c r="BT10" s="29" t="e">
        <f t="shared" si="24"/>
        <v>#VALUE!</v>
      </c>
      <c r="BU10" s="29" t="e">
        <f t="shared" si="24"/>
        <v>#VALUE!</v>
      </c>
      <c r="BV10" s="29" t="e">
        <f t="shared" si="24"/>
        <v>#VALUE!</v>
      </c>
      <c r="BW10" s="29" t="e">
        <f t="shared" si="24"/>
        <v>#VALUE!</v>
      </c>
      <c r="BX10" s="29" t="e">
        <f t="shared" si="24"/>
        <v>#VALUE!</v>
      </c>
      <c r="BY10" s="29" t="e">
        <f t="shared" si="24"/>
        <v>#VALUE!</v>
      </c>
      <c r="BZ10" s="29" t="e">
        <f t="shared" si="24"/>
        <v>#VALUE!</v>
      </c>
      <c r="CA10" s="29" t="e">
        <f t="shared" si="24"/>
        <v>#VALUE!</v>
      </c>
      <c r="CB10" s="29" t="e">
        <f t="shared" si="24"/>
        <v>#VALUE!</v>
      </c>
      <c r="CC10" s="29" t="e">
        <f t="shared" si="24"/>
        <v>#VALUE!</v>
      </c>
      <c r="CD10" s="29" t="e">
        <f t="shared" si="24"/>
        <v>#VALUE!</v>
      </c>
      <c r="CE10" s="29" t="e">
        <f t="shared" si="24"/>
        <v>#VALUE!</v>
      </c>
      <c r="CF10" s="29" t="e">
        <f t="shared" si="24"/>
        <v>#VALUE!</v>
      </c>
      <c r="CG10" s="29" t="e">
        <f t="shared" si="24"/>
        <v>#VALUE!</v>
      </c>
      <c r="CH10" s="29" t="e">
        <f t="shared" si="24"/>
        <v>#VALUE!</v>
      </c>
      <c r="CI10" s="29" t="e">
        <f t="shared" si="24"/>
        <v>#VALUE!</v>
      </c>
      <c r="CJ10" s="29" t="e">
        <f t="shared" si="24"/>
        <v>#VALUE!</v>
      </c>
      <c r="CK10" s="29" t="e">
        <f t="shared" si="24"/>
        <v>#VALUE!</v>
      </c>
      <c r="CL10" s="29" t="e">
        <f t="shared" si="24"/>
        <v>#VALUE!</v>
      </c>
      <c r="CM10" s="29" t="e">
        <f t="shared" si="24"/>
        <v>#VALUE!</v>
      </c>
      <c r="CN10" s="29" t="e">
        <f t="shared" si="24"/>
        <v>#VALUE!</v>
      </c>
      <c r="CO10" s="29" t="e">
        <f t="shared" si="24"/>
        <v>#VALUE!</v>
      </c>
      <c r="CP10" s="29" t="e">
        <f t="shared" si="24"/>
        <v>#VALUE!</v>
      </c>
      <c r="CQ10" s="29" t="e">
        <f t="shared" si="24"/>
        <v>#VALUE!</v>
      </c>
      <c r="CR10" s="29" t="e">
        <f t="shared" si="24"/>
        <v>#VALUE!</v>
      </c>
      <c r="CS10" s="29" t="e">
        <f t="shared" si="24"/>
        <v>#VALUE!</v>
      </c>
      <c r="CT10" s="29" t="e">
        <f t="shared" si="24"/>
        <v>#VALUE!</v>
      </c>
      <c r="CU10" s="29" t="e">
        <f t="shared" si="24"/>
        <v>#VALUE!</v>
      </c>
      <c r="CV10" s="29" t="e">
        <f t="shared" si="24"/>
        <v>#VALUE!</v>
      </c>
      <c r="CW10" s="29" t="e">
        <f t="shared" ref="CW10:DT10" si="25">IF(CW$8=$D5,$D10,IF(CW$8=1,$C10,IF(CW$5="x", CV10*(1+IncomeGrowth), CV10)))</f>
        <v>#VALUE!</v>
      </c>
      <c r="CX10" s="29" t="e">
        <f t="shared" si="25"/>
        <v>#VALUE!</v>
      </c>
      <c r="CY10" s="29" t="e">
        <f t="shared" si="25"/>
        <v>#VALUE!</v>
      </c>
      <c r="CZ10" s="29" t="e">
        <f t="shared" si="25"/>
        <v>#VALUE!</v>
      </c>
      <c r="DA10" s="29" t="e">
        <f t="shared" si="25"/>
        <v>#VALUE!</v>
      </c>
      <c r="DB10" s="29" t="e">
        <f t="shared" si="25"/>
        <v>#VALUE!</v>
      </c>
      <c r="DC10" s="29" t="e">
        <f t="shared" si="25"/>
        <v>#VALUE!</v>
      </c>
      <c r="DD10" s="29" t="e">
        <f t="shared" si="25"/>
        <v>#VALUE!</v>
      </c>
      <c r="DE10" s="29" t="e">
        <f t="shared" si="25"/>
        <v>#VALUE!</v>
      </c>
      <c r="DF10" s="29" t="e">
        <f t="shared" si="25"/>
        <v>#VALUE!</v>
      </c>
      <c r="DG10" s="29" t="e">
        <f t="shared" si="25"/>
        <v>#VALUE!</v>
      </c>
      <c r="DH10" s="29" t="e">
        <f t="shared" si="25"/>
        <v>#VALUE!</v>
      </c>
      <c r="DI10" s="29" t="e">
        <f t="shared" si="25"/>
        <v>#VALUE!</v>
      </c>
      <c r="DJ10" s="29" t="e">
        <f t="shared" si="25"/>
        <v>#VALUE!</v>
      </c>
      <c r="DK10" s="29" t="e">
        <f t="shared" si="25"/>
        <v>#VALUE!</v>
      </c>
      <c r="DL10" s="29" t="e">
        <f t="shared" si="25"/>
        <v>#VALUE!</v>
      </c>
      <c r="DM10" s="29" t="e">
        <f t="shared" si="25"/>
        <v>#VALUE!</v>
      </c>
      <c r="DN10" s="29" t="e">
        <f t="shared" si="25"/>
        <v>#VALUE!</v>
      </c>
      <c r="DO10" s="29" t="e">
        <f t="shared" si="25"/>
        <v>#VALUE!</v>
      </c>
      <c r="DP10" s="29" t="e">
        <f t="shared" si="25"/>
        <v>#VALUE!</v>
      </c>
      <c r="DQ10" s="29" t="e">
        <f t="shared" si="25"/>
        <v>#VALUE!</v>
      </c>
      <c r="DR10" s="29" t="e">
        <f t="shared" si="25"/>
        <v>#VALUE!</v>
      </c>
      <c r="DS10" s="29" t="e">
        <f t="shared" si="25"/>
        <v>#VALUE!</v>
      </c>
      <c r="DT10" s="29" t="e">
        <f t="shared" si="25"/>
        <v>#VALUE!</v>
      </c>
    </row>
    <row r="11" spans="2:124" x14ac:dyDescent="0.25">
      <c r="B11" s="9" t="s">
        <v>28</v>
      </c>
      <c r="C11" s="104"/>
      <c r="D11" s="104"/>
      <c r="E11" s="106">
        <f>SUM(E10:E10)</f>
        <v>0</v>
      </c>
      <c r="F11" s="105">
        <f t="shared" ref="F11:AJ11" si="26">SUM(F10:F10)</f>
        <v>0</v>
      </c>
      <c r="G11" s="105">
        <f t="shared" si="26"/>
        <v>0</v>
      </c>
      <c r="H11" s="105">
        <f t="shared" si="26"/>
        <v>0</v>
      </c>
      <c r="I11" s="105">
        <f>SUM(I10:I10)</f>
        <v>0</v>
      </c>
      <c r="J11" s="105">
        <f>SUM(J10:J10)</f>
        <v>0</v>
      </c>
      <c r="K11" s="105">
        <f t="shared" si="26"/>
        <v>0</v>
      </c>
      <c r="L11" s="105">
        <f t="shared" si="26"/>
        <v>0</v>
      </c>
      <c r="M11" s="105">
        <f t="shared" si="26"/>
        <v>0</v>
      </c>
      <c r="N11" s="105">
        <f t="shared" si="26"/>
        <v>0</v>
      </c>
      <c r="O11" s="105">
        <f t="shared" si="26"/>
        <v>0</v>
      </c>
      <c r="P11" s="105">
        <f t="shared" si="26"/>
        <v>0</v>
      </c>
      <c r="Q11" s="105">
        <f t="shared" si="26"/>
        <v>0</v>
      </c>
      <c r="R11" s="105">
        <f t="shared" si="26"/>
        <v>0</v>
      </c>
      <c r="S11" s="105" t="e">
        <f t="shared" si="26"/>
        <v>#VALUE!</v>
      </c>
      <c r="T11" s="105" t="e">
        <f t="shared" si="26"/>
        <v>#VALUE!</v>
      </c>
      <c r="U11" s="105" t="e">
        <f t="shared" si="26"/>
        <v>#VALUE!</v>
      </c>
      <c r="V11" s="105" t="e">
        <f t="shared" si="26"/>
        <v>#VALUE!</v>
      </c>
      <c r="W11" s="105" t="e">
        <f t="shared" si="26"/>
        <v>#VALUE!</v>
      </c>
      <c r="X11" s="105" t="e">
        <f t="shared" si="26"/>
        <v>#VALUE!</v>
      </c>
      <c r="Y11" s="105" t="e">
        <f t="shared" si="26"/>
        <v>#VALUE!</v>
      </c>
      <c r="Z11" s="35" t="e">
        <f t="shared" si="26"/>
        <v>#VALUE!</v>
      </c>
      <c r="AA11" s="35" t="e">
        <f t="shared" si="26"/>
        <v>#VALUE!</v>
      </c>
      <c r="AB11" s="35" t="e">
        <f t="shared" si="26"/>
        <v>#VALUE!</v>
      </c>
      <c r="AC11" s="35" t="e">
        <f t="shared" si="26"/>
        <v>#VALUE!</v>
      </c>
      <c r="AD11" s="35" t="e">
        <f t="shared" si="26"/>
        <v>#VALUE!</v>
      </c>
      <c r="AE11" s="35" t="e">
        <f t="shared" si="26"/>
        <v>#VALUE!</v>
      </c>
      <c r="AF11" s="35" t="e">
        <f t="shared" si="26"/>
        <v>#VALUE!</v>
      </c>
      <c r="AG11" s="35" t="e">
        <f t="shared" si="26"/>
        <v>#VALUE!</v>
      </c>
      <c r="AH11" s="35" t="e">
        <f t="shared" si="26"/>
        <v>#VALUE!</v>
      </c>
      <c r="AI11" s="35" t="e">
        <f t="shared" si="26"/>
        <v>#VALUE!</v>
      </c>
      <c r="AJ11" s="35" t="e">
        <f t="shared" si="26"/>
        <v>#VALUE!</v>
      </c>
      <c r="AK11" s="35" t="e">
        <f t="shared" ref="AK11:BP11" si="27">SUM(AK10:AK10)</f>
        <v>#VALUE!</v>
      </c>
      <c r="AL11" s="35" t="e">
        <f t="shared" si="27"/>
        <v>#VALUE!</v>
      </c>
      <c r="AM11" s="35" t="e">
        <f t="shared" si="27"/>
        <v>#VALUE!</v>
      </c>
      <c r="AN11" s="35" t="e">
        <f t="shared" si="27"/>
        <v>#VALUE!</v>
      </c>
      <c r="AO11" s="35" t="e">
        <f t="shared" si="27"/>
        <v>#VALUE!</v>
      </c>
      <c r="AP11" s="35" t="e">
        <f t="shared" si="27"/>
        <v>#VALUE!</v>
      </c>
      <c r="AQ11" s="35" t="e">
        <f t="shared" si="27"/>
        <v>#VALUE!</v>
      </c>
      <c r="AR11" s="35" t="e">
        <f t="shared" si="27"/>
        <v>#VALUE!</v>
      </c>
      <c r="AS11" s="35" t="e">
        <f t="shared" si="27"/>
        <v>#VALUE!</v>
      </c>
      <c r="AT11" s="35" t="e">
        <f t="shared" si="27"/>
        <v>#VALUE!</v>
      </c>
      <c r="AU11" s="35" t="e">
        <f t="shared" si="27"/>
        <v>#VALUE!</v>
      </c>
      <c r="AV11" s="35" t="e">
        <f t="shared" si="27"/>
        <v>#VALUE!</v>
      </c>
      <c r="AW11" s="35" t="e">
        <f t="shared" si="27"/>
        <v>#VALUE!</v>
      </c>
      <c r="AX11" s="35" t="e">
        <f t="shared" si="27"/>
        <v>#VALUE!</v>
      </c>
      <c r="AY11" s="35" t="e">
        <f t="shared" si="27"/>
        <v>#VALUE!</v>
      </c>
      <c r="AZ11" s="35" t="e">
        <f t="shared" si="27"/>
        <v>#VALUE!</v>
      </c>
      <c r="BA11" s="35" t="e">
        <f t="shared" si="27"/>
        <v>#VALUE!</v>
      </c>
      <c r="BB11" s="35" t="e">
        <f t="shared" si="27"/>
        <v>#VALUE!</v>
      </c>
      <c r="BC11" s="35" t="e">
        <f t="shared" si="27"/>
        <v>#VALUE!</v>
      </c>
      <c r="BD11" s="35" t="e">
        <f t="shared" si="27"/>
        <v>#VALUE!</v>
      </c>
      <c r="BE11" s="35" t="e">
        <f t="shared" si="27"/>
        <v>#VALUE!</v>
      </c>
      <c r="BF11" s="35" t="e">
        <f t="shared" si="27"/>
        <v>#VALUE!</v>
      </c>
      <c r="BG11" s="35" t="e">
        <f t="shared" si="27"/>
        <v>#VALUE!</v>
      </c>
      <c r="BH11" s="35" t="e">
        <f t="shared" si="27"/>
        <v>#VALUE!</v>
      </c>
      <c r="BI11" s="35" t="e">
        <f t="shared" si="27"/>
        <v>#VALUE!</v>
      </c>
      <c r="BJ11" s="35" t="e">
        <f t="shared" si="27"/>
        <v>#VALUE!</v>
      </c>
      <c r="BK11" s="35" t="e">
        <f t="shared" si="27"/>
        <v>#VALUE!</v>
      </c>
      <c r="BL11" s="35" t="e">
        <f t="shared" si="27"/>
        <v>#VALUE!</v>
      </c>
      <c r="BM11" s="35" t="e">
        <f t="shared" si="27"/>
        <v>#VALUE!</v>
      </c>
      <c r="BN11" s="35" t="e">
        <f t="shared" si="27"/>
        <v>#VALUE!</v>
      </c>
      <c r="BO11" s="35" t="e">
        <f t="shared" si="27"/>
        <v>#VALUE!</v>
      </c>
      <c r="BP11" s="35" t="e">
        <f t="shared" si="27"/>
        <v>#VALUE!</v>
      </c>
      <c r="BQ11" s="35" t="e">
        <f t="shared" ref="BQ11:CV11" si="28">SUM(BQ10:BQ10)</f>
        <v>#VALUE!</v>
      </c>
      <c r="BR11" s="35" t="e">
        <f t="shared" si="28"/>
        <v>#VALUE!</v>
      </c>
      <c r="BS11" s="35" t="e">
        <f t="shared" si="28"/>
        <v>#VALUE!</v>
      </c>
      <c r="BT11" s="35" t="e">
        <f t="shared" si="28"/>
        <v>#VALUE!</v>
      </c>
      <c r="BU11" s="35" t="e">
        <f t="shared" si="28"/>
        <v>#VALUE!</v>
      </c>
      <c r="BV11" s="35" t="e">
        <f t="shared" si="28"/>
        <v>#VALUE!</v>
      </c>
      <c r="BW11" s="35" t="e">
        <f t="shared" si="28"/>
        <v>#VALUE!</v>
      </c>
      <c r="BX11" s="35" t="e">
        <f t="shared" si="28"/>
        <v>#VALUE!</v>
      </c>
      <c r="BY11" s="35" t="e">
        <f t="shared" si="28"/>
        <v>#VALUE!</v>
      </c>
      <c r="BZ11" s="35" t="e">
        <f t="shared" si="28"/>
        <v>#VALUE!</v>
      </c>
      <c r="CA11" s="35" t="e">
        <f t="shared" si="28"/>
        <v>#VALUE!</v>
      </c>
      <c r="CB11" s="35" t="e">
        <f t="shared" si="28"/>
        <v>#VALUE!</v>
      </c>
      <c r="CC11" s="35" t="e">
        <f t="shared" si="28"/>
        <v>#VALUE!</v>
      </c>
      <c r="CD11" s="35" t="e">
        <f t="shared" si="28"/>
        <v>#VALUE!</v>
      </c>
      <c r="CE11" s="35" t="e">
        <f t="shared" si="28"/>
        <v>#VALUE!</v>
      </c>
      <c r="CF11" s="35" t="e">
        <f t="shared" si="28"/>
        <v>#VALUE!</v>
      </c>
      <c r="CG11" s="35" t="e">
        <f t="shared" si="28"/>
        <v>#VALUE!</v>
      </c>
      <c r="CH11" s="35" t="e">
        <f t="shared" si="28"/>
        <v>#VALUE!</v>
      </c>
      <c r="CI11" s="35" t="e">
        <f t="shared" si="28"/>
        <v>#VALUE!</v>
      </c>
      <c r="CJ11" s="35" t="e">
        <f t="shared" si="28"/>
        <v>#VALUE!</v>
      </c>
      <c r="CK11" s="35" t="e">
        <f t="shared" si="28"/>
        <v>#VALUE!</v>
      </c>
      <c r="CL11" s="35" t="e">
        <f t="shared" si="28"/>
        <v>#VALUE!</v>
      </c>
      <c r="CM11" s="35" t="e">
        <f t="shared" si="28"/>
        <v>#VALUE!</v>
      </c>
      <c r="CN11" s="35" t="e">
        <f t="shared" si="28"/>
        <v>#VALUE!</v>
      </c>
      <c r="CO11" s="35" t="e">
        <f t="shared" si="28"/>
        <v>#VALUE!</v>
      </c>
      <c r="CP11" s="35" t="e">
        <f t="shared" si="28"/>
        <v>#VALUE!</v>
      </c>
      <c r="CQ11" s="35" t="e">
        <f t="shared" si="28"/>
        <v>#VALUE!</v>
      </c>
      <c r="CR11" s="35" t="e">
        <f t="shared" si="28"/>
        <v>#VALUE!</v>
      </c>
      <c r="CS11" s="35" t="e">
        <f t="shared" si="28"/>
        <v>#VALUE!</v>
      </c>
      <c r="CT11" s="35" t="e">
        <f t="shared" si="28"/>
        <v>#VALUE!</v>
      </c>
      <c r="CU11" s="35" t="e">
        <f t="shared" si="28"/>
        <v>#VALUE!</v>
      </c>
      <c r="CV11" s="35" t="e">
        <f t="shared" si="28"/>
        <v>#VALUE!</v>
      </c>
      <c r="CW11" s="35" t="e">
        <f t="shared" ref="CW11:DT11" si="29">SUM(CW10:CW10)</f>
        <v>#VALUE!</v>
      </c>
      <c r="CX11" s="35" t="e">
        <f t="shared" si="29"/>
        <v>#VALUE!</v>
      </c>
      <c r="CY11" s="35" t="e">
        <f t="shared" si="29"/>
        <v>#VALUE!</v>
      </c>
      <c r="CZ11" s="35" t="e">
        <f t="shared" si="29"/>
        <v>#VALUE!</v>
      </c>
      <c r="DA11" s="35" t="e">
        <f t="shared" si="29"/>
        <v>#VALUE!</v>
      </c>
      <c r="DB11" s="35" t="e">
        <f t="shared" si="29"/>
        <v>#VALUE!</v>
      </c>
      <c r="DC11" s="35" t="e">
        <f t="shared" si="29"/>
        <v>#VALUE!</v>
      </c>
      <c r="DD11" s="35" t="e">
        <f t="shared" si="29"/>
        <v>#VALUE!</v>
      </c>
      <c r="DE11" s="35" t="e">
        <f t="shared" si="29"/>
        <v>#VALUE!</v>
      </c>
      <c r="DF11" s="35" t="e">
        <f t="shared" si="29"/>
        <v>#VALUE!</v>
      </c>
      <c r="DG11" s="35" t="e">
        <f t="shared" si="29"/>
        <v>#VALUE!</v>
      </c>
      <c r="DH11" s="35" t="e">
        <f t="shared" si="29"/>
        <v>#VALUE!</v>
      </c>
      <c r="DI11" s="35" t="e">
        <f t="shared" si="29"/>
        <v>#VALUE!</v>
      </c>
      <c r="DJ11" s="35" t="e">
        <f t="shared" si="29"/>
        <v>#VALUE!</v>
      </c>
      <c r="DK11" s="35" t="e">
        <f t="shared" si="29"/>
        <v>#VALUE!</v>
      </c>
      <c r="DL11" s="35" t="e">
        <f t="shared" si="29"/>
        <v>#VALUE!</v>
      </c>
      <c r="DM11" s="35" t="e">
        <f t="shared" si="29"/>
        <v>#VALUE!</v>
      </c>
      <c r="DN11" s="35" t="e">
        <f t="shared" si="29"/>
        <v>#VALUE!</v>
      </c>
      <c r="DO11" s="35" t="e">
        <f t="shared" si="29"/>
        <v>#VALUE!</v>
      </c>
      <c r="DP11" s="35" t="e">
        <f t="shared" si="29"/>
        <v>#VALUE!</v>
      </c>
      <c r="DQ11" s="35" t="e">
        <f t="shared" si="29"/>
        <v>#VALUE!</v>
      </c>
      <c r="DR11" s="35" t="e">
        <f t="shared" si="29"/>
        <v>#VALUE!</v>
      </c>
      <c r="DS11" s="35" t="e">
        <f t="shared" si="29"/>
        <v>#VALUE!</v>
      </c>
      <c r="DT11" s="35" t="e">
        <f t="shared" si="29"/>
        <v>#VALUE!</v>
      </c>
    </row>
    <row r="12" spans="2:124" s="6" customFormat="1" x14ac:dyDescent="0.25">
      <c r="B12" s="6" t="s">
        <v>12</v>
      </c>
      <c r="C12" s="33"/>
      <c r="D12" s="33"/>
      <c r="E12" s="10">
        <f>SUM(E11:E11)</f>
        <v>0</v>
      </c>
      <c r="F12" s="103">
        <f>SUM(F11:F11)</f>
        <v>0</v>
      </c>
      <c r="G12" s="103">
        <f>SUM(G11:G11)</f>
        <v>0</v>
      </c>
      <c r="H12" s="103">
        <f>SUM(H11:H11)</f>
        <v>0</v>
      </c>
      <c r="I12" s="103">
        <f>SUM(I11:I11)</f>
        <v>0</v>
      </c>
      <c r="J12" s="103">
        <f t="shared" ref="J12:AO12" si="30">SUM(J11:J11)</f>
        <v>0</v>
      </c>
      <c r="K12" s="103">
        <f t="shared" si="30"/>
        <v>0</v>
      </c>
      <c r="L12" s="103">
        <f t="shared" si="30"/>
        <v>0</v>
      </c>
      <c r="M12" s="103">
        <f t="shared" si="30"/>
        <v>0</v>
      </c>
      <c r="N12" s="103">
        <f t="shared" si="30"/>
        <v>0</v>
      </c>
      <c r="O12" s="103">
        <f t="shared" si="30"/>
        <v>0</v>
      </c>
      <c r="P12" s="103">
        <f t="shared" si="30"/>
        <v>0</v>
      </c>
      <c r="Q12" s="103">
        <f t="shared" si="30"/>
        <v>0</v>
      </c>
      <c r="R12" s="103">
        <f t="shared" si="30"/>
        <v>0</v>
      </c>
      <c r="S12" s="103" t="e">
        <f t="shared" si="30"/>
        <v>#VALUE!</v>
      </c>
      <c r="T12" s="103" t="e">
        <f t="shared" si="30"/>
        <v>#VALUE!</v>
      </c>
      <c r="U12" s="103" t="e">
        <f t="shared" si="30"/>
        <v>#VALUE!</v>
      </c>
      <c r="V12" s="103" t="e">
        <f t="shared" si="30"/>
        <v>#VALUE!</v>
      </c>
      <c r="W12" s="103" t="e">
        <f t="shared" si="30"/>
        <v>#VALUE!</v>
      </c>
      <c r="X12" s="103" t="e">
        <f t="shared" si="30"/>
        <v>#VALUE!</v>
      </c>
      <c r="Y12" s="103" t="e">
        <f t="shared" si="30"/>
        <v>#VALUE!</v>
      </c>
      <c r="Z12" s="37" t="e">
        <f t="shared" si="30"/>
        <v>#VALUE!</v>
      </c>
      <c r="AA12" s="37" t="e">
        <f t="shared" si="30"/>
        <v>#VALUE!</v>
      </c>
      <c r="AB12" s="37" t="e">
        <f t="shared" si="30"/>
        <v>#VALUE!</v>
      </c>
      <c r="AC12" s="37" t="e">
        <f t="shared" si="30"/>
        <v>#VALUE!</v>
      </c>
      <c r="AD12" s="37" t="e">
        <f t="shared" si="30"/>
        <v>#VALUE!</v>
      </c>
      <c r="AE12" s="37" t="e">
        <f t="shared" si="30"/>
        <v>#VALUE!</v>
      </c>
      <c r="AF12" s="37" t="e">
        <f t="shared" si="30"/>
        <v>#VALUE!</v>
      </c>
      <c r="AG12" s="37" t="e">
        <f t="shared" si="30"/>
        <v>#VALUE!</v>
      </c>
      <c r="AH12" s="37" t="e">
        <f t="shared" si="30"/>
        <v>#VALUE!</v>
      </c>
      <c r="AI12" s="37" t="e">
        <f t="shared" si="30"/>
        <v>#VALUE!</v>
      </c>
      <c r="AJ12" s="37" t="e">
        <f t="shared" si="30"/>
        <v>#VALUE!</v>
      </c>
      <c r="AK12" s="37" t="e">
        <f t="shared" si="30"/>
        <v>#VALUE!</v>
      </c>
      <c r="AL12" s="37" t="e">
        <f t="shared" si="30"/>
        <v>#VALUE!</v>
      </c>
      <c r="AM12" s="37" t="e">
        <f t="shared" si="30"/>
        <v>#VALUE!</v>
      </c>
      <c r="AN12" s="37" t="e">
        <f t="shared" si="30"/>
        <v>#VALUE!</v>
      </c>
      <c r="AO12" s="37" t="e">
        <f t="shared" si="30"/>
        <v>#VALUE!</v>
      </c>
      <c r="AP12" s="37" t="e">
        <f t="shared" ref="AP12:BU12" si="31">SUM(AP11:AP11)</f>
        <v>#VALUE!</v>
      </c>
      <c r="AQ12" s="37" t="e">
        <f t="shared" si="31"/>
        <v>#VALUE!</v>
      </c>
      <c r="AR12" s="37" t="e">
        <f t="shared" si="31"/>
        <v>#VALUE!</v>
      </c>
      <c r="AS12" s="37" t="e">
        <f t="shared" si="31"/>
        <v>#VALUE!</v>
      </c>
      <c r="AT12" s="37" t="e">
        <f t="shared" si="31"/>
        <v>#VALUE!</v>
      </c>
      <c r="AU12" s="37" t="e">
        <f t="shared" si="31"/>
        <v>#VALUE!</v>
      </c>
      <c r="AV12" s="37" t="e">
        <f t="shared" si="31"/>
        <v>#VALUE!</v>
      </c>
      <c r="AW12" s="37" t="e">
        <f t="shared" si="31"/>
        <v>#VALUE!</v>
      </c>
      <c r="AX12" s="37" t="e">
        <f t="shared" si="31"/>
        <v>#VALUE!</v>
      </c>
      <c r="AY12" s="37" t="e">
        <f t="shared" si="31"/>
        <v>#VALUE!</v>
      </c>
      <c r="AZ12" s="37" t="e">
        <f t="shared" si="31"/>
        <v>#VALUE!</v>
      </c>
      <c r="BA12" s="37" t="e">
        <f t="shared" si="31"/>
        <v>#VALUE!</v>
      </c>
      <c r="BB12" s="37" t="e">
        <f t="shared" si="31"/>
        <v>#VALUE!</v>
      </c>
      <c r="BC12" s="37" t="e">
        <f t="shared" si="31"/>
        <v>#VALUE!</v>
      </c>
      <c r="BD12" s="37" t="e">
        <f t="shared" si="31"/>
        <v>#VALUE!</v>
      </c>
      <c r="BE12" s="37" t="e">
        <f t="shared" si="31"/>
        <v>#VALUE!</v>
      </c>
      <c r="BF12" s="37" t="e">
        <f t="shared" si="31"/>
        <v>#VALUE!</v>
      </c>
      <c r="BG12" s="37" t="e">
        <f t="shared" si="31"/>
        <v>#VALUE!</v>
      </c>
      <c r="BH12" s="37" t="e">
        <f t="shared" si="31"/>
        <v>#VALUE!</v>
      </c>
      <c r="BI12" s="37" t="e">
        <f t="shared" si="31"/>
        <v>#VALUE!</v>
      </c>
      <c r="BJ12" s="37" t="e">
        <f t="shared" si="31"/>
        <v>#VALUE!</v>
      </c>
      <c r="BK12" s="37" t="e">
        <f t="shared" si="31"/>
        <v>#VALUE!</v>
      </c>
      <c r="BL12" s="37" t="e">
        <f t="shared" si="31"/>
        <v>#VALUE!</v>
      </c>
      <c r="BM12" s="37" t="e">
        <f t="shared" si="31"/>
        <v>#VALUE!</v>
      </c>
      <c r="BN12" s="37" t="e">
        <f t="shared" si="31"/>
        <v>#VALUE!</v>
      </c>
      <c r="BO12" s="37" t="e">
        <f t="shared" si="31"/>
        <v>#VALUE!</v>
      </c>
      <c r="BP12" s="37" t="e">
        <f t="shared" si="31"/>
        <v>#VALUE!</v>
      </c>
      <c r="BQ12" s="37" t="e">
        <f t="shared" si="31"/>
        <v>#VALUE!</v>
      </c>
      <c r="BR12" s="37" t="e">
        <f t="shared" si="31"/>
        <v>#VALUE!</v>
      </c>
      <c r="BS12" s="37" t="e">
        <f t="shared" si="31"/>
        <v>#VALUE!</v>
      </c>
      <c r="BT12" s="37" t="e">
        <f t="shared" si="31"/>
        <v>#VALUE!</v>
      </c>
      <c r="BU12" s="37" t="e">
        <f t="shared" si="31"/>
        <v>#VALUE!</v>
      </c>
      <c r="BV12" s="37" t="e">
        <f t="shared" ref="BV12:DA12" si="32">SUM(BV11:BV11)</f>
        <v>#VALUE!</v>
      </c>
      <c r="BW12" s="37" t="e">
        <f t="shared" si="32"/>
        <v>#VALUE!</v>
      </c>
      <c r="BX12" s="37" t="e">
        <f t="shared" si="32"/>
        <v>#VALUE!</v>
      </c>
      <c r="BY12" s="37" t="e">
        <f t="shared" si="32"/>
        <v>#VALUE!</v>
      </c>
      <c r="BZ12" s="37" t="e">
        <f t="shared" si="32"/>
        <v>#VALUE!</v>
      </c>
      <c r="CA12" s="37" t="e">
        <f t="shared" si="32"/>
        <v>#VALUE!</v>
      </c>
      <c r="CB12" s="37" t="e">
        <f t="shared" si="32"/>
        <v>#VALUE!</v>
      </c>
      <c r="CC12" s="37" t="e">
        <f t="shared" si="32"/>
        <v>#VALUE!</v>
      </c>
      <c r="CD12" s="37" t="e">
        <f t="shared" si="32"/>
        <v>#VALUE!</v>
      </c>
      <c r="CE12" s="37" t="e">
        <f t="shared" si="32"/>
        <v>#VALUE!</v>
      </c>
      <c r="CF12" s="37" t="e">
        <f t="shared" si="32"/>
        <v>#VALUE!</v>
      </c>
      <c r="CG12" s="37" t="e">
        <f t="shared" si="32"/>
        <v>#VALUE!</v>
      </c>
      <c r="CH12" s="37" t="e">
        <f t="shared" si="32"/>
        <v>#VALUE!</v>
      </c>
      <c r="CI12" s="37" t="e">
        <f t="shared" si="32"/>
        <v>#VALUE!</v>
      </c>
      <c r="CJ12" s="37" t="e">
        <f t="shared" si="32"/>
        <v>#VALUE!</v>
      </c>
      <c r="CK12" s="37" t="e">
        <f t="shared" si="32"/>
        <v>#VALUE!</v>
      </c>
      <c r="CL12" s="37" t="e">
        <f t="shared" si="32"/>
        <v>#VALUE!</v>
      </c>
      <c r="CM12" s="37" t="e">
        <f t="shared" si="32"/>
        <v>#VALUE!</v>
      </c>
      <c r="CN12" s="37" t="e">
        <f t="shared" si="32"/>
        <v>#VALUE!</v>
      </c>
      <c r="CO12" s="37" t="e">
        <f t="shared" si="32"/>
        <v>#VALUE!</v>
      </c>
      <c r="CP12" s="37" t="e">
        <f t="shared" si="32"/>
        <v>#VALUE!</v>
      </c>
      <c r="CQ12" s="37" t="e">
        <f t="shared" si="32"/>
        <v>#VALUE!</v>
      </c>
      <c r="CR12" s="37" t="e">
        <f t="shared" si="32"/>
        <v>#VALUE!</v>
      </c>
      <c r="CS12" s="37" t="e">
        <f t="shared" si="32"/>
        <v>#VALUE!</v>
      </c>
      <c r="CT12" s="37" t="e">
        <f t="shared" si="32"/>
        <v>#VALUE!</v>
      </c>
      <c r="CU12" s="37" t="e">
        <f t="shared" si="32"/>
        <v>#VALUE!</v>
      </c>
      <c r="CV12" s="37" t="e">
        <f t="shared" si="32"/>
        <v>#VALUE!</v>
      </c>
      <c r="CW12" s="37" t="e">
        <f t="shared" si="32"/>
        <v>#VALUE!</v>
      </c>
      <c r="CX12" s="37" t="e">
        <f t="shared" si="32"/>
        <v>#VALUE!</v>
      </c>
      <c r="CY12" s="37" t="e">
        <f t="shared" si="32"/>
        <v>#VALUE!</v>
      </c>
      <c r="CZ12" s="37" t="e">
        <f t="shared" si="32"/>
        <v>#VALUE!</v>
      </c>
      <c r="DA12" s="37" t="e">
        <f t="shared" si="32"/>
        <v>#VALUE!</v>
      </c>
      <c r="DB12" s="37" t="e">
        <f t="shared" ref="DB12:DT12" si="33">SUM(DB11:DB11)</f>
        <v>#VALUE!</v>
      </c>
      <c r="DC12" s="37" t="e">
        <f t="shared" si="33"/>
        <v>#VALUE!</v>
      </c>
      <c r="DD12" s="37" t="e">
        <f t="shared" si="33"/>
        <v>#VALUE!</v>
      </c>
      <c r="DE12" s="37" t="e">
        <f t="shared" si="33"/>
        <v>#VALUE!</v>
      </c>
      <c r="DF12" s="37" t="e">
        <f t="shared" si="33"/>
        <v>#VALUE!</v>
      </c>
      <c r="DG12" s="37" t="e">
        <f t="shared" si="33"/>
        <v>#VALUE!</v>
      </c>
      <c r="DH12" s="37" t="e">
        <f t="shared" si="33"/>
        <v>#VALUE!</v>
      </c>
      <c r="DI12" s="37" t="e">
        <f t="shared" si="33"/>
        <v>#VALUE!</v>
      </c>
      <c r="DJ12" s="37" t="e">
        <f t="shared" si="33"/>
        <v>#VALUE!</v>
      </c>
      <c r="DK12" s="37" t="e">
        <f t="shared" si="33"/>
        <v>#VALUE!</v>
      </c>
      <c r="DL12" s="37" t="e">
        <f t="shared" si="33"/>
        <v>#VALUE!</v>
      </c>
      <c r="DM12" s="37" t="e">
        <f t="shared" si="33"/>
        <v>#VALUE!</v>
      </c>
      <c r="DN12" s="37" t="e">
        <f t="shared" si="33"/>
        <v>#VALUE!</v>
      </c>
      <c r="DO12" s="37" t="e">
        <f t="shared" si="33"/>
        <v>#VALUE!</v>
      </c>
      <c r="DP12" s="37" t="e">
        <f t="shared" si="33"/>
        <v>#VALUE!</v>
      </c>
      <c r="DQ12" s="37" t="e">
        <f t="shared" si="33"/>
        <v>#VALUE!</v>
      </c>
      <c r="DR12" s="37" t="e">
        <f t="shared" si="33"/>
        <v>#VALUE!</v>
      </c>
      <c r="DS12" s="37" t="e">
        <f t="shared" si="33"/>
        <v>#VALUE!</v>
      </c>
      <c r="DT12" s="37" t="e">
        <f t="shared" si="33"/>
        <v>#VALUE!</v>
      </c>
    </row>
    <row r="13" spans="2:124" x14ac:dyDescent="0.25">
      <c r="B13" s="1" t="s">
        <v>6</v>
      </c>
      <c r="C13" s="31"/>
      <c r="D13" s="39">
        <f>-'Inputs &amp; Summary'!D88</f>
        <v>-0.05</v>
      </c>
      <c r="E13" s="13">
        <f>E12*$D$13</f>
        <v>0</v>
      </c>
      <c r="F13" s="13">
        <f t="shared" ref="F13:BQ13" si="34">F12*$D$13</f>
        <v>0</v>
      </c>
      <c r="G13" s="13">
        <f t="shared" si="34"/>
        <v>0</v>
      </c>
      <c r="H13" s="13">
        <f t="shared" si="34"/>
        <v>0</v>
      </c>
      <c r="I13" s="13">
        <f t="shared" si="34"/>
        <v>0</v>
      </c>
      <c r="J13" s="13">
        <f t="shared" si="34"/>
        <v>0</v>
      </c>
      <c r="K13" s="13">
        <f t="shared" si="34"/>
        <v>0</v>
      </c>
      <c r="L13" s="13">
        <f t="shared" si="34"/>
        <v>0</v>
      </c>
      <c r="M13" s="13">
        <f t="shared" si="34"/>
        <v>0</v>
      </c>
      <c r="N13" s="13">
        <f t="shared" si="34"/>
        <v>0</v>
      </c>
      <c r="O13" s="13">
        <f t="shared" si="34"/>
        <v>0</v>
      </c>
      <c r="P13" s="13">
        <f t="shared" si="34"/>
        <v>0</v>
      </c>
      <c r="Q13" s="13">
        <f t="shared" si="34"/>
        <v>0</v>
      </c>
      <c r="R13" s="13">
        <f t="shared" si="34"/>
        <v>0</v>
      </c>
      <c r="S13" s="13" t="e">
        <f t="shared" si="34"/>
        <v>#VALUE!</v>
      </c>
      <c r="T13" s="13" t="e">
        <f t="shared" si="34"/>
        <v>#VALUE!</v>
      </c>
      <c r="U13" s="13" t="e">
        <f t="shared" si="34"/>
        <v>#VALUE!</v>
      </c>
      <c r="V13" s="13" t="e">
        <f t="shared" si="34"/>
        <v>#VALUE!</v>
      </c>
      <c r="W13" s="13" t="e">
        <f t="shared" si="34"/>
        <v>#VALUE!</v>
      </c>
      <c r="X13" s="13" t="e">
        <f t="shared" si="34"/>
        <v>#VALUE!</v>
      </c>
      <c r="Y13" s="13" t="e">
        <f t="shared" si="34"/>
        <v>#VALUE!</v>
      </c>
      <c r="Z13" s="13" t="e">
        <f t="shared" si="34"/>
        <v>#VALUE!</v>
      </c>
      <c r="AA13" s="13" t="e">
        <f t="shared" si="34"/>
        <v>#VALUE!</v>
      </c>
      <c r="AB13" s="13" t="e">
        <f t="shared" si="34"/>
        <v>#VALUE!</v>
      </c>
      <c r="AC13" s="13" t="e">
        <f t="shared" si="34"/>
        <v>#VALUE!</v>
      </c>
      <c r="AD13" s="13" t="e">
        <f t="shared" si="34"/>
        <v>#VALUE!</v>
      </c>
      <c r="AE13" s="13" t="e">
        <f t="shared" si="34"/>
        <v>#VALUE!</v>
      </c>
      <c r="AF13" s="13" t="e">
        <f t="shared" si="34"/>
        <v>#VALUE!</v>
      </c>
      <c r="AG13" s="13" t="e">
        <f t="shared" si="34"/>
        <v>#VALUE!</v>
      </c>
      <c r="AH13" s="13" t="e">
        <f t="shared" si="34"/>
        <v>#VALUE!</v>
      </c>
      <c r="AI13" s="13" t="e">
        <f t="shared" si="34"/>
        <v>#VALUE!</v>
      </c>
      <c r="AJ13" s="13" t="e">
        <f t="shared" si="34"/>
        <v>#VALUE!</v>
      </c>
      <c r="AK13" s="13" t="e">
        <f t="shared" si="34"/>
        <v>#VALUE!</v>
      </c>
      <c r="AL13" s="13" t="e">
        <f t="shared" si="34"/>
        <v>#VALUE!</v>
      </c>
      <c r="AM13" s="13" t="e">
        <f t="shared" si="34"/>
        <v>#VALUE!</v>
      </c>
      <c r="AN13" s="13" t="e">
        <f t="shared" si="34"/>
        <v>#VALUE!</v>
      </c>
      <c r="AO13" s="13" t="e">
        <f t="shared" si="34"/>
        <v>#VALUE!</v>
      </c>
      <c r="AP13" s="13" t="e">
        <f t="shared" si="34"/>
        <v>#VALUE!</v>
      </c>
      <c r="AQ13" s="13" t="e">
        <f t="shared" si="34"/>
        <v>#VALUE!</v>
      </c>
      <c r="AR13" s="13" t="e">
        <f t="shared" si="34"/>
        <v>#VALUE!</v>
      </c>
      <c r="AS13" s="13" t="e">
        <f t="shared" si="34"/>
        <v>#VALUE!</v>
      </c>
      <c r="AT13" s="13" t="e">
        <f t="shared" si="34"/>
        <v>#VALUE!</v>
      </c>
      <c r="AU13" s="13" t="e">
        <f t="shared" si="34"/>
        <v>#VALUE!</v>
      </c>
      <c r="AV13" s="13" t="e">
        <f t="shared" si="34"/>
        <v>#VALUE!</v>
      </c>
      <c r="AW13" s="13" t="e">
        <f t="shared" si="34"/>
        <v>#VALUE!</v>
      </c>
      <c r="AX13" s="13" t="e">
        <f t="shared" si="34"/>
        <v>#VALUE!</v>
      </c>
      <c r="AY13" s="13" t="e">
        <f t="shared" si="34"/>
        <v>#VALUE!</v>
      </c>
      <c r="AZ13" s="13" t="e">
        <f t="shared" si="34"/>
        <v>#VALUE!</v>
      </c>
      <c r="BA13" s="13" t="e">
        <f t="shared" si="34"/>
        <v>#VALUE!</v>
      </c>
      <c r="BB13" s="13" t="e">
        <f t="shared" si="34"/>
        <v>#VALUE!</v>
      </c>
      <c r="BC13" s="13" t="e">
        <f t="shared" si="34"/>
        <v>#VALUE!</v>
      </c>
      <c r="BD13" s="13" t="e">
        <f t="shared" si="34"/>
        <v>#VALUE!</v>
      </c>
      <c r="BE13" s="13" t="e">
        <f t="shared" si="34"/>
        <v>#VALUE!</v>
      </c>
      <c r="BF13" s="13" t="e">
        <f t="shared" si="34"/>
        <v>#VALUE!</v>
      </c>
      <c r="BG13" s="13" t="e">
        <f t="shared" si="34"/>
        <v>#VALUE!</v>
      </c>
      <c r="BH13" s="13" t="e">
        <f t="shared" si="34"/>
        <v>#VALUE!</v>
      </c>
      <c r="BI13" s="13" t="e">
        <f t="shared" si="34"/>
        <v>#VALUE!</v>
      </c>
      <c r="BJ13" s="13" t="e">
        <f t="shared" si="34"/>
        <v>#VALUE!</v>
      </c>
      <c r="BK13" s="13" t="e">
        <f t="shared" si="34"/>
        <v>#VALUE!</v>
      </c>
      <c r="BL13" s="13" t="e">
        <f t="shared" si="34"/>
        <v>#VALUE!</v>
      </c>
      <c r="BM13" s="13" t="e">
        <f t="shared" si="34"/>
        <v>#VALUE!</v>
      </c>
      <c r="BN13" s="13" t="e">
        <f t="shared" si="34"/>
        <v>#VALUE!</v>
      </c>
      <c r="BO13" s="13" t="e">
        <f t="shared" si="34"/>
        <v>#VALUE!</v>
      </c>
      <c r="BP13" s="13" t="e">
        <f t="shared" si="34"/>
        <v>#VALUE!</v>
      </c>
      <c r="BQ13" s="13" t="e">
        <f t="shared" si="34"/>
        <v>#VALUE!</v>
      </c>
      <c r="BR13" s="13" t="e">
        <f t="shared" ref="BR13:DT13" si="35">BR12*$D$13</f>
        <v>#VALUE!</v>
      </c>
      <c r="BS13" s="13" t="e">
        <f t="shared" si="35"/>
        <v>#VALUE!</v>
      </c>
      <c r="BT13" s="13" t="e">
        <f t="shared" si="35"/>
        <v>#VALUE!</v>
      </c>
      <c r="BU13" s="13" t="e">
        <f t="shared" si="35"/>
        <v>#VALUE!</v>
      </c>
      <c r="BV13" s="13" t="e">
        <f t="shared" si="35"/>
        <v>#VALUE!</v>
      </c>
      <c r="BW13" s="13" t="e">
        <f t="shared" si="35"/>
        <v>#VALUE!</v>
      </c>
      <c r="BX13" s="13" t="e">
        <f t="shared" si="35"/>
        <v>#VALUE!</v>
      </c>
      <c r="BY13" s="13" t="e">
        <f t="shared" si="35"/>
        <v>#VALUE!</v>
      </c>
      <c r="BZ13" s="13" t="e">
        <f t="shared" si="35"/>
        <v>#VALUE!</v>
      </c>
      <c r="CA13" s="13" t="e">
        <f t="shared" si="35"/>
        <v>#VALUE!</v>
      </c>
      <c r="CB13" s="13" t="e">
        <f t="shared" si="35"/>
        <v>#VALUE!</v>
      </c>
      <c r="CC13" s="13" t="e">
        <f t="shared" si="35"/>
        <v>#VALUE!</v>
      </c>
      <c r="CD13" s="13" t="e">
        <f t="shared" si="35"/>
        <v>#VALUE!</v>
      </c>
      <c r="CE13" s="13" t="e">
        <f t="shared" si="35"/>
        <v>#VALUE!</v>
      </c>
      <c r="CF13" s="13" t="e">
        <f t="shared" si="35"/>
        <v>#VALUE!</v>
      </c>
      <c r="CG13" s="13" t="e">
        <f t="shared" si="35"/>
        <v>#VALUE!</v>
      </c>
      <c r="CH13" s="13" t="e">
        <f t="shared" si="35"/>
        <v>#VALUE!</v>
      </c>
      <c r="CI13" s="13" t="e">
        <f t="shared" si="35"/>
        <v>#VALUE!</v>
      </c>
      <c r="CJ13" s="13" t="e">
        <f t="shared" si="35"/>
        <v>#VALUE!</v>
      </c>
      <c r="CK13" s="13" t="e">
        <f t="shared" si="35"/>
        <v>#VALUE!</v>
      </c>
      <c r="CL13" s="13" t="e">
        <f t="shared" si="35"/>
        <v>#VALUE!</v>
      </c>
      <c r="CM13" s="13" t="e">
        <f t="shared" si="35"/>
        <v>#VALUE!</v>
      </c>
      <c r="CN13" s="13" t="e">
        <f t="shared" si="35"/>
        <v>#VALUE!</v>
      </c>
      <c r="CO13" s="13" t="e">
        <f t="shared" si="35"/>
        <v>#VALUE!</v>
      </c>
      <c r="CP13" s="13" t="e">
        <f t="shared" si="35"/>
        <v>#VALUE!</v>
      </c>
      <c r="CQ13" s="13" t="e">
        <f t="shared" si="35"/>
        <v>#VALUE!</v>
      </c>
      <c r="CR13" s="13" t="e">
        <f t="shared" si="35"/>
        <v>#VALUE!</v>
      </c>
      <c r="CS13" s="13" t="e">
        <f t="shared" si="35"/>
        <v>#VALUE!</v>
      </c>
      <c r="CT13" s="13" t="e">
        <f t="shared" si="35"/>
        <v>#VALUE!</v>
      </c>
      <c r="CU13" s="13" t="e">
        <f t="shared" si="35"/>
        <v>#VALUE!</v>
      </c>
      <c r="CV13" s="13" t="e">
        <f t="shared" si="35"/>
        <v>#VALUE!</v>
      </c>
      <c r="CW13" s="13" t="e">
        <f t="shared" si="35"/>
        <v>#VALUE!</v>
      </c>
      <c r="CX13" s="13" t="e">
        <f t="shared" si="35"/>
        <v>#VALUE!</v>
      </c>
      <c r="CY13" s="13" t="e">
        <f t="shared" si="35"/>
        <v>#VALUE!</v>
      </c>
      <c r="CZ13" s="13" t="e">
        <f t="shared" si="35"/>
        <v>#VALUE!</v>
      </c>
      <c r="DA13" s="13" t="e">
        <f t="shared" si="35"/>
        <v>#VALUE!</v>
      </c>
      <c r="DB13" s="13" t="e">
        <f t="shared" si="35"/>
        <v>#VALUE!</v>
      </c>
      <c r="DC13" s="13" t="e">
        <f t="shared" si="35"/>
        <v>#VALUE!</v>
      </c>
      <c r="DD13" s="13" t="e">
        <f t="shared" si="35"/>
        <v>#VALUE!</v>
      </c>
      <c r="DE13" s="13" t="e">
        <f t="shared" si="35"/>
        <v>#VALUE!</v>
      </c>
      <c r="DF13" s="13" t="e">
        <f t="shared" si="35"/>
        <v>#VALUE!</v>
      </c>
      <c r="DG13" s="13" t="e">
        <f t="shared" si="35"/>
        <v>#VALUE!</v>
      </c>
      <c r="DH13" s="13" t="e">
        <f t="shared" si="35"/>
        <v>#VALUE!</v>
      </c>
      <c r="DI13" s="13" t="e">
        <f t="shared" si="35"/>
        <v>#VALUE!</v>
      </c>
      <c r="DJ13" s="13" t="e">
        <f t="shared" si="35"/>
        <v>#VALUE!</v>
      </c>
      <c r="DK13" s="13" t="e">
        <f t="shared" si="35"/>
        <v>#VALUE!</v>
      </c>
      <c r="DL13" s="13" t="e">
        <f t="shared" si="35"/>
        <v>#VALUE!</v>
      </c>
      <c r="DM13" s="13" t="e">
        <f t="shared" si="35"/>
        <v>#VALUE!</v>
      </c>
      <c r="DN13" s="13" t="e">
        <f t="shared" si="35"/>
        <v>#VALUE!</v>
      </c>
      <c r="DO13" s="13" t="e">
        <f t="shared" si="35"/>
        <v>#VALUE!</v>
      </c>
      <c r="DP13" s="13" t="e">
        <f t="shared" si="35"/>
        <v>#VALUE!</v>
      </c>
      <c r="DQ13" s="13" t="e">
        <f t="shared" si="35"/>
        <v>#VALUE!</v>
      </c>
      <c r="DR13" s="13" t="e">
        <f t="shared" si="35"/>
        <v>#VALUE!</v>
      </c>
      <c r="DS13" s="13" t="e">
        <f t="shared" si="35"/>
        <v>#VALUE!</v>
      </c>
      <c r="DT13" s="13" t="e">
        <f t="shared" si="35"/>
        <v>#VALUE!</v>
      </c>
    </row>
    <row r="14" spans="2:124" x14ac:dyDescent="0.25">
      <c r="B14" s="1" t="s">
        <v>9</v>
      </c>
      <c r="C14" s="32"/>
      <c r="D14" s="40" t="e">
        <f>-'Inputs &amp; Summary'!L11</f>
        <v>#VALUE!</v>
      </c>
      <c r="E14" s="36" t="e">
        <f>E12*-$D$14</f>
        <v>#VALUE!</v>
      </c>
      <c r="F14" s="36" t="e">
        <f t="shared" ref="F14:BQ14" si="36">F12*-$D$14</f>
        <v>#VALUE!</v>
      </c>
      <c r="G14" s="36" t="e">
        <f t="shared" si="36"/>
        <v>#VALUE!</v>
      </c>
      <c r="H14" s="36" t="e">
        <f t="shared" si="36"/>
        <v>#VALUE!</v>
      </c>
      <c r="I14" s="36" t="e">
        <f t="shared" si="36"/>
        <v>#VALUE!</v>
      </c>
      <c r="J14" s="36" t="e">
        <f t="shared" si="36"/>
        <v>#VALUE!</v>
      </c>
      <c r="K14" s="36" t="e">
        <f t="shared" si="36"/>
        <v>#VALUE!</v>
      </c>
      <c r="L14" s="36" t="e">
        <f t="shared" si="36"/>
        <v>#VALUE!</v>
      </c>
      <c r="M14" s="36" t="e">
        <f t="shared" si="36"/>
        <v>#VALUE!</v>
      </c>
      <c r="N14" s="36" t="e">
        <f t="shared" si="36"/>
        <v>#VALUE!</v>
      </c>
      <c r="O14" s="36" t="e">
        <f t="shared" si="36"/>
        <v>#VALUE!</v>
      </c>
      <c r="P14" s="36" t="e">
        <f t="shared" si="36"/>
        <v>#VALUE!</v>
      </c>
      <c r="Q14" s="36" t="e">
        <f t="shared" si="36"/>
        <v>#VALUE!</v>
      </c>
      <c r="R14" s="36" t="e">
        <f t="shared" si="36"/>
        <v>#VALUE!</v>
      </c>
      <c r="S14" s="36" t="e">
        <f t="shared" si="36"/>
        <v>#VALUE!</v>
      </c>
      <c r="T14" s="36" t="e">
        <f t="shared" si="36"/>
        <v>#VALUE!</v>
      </c>
      <c r="U14" s="36" t="e">
        <f t="shared" si="36"/>
        <v>#VALUE!</v>
      </c>
      <c r="V14" s="36" t="e">
        <f t="shared" si="36"/>
        <v>#VALUE!</v>
      </c>
      <c r="W14" s="36" t="e">
        <f t="shared" si="36"/>
        <v>#VALUE!</v>
      </c>
      <c r="X14" s="36" t="e">
        <f t="shared" si="36"/>
        <v>#VALUE!</v>
      </c>
      <c r="Y14" s="36" t="e">
        <f t="shared" si="36"/>
        <v>#VALUE!</v>
      </c>
      <c r="Z14" s="36" t="e">
        <f t="shared" si="36"/>
        <v>#VALUE!</v>
      </c>
      <c r="AA14" s="36" t="e">
        <f t="shared" si="36"/>
        <v>#VALUE!</v>
      </c>
      <c r="AB14" s="36" t="e">
        <f t="shared" si="36"/>
        <v>#VALUE!</v>
      </c>
      <c r="AC14" s="36" t="e">
        <f t="shared" si="36"/>
        <v>#VALUE!</v>
      </c>
      <c r="AD14" s="36" t="e">
        <f t="shared" si="36"/>
        <v>#VALUE!</v>
      </c>
      <c r="AE14" s="36" t="e">
        <f t="shared" si="36"/>
        <v>#VALUE!</v>
      </c>
      <c r="AF14" s="36" t="e">
        <f t="shared" si="36"/>
        <v>#VALUE!</v>
      </c>
      <c r="AG14" s="36" t="e">
        <f t="shared" si="36"/>
        <v>#VALUE!</v>
      </c>
      <c r="AH14" s="36" t="e">
        <f t="shared" si="36"/>
        <v>#VALUE!</v>
      </c>
      <c r="AI14" s="36" t="e">
        <f t="shared" si="36"/>
        <v>#VALUE!</v>
      </c>
      <c r="AJ14" s="36" t="e">
        <f t="shared" si="36"/>
        <v>#VALUE!</v>
      </c>
      <c r="AK14" s="36" t="e">
        <f t="shared" si="36"/>
        <v>#VALUE!</v>
      </c>
      <c r="AL14" s="36" t="e">
        <f t="shared" si="36"/>
        <v>#VALUE!</v>
      </c>
      <c r="AM14" s="36" t="e">
        <f t="shared" si="36"/>
        <v>#VALUE!</v>
      </c>
      <c r="AN14" s="36" t="e">
        <f t="shared" si="36"/>
        <v>#VALUE!</v>
      </c>
      <c r="AO14" s="36" t="e">
        <f t="shared" si="36"/>
        <v>#VALUE!</v>
      </c>
      <c r="AP14" s="36" t="e">
        <f t="shared" si="36"/>
        <v>#VALUE!</v>
      </c>
      <c r="AQ14" s="36" t="e">
        <f t="shared" si="36"/>
        <v>#VALUE!</v>
      </c>
      <c r="AR14" s="36" t="e">
        <f t="shared" si="36"/>
        <v>#VALUE!</v>
      </c>
      <c r="AS14" s="36" t="e">
        <f t="shared" si="36"/>
        <v>#VALUE!</v>
      </c>
      <c r="AT14" s="36" t="e">
        <f t="shared" si="36"/>
        <v>#VALUE!</v>
      </c>
      <c r="AU14" s="36" t="e">
        <f t="shared" si="36"/>
        <v>#VALUE!</v>
      </c>
      <c r="AV14" s="36" t="e">
        <f t="shared" si="36"/>
        <v>#VALUE!</v>
      </c>
      <c r="AW14" s="36" t="e">
        <f t="shared" si="36"/>
        <v>#VALUE!</v>
      </c>
      <c r="AX14" s="36" t="e">
        <f t="shared" si="36"/>
        <v>#VALUE!</v>
      </c>
      <c r="AY14" s="36" t="e">
        <f t="shared" si="36"/>
        <v>#VALUE!</v>
      </c>
      <c r="AZ14" s="36" t="e">
        <f t="shared" si="36"/>
        <v>#VALUE!</v>
      </c>
      <c r="BA14" s="36" t="e">
        <f t="shared" si="36"/>
        <v>#VALUE!</v>
      </c>
      <c r="BB14" s="36" t="e">
        <f t="shared" si="36"/>
        <v>#VALUE!</v>
      </c>
      <c r="BC14" s="36" t="e">
        <f t="shared" si="36"/>
        <v>#VALUE!</v>
      </c>
      <c r="BD14" s="36" t="e">
        <f t="shared" si="36"/>
        <v>#VALUE!</v>
      </c>
      <c r="BE14" s="36" t="e">
        <f t="shared" si="36"/>
        <v>#VALUE!</v>
      </c>
      <c r="BF14" s="36" t="e">
        <f t="shared" si="36"/>
        <v>#VALUE!</v>
      </c>
      <c r="BG14" s="36" t="e">
        <f t="shared" si="36"/>
        <v>#VALUE!</v>
      </c>
      <c r="BH14" s="36" t="e">
        <f t="shared" si="36"/>
        <v>#VALUE!</v>
      </c>
      <c r="BI14" s="36" t="e">
        <f t="shared" si="36"/>
        <v>#VALUE!</v>
      </c>
      <c r="BJ14" s="36" t="e">
        <f t="shared" si="36"/>
        <v>#VALUE!</v>
      </c>
      <c r="BK14" s="36" t="e">
        <f t="shared" si="36"/>
        <v>#VALUE!</v>
      </c>
      <c r="BL14" s="36" t="e">
        <f t="shared" si="36"/>
        <v>#VALUE!</v>
      </c>
      <c r="BM14" s="36" t="e">
        <f t="shared" si="36"/>
        <v>#VALUE!</v>
      </c>
      <c r="BN14" s="36" t="e">
        <f t="shared" si="36"/>
        <v>#VALUE!</v>
      </c>
      <c r="BO14" s="36" t="e">
        <f t="shared" si="36"/>
        <v>#VALUE!</v>
      </c>
      <c r="BP14" s="36" t="e">
        <f t="shared" si="36"/>
        <v>#VALUE!</v>
      </c>
      <c r="BQ14" s="36" t="e">
        <f t="shared" si="36"/>
        <v>#VALUE!</v>
      </c>
      <c r="BR14" s="36" t="e">
        <f t="shared" ref="BR14:DT14" si="37">BR12*-$D$14</f>
        <v>#VALUE!</v>
      </c>
      <c r="BS14" s="36" t="e">
        <f t="shared" si="37"/>
        <v>#VALUE!</v>
      </c>
      <c r="BT14" s="36" t="e">
        <f t="shared" si="37"/>
        <v>#VALUE!</v>
      </c>
      <c r="BU14" s="36" t="e">
        <f t="shared" si="37"/>
        <v>#VALUE!</v>
      </c>
      <c r="BV14" s="36" t="e">
        <f t="shared" si="37"/>
        <v>#VALUE!</v>
      </c>
      <c r="BW14" s="36" t="e">
        <f t="shared" si="37"/>
        <v>#VALUE!</v>
      </c>
      <c r="BX14" s="36" t="e">
        <f t="shared" si="37"/>
        <v>#VALUE!</v>
      </c>
      <c r="BY14" s="36" t="e">
        <f t="shared" si="37"/>
        <v>#VALUE!</v>
      </c>
      <c r="BZ14" s="36" t="e">
        <f t="shared" si="37"/>
        <v>#VALUE!</v>
      </c>
      <c r="CA14" s="36" t="e">
        <f t="shared" si="37"/>
        <v>#VALUE!</v>
      </c>
      <c r="CB14" s="36" t="e">
        <f t="shared" si="37"/>
        <v>#VALUE!</v>
      </c>
      <c r="CC14" s="36" t="e">
        <f t="shared" si="37"/>
        <v>#VALUE!</v>
      </c>
      <c r="CD14" s="36" t="e">
        <f t="shared" si="37"/>
        <v>#VALUE!</v>
      </c>
      <c r="CE14" s="36" t="e">
        <f t="shared" si="37"/>
        <v>#VALUE!</v>
      </c>
      <c r="CF14" s="36" t="e">
        <f t="shared" si="37"/>
        <v>#VALUE!</v>
      </c>
      <c r="CG14" s="36" t="e">
        <f t="shared" si="37"/>
        <v>#VALUE!</v>
      </c>
      <c r="CH14" s="36" t="e">
        <f t="shared" si="37"/>
        <v>#VALUE!</v>
      </c>
      <c r="CI14" s="36" t="e">
        <f t="shared" si="37"/>
        <v>#VALUE!</v>
      </c>
      <c r="CJ14" s="36" t="e">
        <f t="shared" si="37"/>
        <v>#VALUE!</v>
      </c>
      <c r="CK14" s="36" t="e">
        <f t="shared" si="37"/>
        <v>#VALUE!</v>
      </c>
      <c r="CL14" s="36" t="e">
        <f t="shared" si="37"/>
        <v>#VALUE!</v>
      </c>
      <c r="CM14" s="36" t="e">
        <f t="shared" si="37"/>
        <v>#VALUE!</v>
      </c>
      <c r="CN14" s="36" t="e">
        <f t="shared" si="37"/>
        <v>#VALUE!</v>
      </c>
      <c r="CO14" s="36" t="e">
        <f t="shared" si="37"/>
        <v>#VALUE!</v>
      </c>
      <c r="CP14" s="36" t="e">
        <f t="shared" si="37"/>
        <v>#VALUE!</v>
      </c>
      <c r="CQ14" s="36" t="e">
        <f t="shared" si="37"/>
        <v>#VALUE!</v>
      </c>
      <c r="CR14" s="36" t="e">
        <f t="shared" si="37"/>
        <v>#VALUE!</v>
      </c>
      <c r="CS14" s="36" t="e">
        <f t="shared" si="37"/>
        <v>#VALUE!</v>
      </c>
      <c r="CT14" s="36" t="e">
        <f t="shared" si="37"/>
        <v>#VALUE!</v>
      </c>
      <c r="CU14" s="36" t="e">
        <f t="shared" si="37"/>
        <v>#VALUE!</v>
      </c>
      <c r="CV14" s="36" t="e">
        <f t="shared" si="37"/>
        <v>#VALUE!</v>
      </c>
      <c r="CW14" s="36" t="e">
        <f t="shared" si="37"/>
        <v>#VALUE!</v>
      </c>
      <c r="CX14" s="36" t="e">
        <f t="shared" si="37"/>
        <v>#VALUE!</v>
      </c>
      <c r="CY14" s="36" t="e">
        <f t="shared" si="37"/>
        <v>#VALUE!</v>
      </c>
      <c r="CZ14" s="36" t="e">
        <f t="shared" si="37"/>
        <v>#VALUE!</v>
      </c>
      <c r="DA14" s="36" t="e">
        <f t="shared" si="37"/>
        <v>#VALUE!</v>
      </c>
      <c r="DB14" s="36" t="e">
        <f t="shared" si="37"/>
        <v>#VALUE!</v>
      </c>
      <c r="DC14" s="36" t="e">
        <f t="shared" si="37"/>
        <v>#VALUE!</v>
      </c>
      <c r="DD14" s="36" t="e">
        <f t="shared" si="37"/>
        <v>#VALUE!</v>
      </c>
      <c r="DE14" s="36" t="e">
        <f t="shared" si="37"/>
        <v>#VALUE!</v>
      </c>
      <c r="DF14" s="36" t="e">
        <f t="shared" si="37"/>
        <v>#VALUE!</v>
      </c>
      <c r="DG14" s="36" t="e">
        <f t="shared" si="37"/>
        <v>#VALUE!</v>
      </c>
      <c r="DH14" s="36" t="e">
        <f t="shared" si="37"/>
        <v>#VALUE!</v>
      </c>
      <c r="DI14" s="36" t="e">
        <f t="shared" si="37"/>
        <v>#VALUE!</v>
      </c>
      <c r="DJ14" s="36" t="e">
        <f t="shared" si="37"/>
        <v>#VALUE!</v>
      </c>
      <c r="DK14" s="36" t="e">
        <f t="shared" si="37"/>
        <v>#VALUE!</v>
      </c>
      <c r="DL14" s="36" t="e">
        <f t="shared" si="37"/>
        <v>#VALUE!</v>
      </c>
      <c r="DM14" s="36" t="e">
        <f t="shared" si="37"/>
        <v>#VALUE!</v>
      </c>
      <c r="DN14" s="36" t="e">
        <f t="shared" si="37"/>
        <v>#VALUE!</v>
      </c>
      <c r="DO14" s="36" t="e">
        <f t="shared" si="37"/>
        <v>#VALUE!</v>
      </c>
      <c r="DP14" s="36" t="e">
        <f t="shared" si="37"/>
        <v>#VALUE!</v>
      </c>
      <c r="DQ14" s="36" t="e">
        <f t="shared" si="37"/>
        <v>#VALUE!</v>
      </c>
      <c r="DR14" s="36" t="e">
        <f t="shared" si="37"/>
        <v>#VALUE!</v>
      </c>
      <c r="DS14" s="36" t="e">
        <f t="shared" si="37"/>
        <v>#VALUE!</v>
      </c>
      <c r="DT14" s="36" t="e">
        <f t="shared" si="37"/>
        <v>#VALUE!</v>
      </c>
    </row>
    <row r="15" spans="2:124" s="6" customFormat="1" x14ac:dyDescent="0.25">
      <c r="B15" s="14" t="s">
        <v>11</v>
      </c>
      <c r="C15" s="38"/>
      <c r="D15" s="38"/>
      <c r="E15" s="15" t="e">
        <f>SUM(E12:E14)</f>
        <v>#VALUE!</v>
      </c>
      <c r="F15" s="15" t="e">
        <f t="shared" ref="F15:BQ15" si="38">SUM(F12:F14)</f>
        <v>#VALUE!</v>
      </c>
      <c r="G15" s="15" t="e">
        <f t="shared" si="38"/>
        <v>#VALUE!</v>
      </c>
      <c r="H15" s="15" t="e">
        <f t="shared" si="38"/>
        <v>#VALUE!</v>
      </c>
      <c r="I15" s="15" t="e">
        <f t="shared" si="38"/>
        <v>#VALUE!</v>
      </c>
      <c r="J15" s="15" t="e">
        <f t="shared" si="38"/>
        <v>#VALUE!</v>
      </c>
      <c r="K15" s="15" t="e">
        <f t="shared" si="38"/>
        <v>#VALUE!</v>
      </c>
      <c r="L15" s="15" t="e">
        <f t="shared" si="38"/>
        <v>#VALUE!</v>
      </c>
      <c r="M15" s="15" t="e">
        <f t="shared" si="38"/>
        <v>#VALUE!</v>
      </c>
      <c r="N15" s="15" t="e">
        <f t="shared" si="38"/>
        <v>#VALUE!</v>
      </c>
      <c r="O15" s="15" t="e">
        <f t="shared" si="38"/>
        <v>#VALUE!</v>
      </c>
      <c r="P15" s="15" t="e">
        <f t="shared" si="38"/>
        <v>#VALUE!</v>
      </c>
      <c r="Q15" s="15" t="e">
        <f t="shared" si="38"/>
        <v>#VALUE!</v>
      </c>
      <c r="R15" s="15" t="e">
        <f t="shared" si="38"/>
        <v>#VALUE!</v>
      </c>
      <c r="S15" s="15" t="e">
        <f t="shared" si="38"/>
        <v>#VALUE!</v>
      </c>
      <c r="T15" s="15" t="e">
        <f t="shared" si="38"/>
        <v>#VALUE!</v>
      </c>
      <c r="U15" s="15" t="e">
        <f t="shared" si="38"/>
        <v>#VALUE!</v>
      </c>
      <c r="V15" s="15" t="e">
        <f t="shared" si="38"/>
        <v>#VALUE!</v>
      </c>
      <c r="W15" s="15" t="e">
        <f t="shared" si="38"/>
        <v>#VALUE!</v>
      </c>
      <c r="X15" s="15" t="e">
        <f t="shared" si="38"/>
        <v>#VALUE!</v>
      </c>
      <c r="Y15" s="15" t="e">
        <f t="shared" si="38"/>
        <v>#VALUE!</v>
      </c>
      <c r="Z15" s="15" t="e">
        <f t="shared" si="38"/>
        <v>#VALUE!</v>
      </c>
      <c r="AA15" s="15" t="e">
        <f t="shared" si="38"/>
        <v>#VALUE!</v>
      </c>
      <c r="AB15" s="15" t="e">
        <f t="shared" si="38"/>
        <v>#VALUE!</v>
      </c>
      <c r="AC15" s="15" t="e">
        <f t="shared" si="38"/>
        <v>#VALUE!</v>
      </c>
      <c r="AD15" s="15" t="e">
        <f t="shared" si="38"/>
        <v>#VALUE!</v>
      </c>
      <c r="AE15" s="15" t="e">
        <f t="shared" si="38"/>
        <v>#VALUE!</v>
      </c>
      <c r="AF15" s="15" t="e">
        <f t="shared" si="38"/>
        <v>#VALUE!</v>
      </c>
      <c r="AG15" s="15" t="e">
        <f t="shared" si="38"/>
        <v>#VALUE!</v>
      </c>
      <c r="AH15" s="15" t="e">
        <f t="shared" si="38"/>
        <v>#VALUE!</v>
      </c>
      <c r="AI15" s="15" t="e">
        <f t="shared" si="38"/>
        <v>#VALUE!</v>
      </c>
      <c r="AJ15" s="15" t="e">
        <f t="shared" si="38"/>
        <v>#VALUE!</v>
      </c>
      <c r="AK15" s="15" t="e">
        <f t="shared" si="38"/>
        <v>#VALUE!</v>
      </c>
      <c r="AL15" s="15" t="e">
        <f t="shared" si="38"/>
        <v>#VALUE!</v>
      </c>
      <c r="AM15" s="15" t="e">
        <f t="shared" si="38"/>
        <v>#VALUE!</v>
      </c>
      <c r="AN15" s="15" t="e">
        <f t="shared" si="38"/>
        <v>#VALUE!</v>
      </c>
      <c r="AO15" s="15" t="e">
        <f t="shared" si="38"/>
        <v>#VALUE!</v>
      </c>
      <c r="AP15" s="15" t="e">
        <f t="shared" si="38"/>
        <v>#VALUE!</v>
      </c>
      <c r="AQ15" s="15" t="e">
        <f t="shared" si="38"/>
        <v>#VALUE!</v>
      </c>
      <c r="AR15" s="15" t="e">
        <f t="shared" si="38"/>
        <v>#VALUE!</v>
      </c>
      <c r="AS15" s="15" t="e">
        <f t="shared" si="38"/>
        <v>#VALUE!</v>
      </c>
      <c r="AT15" s="15" t="e">
        <f t="shared" si="38"/>
        <v>#VALUE!</v>
      </c>
      <c r="AU15" s="15" t="e">
        <f t="shared" si="38"/>
        <v>#VALUE!</v>
      </c>
      <c r="AV15" s="15" t="e">
        <f t="shared" si="38"/>
        <v>#VALUE!</v>
      </c>
      <c r="AW15" s="15" t="e">
        <f t="shared" si="38"/>
        <v>#VALUE!</v>
      </c>
      <c r="AX15" s="15" t="e">
        <f t="shared" si="38"/>
        <v>#VALUE!</v>
      </c>
      <c r="AY15" s="15" t="e">
        <f t="shared" si="38"/>
        <v>#VALUE!</v>
      </c>
      <c r="AZ15" s="15" t="e">
        <f t="shared" si="38"/>
        <v>#VALUE!</v>
      </c>
      <c r="BA15" s="15" t="e">
        <f t="shared" si="38"/>
        <v>#VALUE!</v>
      </c>
      <c r="BB15" s="15" t="e">
        <f t="shared" si="38"/>
        <v>#VALUE!</v>
      </c>
      <c r="BC15" s="15" t="e">
        <f t="shared" si="38"/>
        <v>#VALUE!</v>
      </c>
      <c r="BD15" s="15" t="e">
        <f t="shared" si="38"/>
        <v>#VALUE!</v>
      </c>
      <c r="BE15" s="15" t="e">
        <f t="shared" si="38"/>
        <v>#VALUE!</v>
      </c>
      <c r="BF15" s="15" t="e">
        <f t="shared" si="38"/>
        <v>#VALUE!</v>
      </c>
      <c r="BG15" s="15" t="e">
        <f t="shared" si="38"/>
        <v>#VALUE!</v>
      </c>
      <c r="BH15" s="15" t="e">
        <f t="shared" si="38"/>
        <v>#VALUE!</v>
      </c>
      <c r="BI15" s="15" t="e">
        <f t="shared" si="38"/>
        <v>#VALUE!</v>
      </c>
      <c r="BJ15" s="15" t="e">
        <f t="shared" si="38"/>
        <v>#VALUE!</v>
      </c>
      <c r="BK15" s="15" t="e">
        <f t="shared" si="38"/>
        <v>#VALUE!</v>
      </c>
      <c r="BL15" s="15" t="e">
        <f t="shared" si="38"/>
        <v>#VALUE!</v>
      </c>
      <c r="BM15" s="15" t="e">
        <f t="shared" si="38"/>
        <v>#VALUE!</v>
      </c>
      <c r="BN15" s="15" t="e">
        <f t="shared" si="38"/>
        <v>#VALUE!</v>
      </c>
      <c r="BO15" s="15" t="e">
        <f t="shared" si="38"/>
        <v>#VALUE!</v>
      </c>
      <c r="BP15" s="15" t="e">
        <f t="shared" si="38"/>
        <v>#VALUE!</v>
      </c>
      <c r="BQ15" s="15" t="e">
        <f t="shared" si="38"/>
        <v>#VALUE!</v>
      </c>
      <c r="BR15" s="15" t="e">
        <f t="shared" ref="BR15:DT15" si="39">SUM(BR12:BR14)</f>
        <v>#VALUE!</v>
      </c>
      <c r="BS15" s="15" t="e">
        <f t="shared" si="39"/>
        <v>#VALUE!</v>
      </c>
      <c r="BT15" s="15" t="e">
        <f t="shared" si="39"/>
        <v>#VALUE!</v>
      </c>
      <c r="BU15" s="15" t="e">
        <f t="shared" si="39"/>
        <v>#VALUE!</v>
      </c>
      <c r="BV15" s="15" t="e">
        <f t="shared" si="39"/>
        <v>#VALUE!</v>
      </c>
      <c r="BW15" s="15" t="e">
        <f t="shared" si="39"/>
        <v>#VALUE!</v>
      </c>
      <c r="BX15" s="15" t="e">
        <f t="shared" si="39"/>
        <v>#VALUE!</v>
      </c>
      <c r="BY15" s="15" t="e">
        <f t="shared" si="39"/>
        <v>#VALUE!</v>
      </c>
      <c r="BZ15" s="15" t="e">
        <f t="shared" si="39"/>
        <v>#VALUE!</v>
      </c>
      <c r="CA15" s="15" t="e">
        <f t="shared" si="39"/>
        <v>#VALUE!</v>
      </c>
      <c r="CB15" s="15" t="e">
        <f t="shared" si="39"/>
        <v>#VALUE!</v>
      </c>
      <c r="CC15" s="15" t="e">
        <f t="shared" si="39"/>
        <v>#VALUE!</v>
      </c>
      <c r="CD15" s="15" t="e">
        <f t="shared" si="39"/>
        <v>#VALUE!</v>
      </c>
      <c r="CE15" s="15" t="e">
        <f t="shared" si="39"/>
        <v>#VALUE!</v>
      </c>
      <c r="CF15" s="15" t="e">
        <f t="shared" si="39"/>
        <v>#VALUE!</v>
      </c>
      <c r="CG15" s="15" t="e">
        <f t="shared" si="39"/>
        <v>#VALUE!</v>
      </c>
      <c r="CH15" s="15" t="e">
        <f t="shared" si="39"/>
        <v>#VALUE!</v>
      </c>
      <c r="CI15" s="15" t="e">
        <f t="shared" si="39"/>
        <v>#VALUE!</v>
      </c>
      <c r="CJ15" s="15" t="e">
        <f t="shared" si="39"/>
        <v>#VALUE!</v>
      </c>
      <c r="CK15" s="15" t="e">
        <f t="shared" si="39"/>
        <v>#VALUE!</v>
      </c>
      <c r="CL15" s="15" t="e">
        <f t="shared" si="39"/>
        <v>#VALUE!</v>
      </c>
      <c r="CM15" s="15" t="e">
        <f t="shared" si="39"/>
        <v>#VALUE!</v>
      </c>
      <c r="CN15" s="15" t="e">
        <f t="shared" si="39"/>
        <v>#VALUE!</v>
      </c>
      <c r="CO15" s="15" t="e">
        <f t="shared" si="39"/>
        <v>#VALUE!</v>
      </c>
      <c r="CP15" s="15" t="e">
        <f t="shared" si="39"/>
        <v>#VALUE!</v>
      </c>
      <c r="CQ15" s="15" t="e">
        <f t="shared" si="39"/>
        <v>#VALUE!</v>
      </c>
      <c r="CR15" s="15" t="e">
        <f t="shared" si="39"/>
        <v>#VALUE!</v>
      </c>
      <c r="CS15" s="15" t="e">
        <f t="shared" si="39"/>
        <v>#VALUE!</v>
      </c>
      <c r="CT15" s="15" t="e">
        <f t="shared" si="39"/>
        <v>#VALUE!</v>
      </c>
      <c r="CU15" s="15" t="e">
        <f t="shared" si="39"/>
        <v>#VALUE!</v>
      </c>
      <c r="CV15" s="15" t="e">
        <f t="shared" si="39"/>
        <v>#VALUE!</v>
      </c>
      <c r="CW15" s="15" t="e">
        <f t="shared" si="39"/>
        <v>#VALUE!</v>
      </c>
      <c r="CX15" s="15" t="e">
        <f t="shared" si="39"/>
        <v>#VALUE!</v>
      </c>
      <c r="CY15" s="15" t="e">
        <f t="shared" si="39"/>
        <v>#VALUE!</v>
      </c>
      <c r="CZ15" s="15" t="e">
        <f t="shared" si="39"/>
        <v>#VALUE!</v>
      </c>
      <c r="DA15" s="15" t="e">
        <f t="shared" si="39"/>
        <v>#VALUE!</v>
      </c>
      <c r="DB15" s="15" t="e">
        <f t="shared" si="39"/>
        <v>#VALUE!</v>
      </c>
      <c r="DC15" s="15" t="e">
        <f t="shared" si="39"/>
        <v>#VALUE!</v>
      </c>
      <c r="DD15" s="15" t="e">
        <f t="shared" si="39"/>
        <v>#VALUE!</v>
      </c>
      <c r="DE15" s="15" t="e">
        <f t="shared" si="39"/>
        <v>#VALUE!</v>
      </c>
      <c r="DF15" s="15" t="e">
        <f t="shared" si="39"/>
        <v>#VALUE!</v>
      </c>
      <c r="DG15" s="15" t="e">
        <f t="shared" si="39"/>
        <v>#VALUE!</v>
      </c>
      <c r="DH15" s="15" t="e">
        <f t="shared" si="39"/>
        <v>#VALUE!</v>
      </c>
      <c r="DI15" s="15" t="e">
        <f t="shared" si="39"/>
        <v>#VALUE!</v>
      </c>
      <c r="DJ15" s="15" t="e">
        <f t="shared" si="39"/>
        <v>#VALUE!</v>
      </c>
      <c r="DK15" s="15" t="e">
        <f t="shared" si="39"/>
        <v>#VALUE!</v>
      </c>
      <c r="DL15" s="15" t="e">
        <f t="shared" si="39"/>
        <v>#VALUE!</v>
      </c>
      <c r="DM15" s="15" t="e">
        <f t="shared" si="39"/>
        <v>#VALUE!</v>
      </c>
      <c r="DN15" s="15" t="e">
        <f t="shared" si="39"/>
        <v>#VALUE!</v>
      </c>
      <c r="DO15" s="15" t="e">
        <f t="shared" si="39"/>
        <v>#VALUE!</v>
      </c>
      <c r="DP15" s="15" t="e">
        <f t="shared" si="39"/>
        <v>#VALUE!</v>
      </c>
      <c r="DQ15" s="15" t="e">
        <f t="shared" si="39"/>
        <v>#VALUE!</v>
      </c>
      <c r="DR15" s="15" t="e">
        <f t="shared" si="39"/>
        <v>#VALUE!</v>
      </c>
      <c r="DS15" s="15" t="e">
        <f t="shared" si="39"/>
        <v>#VALUE!</v>
      </c>
      <c r="DT15" s="15" t="e">
        <f t="shared" si="39"/>
        <v>#VALUE!</v>
      </c>
    </row>
    <row r="16" spans="2:124" x14ac:dyDescent="0.25">
      <c r="B16" s="1" t="s">
        <v>115</v>
      </c>
      <c r="C16" s="31"/>
      <c r="D16" s="41" t="str">
        <f>'Inputs &amp; Summary'!G13</f>
        <v>n/a</v>
      </c>
      <c r="E16" s="13" t="e">
        <f ca="1">-(E2*'Inputs &amp; Summary'!$D$68*(E3/1000))/12</f>
        <v>#VALUE!</v>
      </c>
      <c r="F16" s="13" t="e">
        <f ca="1">-(F2*'Inputs &amp; Summary'!$D$68*(F3/1000))/12</f>
        <v>#VALUE!</v>
      </c>
      <c r="G16" s="13" t="e">
        <f ca="1">-(G2*'Inputs &amp; Summary'!$D$68*(G3/1000))/12</f>
        <v>#VALUE!</v>
      </c>
      <c r="H16" s="13" t="e">
        <f ca="1">-(H2*'Inputs &amp; Summary'!$D$68*(H3/1000))/12</f>
        <v>#VALUE!</v>
      </c>
      <c r="I16" s="13" t="e">
        <f ca="1">-(I2*'Inputs &amp; Summary'!$D$68*(I3/1000))/12</f>
        <v>#VALUE!</v>
      </c>
      <c r="J16" s="13" t="e">
        <f ca="1">-(J2*'Inputs &amp; Summary'!$D$68*(J3/1000))/12</f>
        <v>#VALUE!</v>
      </c>
      <c r="K16" s="13">
        <f ca="1">-(K2*'Inputs &amp; Summary'!$D$68*(K3/1000))/12</f>
        <v>0</v>
      </c>
      <c r="L16" s="13">
        <f ca="1">-(L2*'Inputs &amp; Summary'!$D$68*(L3/1000))/12</f>
        <v>0</v>
      </c>
      <c r="M16" s="13">
        <f ca="1">-(M2*'Inputs &amp; Summary'!$D$68*(M3/1000))/12</f>
        <v>0</v>
      </c>
      <c r="N16" s="13">
        <f ca="1">-(N2*'Inputs &amp; Summary'!$D$68*(N3/1000))/12</f>
        <v>0</v>
      </c>
      <c r="O16" s="13">
        <f ca="1">-(O2*'Inputs &amp; Summary'!$D$68*(O3/1000))/12</f>
        <v>0</v>
      </c>
      <c r="P16" s="13">
        <f ca="1">-(P2*'Inputs &amp; Summary'!$D$68*(P3/1000))/12</f>
        <v>0</v>
      </c>
      <c r="Q16" s="13">
        <f ca="1">-(Q2*'Inputs &amp; Summary'!$D$68*(Q3/1000))/12</f>
        <v>0</v>
      </c>
      <c r="R16" s="13">
        <f ca="1">-(R2*'Inputs &amp; Summary'!$D$68*(R3/1000))/12</f>
        <v>0</v>
      </c>
      <c r="S16" s="13">
        <f ca="1">-(S2*'Inputs &amp; Summary'!$D$68*(S3/1000))/12</f>
        <v>0</v>
      </c>
      <c r="T16" s="13">
        <f ca="1">-(T2*'Inputs &amp; Summary'!$D$68*(T3/1000))/12</f>
        <v>0</v>
      </c>
      <c r="U16" s="13">
        <f ca="1">-(U2*'Inputs &amp; Summary'!$D$68*(U3/1000))/12</f>
        <v>0</v>
      </c>
      <c r="V16" s="13">
        <f ca="1">-(V2*'Inputs &amp; Summary'!$D$68*(V3/1000))/12</f>
        <v>0</v>
      </c>
      <c r="W16" s="13">
        <f ca="1">-(W2*'Inputs &amp; Summary'!$D$68*(W3/1000))/12</f>
        <v>0</v>
      </c>
      <c r="X16" s="13">
        <f ca="1">-(X2*'Inputs &amp; Summary'!$D$68*(X3/1000))/12</f>
        <v>0</v>
      </c>
      <c r="Y16" s="13">
        <f ca="1">-(Y2*'Inputs &amp; Summary'!$D$68*(Y3/1000))/12</f>
        <v>0</v>
      </c>
      <c r="Z16" s="13">
        <f ca="1">-(Z2*'Inputs &amp; Summary'!$D$68*(Z3/1000))/12</f>
        <v>0</v>
      </c>
      <c r="AA16" s="13">
        <f ca="1">-(AA2*'Inputs &amp; Summary'!$D$68*(AA3/1000))/12</f>
        <v>0</v>
      </c>
      <c r="AB16" s="13">
        <f ca="1">-(AB2*'Inputs &amp; Summary'!$D$68*(AB3/1000))/12</f>
        <v>0</v>
      </c>
      <c r="AC16" s="13">
        <f ca="1">-(AC2*'Inputs &amp; Summary'!$D$68*(AC3/1000))/12</f>
        <v>0</v>
      </c>
      <c r="AD16" s="13">
        <f ca="1">-(AD2*'Inputs &amp; Summary'!$D$68*(AD3/1000))/12</f>
        <v>0</v>
      </c>
      <c r="AE16" s="13">
        <f ca="1">-(AE2*'Inputs &amp; Summary'!$D$68*(AE3/1000))/12</f>
        <v>0</v>
      </c>
      <c r="AF16" s="13">
        <f ca="1">-(AF2*'Inputs &amp; Summary'!$D$68*(AF3/1000))/12</f>
        <v>0</v>
      </c>
      <c r="AG16" s="13">
        <f ca="1">-(AG2*'Inputs &amp; Summary'!$D$68*(AG3/1000))/12</f>
        <v>0</v>
      </c>
      <c r="AH16" s="13">
        <f ca="1">-(AH2*'Inputs &amp; Summary'!$D$68*(AH3/1000))/12</f>
        <v>0</v>
      </c>
      <c r="AI16" s="13">
        <f ca="1">-(AI2*'Inputs &amp; Summary'!$D$68*(AI3/1000))/12</f>
        <v>0</v>
      </c>
      <c r="AJ16" s="13">
        <f ca="1">-(AJ2*'Inputs &amp; Summary'!$D$68*(AJ3/1000))/12</f>
        <v>0</v>
      </c>
      <c r="AK16" s="13">
        <f ca="1">-(AK2*'Inputs &amp; Summary'!$D$68*(AK3/1000))/12</f>
        <v>0</v>
      </c>
      <c r="AL16" s="13">
        <f ca="1">-(AL2*'Inputs &amp; Summary'!$D$68*(AL3/1000))/12</f>
        <v>0</v>
      </c>
      <c r="AM16" s="13">
        <f ca="1">-(AM2*'Inputs &amp; Summary'!$D$68*(AM3/1000))/12</f>
        <v>0</v>
      </c>
      <c r="AN16" s="13">
        <f ca="1">-(AN2*'Inputs &amp; Summary'!$D$68*(AN3/1000))/12</f>
        <v>0</v>
      </c>
      <c r="AO16" s="13">
        <f ca="1">-(AO2*'Inputs &amp; Summary'!$D$68*(AO3/1000))/12</f>
        <v>0</v>
      </c>
      <c r="AP16" s="13">
        <f ca="1">-(AP2*'Inputs &amp; Summary'!$D$68*(AP3/1000))/12</f>
        <v>0</v>
      </c>
      <c r="AQ16" s="13">
        <f ca="1">-(AQ2*'Inputs &amp; Summary'!$D$68*(AQ3/1000))/12</f>
        <v>0</v>
      </c>
      <c r="AR16" s="13">
        <f ca="1">-(AR2*'Inputs &amp; Summary'!$D$68*(AR3/1000))/12</f>
        <v>0</v>
      </c>
      <c r="AS16" s="13">
        <f ca="1">-(AS2*'Inputs &amp; Summary'!$D$68*(AS3/1000))/12</f>
        <v>0</v>
      </c>
      <c r="AT16" s="13">
        <f ca="1">-(AT2*'Inputs &amp; Summary'!$D$68*(AT3/1000))/12</f>
        <v>0</v>
      </c>
      <c r="AU16" s="13">
        <f ca="1">-(AU2*'Inputs &amp; Summary'!$D$68*(AU3/1000))/12</f>
        <v>0</v>
      </c>
      <c r="AV16" s="13">
        <f ca="1">-(AV2*'Inputs &amp; Summary'!$D$68*(AV3/1000))/12</f>
        <v>0</v>
      </c>
      <c r="AW16" s="13">
        <f ca="1">-(AW2*'Inputs &amp; Summary'!$D$68*(AW3/1000))/12</f>
        <v>0</v>
      </c>
      <c r="AX16" s="13">
        <f ca="1">-(AX2*'Inputs &amp; Summary'!$D$68*(AX3/1000))/12</f>
        <v>0</v>
      </c>
      <c r="AY16" s="13">
        <f ca="1">-(AY2*'Inputs &amp; Summary'!$D$68*(AY3/1000))/12</f>
        <v>0</v>
      </c>
      <c r="AZ16" s="13">
        <f ca="1">-(AZ2*'Inputs &amp; Summary'!$D$68*(AZ3/1000))/12</f>
        <v>0</v>
      </c>
      <c r="BA16" s="13">
        <f ca="1">-(BA2*'Inputs &amp; Summary'!$D$68*(BA3/1000))/12</f>
        <v>0</v>
      </c>
      <c r="BB16" s="13">
        <f ca="1">-(BB2*'Inputs &amp; Summary'!$D$68*(BB3/1000))/12</f>
        <v>0</v>
      </c>
      <c r="BC16" s="13">
        <f ca="1">-(BC2*'Inputs &amp; Summary'!$D$68*(BC3/1000))/12</f>
        <v>0</v>
      </c>
      <c r="BD16" s="13">
        <f ca="1">-(BD2*'Inputs &amp; Summary'!$D$68*(BD3/1000))/12</f>
        <v>0</v>
      </c>
      <c r="BE16" s="13">
        <f ca="1">-(BE2*'Inputs &amp; Summary'!$D$68*(BE3/1000))/12</f>
        <v>0</v>
      </c>
      <c r="BF16" s="13">
        <f ca="1">-(BF2*'Inputs &amp; Summary'!$D$68*(BF3/1000))/12</f>
        <v>0</v>
      </c>
      <c r="BG16" s="13">
        <f ca="1">-(BG2*'Inputs &amp; Summary'!$D$68*(BG3/1000))/12</f>
        <v>0</v>
      </c>
      <c r="BH16" s="13">
        <f ca="1">-(BH2*'Inputs &amp; Summary'!$D$68*(BH3/1000))/12</f>
        <v>0</v>
      </c>
      <c r="BI16" s="13">
        <f ca="1">-(BI2*'Inputs &amp; Summary'!$D$68*(BI3/1000))/12</f>
        <v>0</v>
      </c>
      <c r="BJ16" s="13">
        <f ca="1">-(BJ2*'Inputs &amp; Summary'!$D$68*(BJ3/1000))/12</f>
        <v>0</v>
      </c>
      <c r="BK16" s="13">
        <f ca="1">-(BK2*'Inputs &amp; Summary'!$D$68*(BK3/1000))/12</f>
        <v>0</v>
      </c>
      <c r="BL16" s="13">
        <f ca="1">-(BL2*'Inputs &amp; Summary'!$D$68*(BL3/1000))/12</f>
        <v>0</v>
      </c>
      <c r="BM16" s="13">
        <f ca="1">-(BM2*'Inputs &amp; Summary'!$D$68*(BM3/1000))/12</f>
        <v>0</v>
      </c>
      <c r="BN16" s="13">
        <f ca="1">-(BN2*'Inputs &amp; Summary'!$D$68*(BN3/1000))/12</f>
        <v>0</v>
      </c>
      <c r="BO16" s="13">
        <f ca="1">-(BO2*'Inputs &amp; Summary'!$D$68*(BO3/1000))/12</f>
        <v>0</v>
      </c>
      <c r="BP16" s="13">
        <f ca="1">-(BP2*'Inputs &amp; Summary'!$D$68*(BP3/1000))/12</f>
        <v>0</v>
      </c>
      <c r="BQ16" s="13">
        <f ca="1">-(BQ2*'Inputs &amp; Summary'!$D$68*(BQ3/1000))/12</f>
        <v>0</v>
      </c>
      <c r="BR16" s="13">
        <f ca="1">-(BR2*'Inputs &amp; Summary'!$D$68*(BR3/1000))/12</f>
        <v>0</v>
      </c>
      <c r="BS16" s="13">
        <f ca="1">-(BS2*'Inputs &amp; Summary'!$D$68*(BS3/1000))/12</f>
        <v>0</v>
      </c>
      <c r="BT16" s="13">
        <f ca="1">-(BT2*'Inputs &amp; Summary'!$D$68*(BT3/1000))/12</f>
        <v>0</v>
      </c>
      <c r="BU16" s="13">
        <f ca="1">-(BU2*'Inputs &amp; Summary'!$D$68*(BU3/1000))/12</f>
        <v>0</v>
      </c>
      <c r="BV16" s="13">
        <f ca="1">-(BV2*'Inputs &amp; Summary'!$D$68*(BV3/1000))/12</f>
        <v>0</v>
      </c>
      <c r="BW16" s="13">
        <f ca="1">-(BW2*'Inputs &amp; Summary'!$D$68*(BW3/1000))/12</f>
        <v>0</v>
      </c>
      <c r="BX16" s="13">
        <f ca="1">-(BX2*'Inputs &amp; Summary'!$D$68*(BX3/1000))/12</f>
        <v>0</v>
      </c>
      <c r="BY16" s="13">
        <f ca="1">-(BY2*'Inputs &amp; Summary'!$D$68*(BY3/1000))/12</f>
        <v>0</v>
      </c>
      <c r="BZ16" s="13">
        <f ca="1">-(BZ2*'Inputs &amp; Summary'!$D$68*(BZ3/1000))/12</f>
        <v>0</v>
      </c>
      <c r="CA16" s="13">
        <f ca="1">-(CA2*'Inputs &amp; Summary'!$D$68*(CA3/1000))/12</f>
        <v>0</v>
      </c>
      <c r="CB16" s="13">
        <f ca="1">-(CB2*'Inputs &amp; Summary'!$D$68*(CB3/1000))/12</f>
        <v>0</v>
      </c>
      <c r="CC16" s="13">
        <f ca="1">-(CC2*'Inputs &amp; Summary'!$D$68*(CC3/1000))/12</f>
        <v>0</v>
      </c>
      <c r="CD16" s="13">
        <f ca="1">-(CD2*'Inputs &amp; Summary'!$D$68*(CD3/1000))/12</f>
        <v>0</v>
      </c>
      <c r="CE16" s="13">
        <f ca="1">-(CE2*'Inputs &amp; Summary'!$D$68*(CE3/1000))/12</f>
        <v>0</v>
      </c>
      <c r="CF16" s="13">
        <f ca="1">-(CF2*'Inputs &amp; Summary'!$D$68*(CF3/1000))/12</f>
        <v>0</v>
      </c>
      <c r="CG16" s="13">
        <f ca="1">-(CG2*'Inputs &amp; Summary'!$D$68*(CG3/1000))/12</f>
        <v>0</v>
      </c>
      <c r="CH16" s="13">
        <f ca="1">-(CH2*'Inputs &amp; Summary'!$D$68*(CH3/1000))/12</f>
        <v>0</v>
      </c>
      <c r="CI16" s="13">
        <f ca="1">-(CI2*'Inputs &amp; Summary'!$D$68*(CI3/1000))/12</f>
        <v>0</v>
      </c>
      <c r="CJ16" s="13">
        <f ca="1">-(CJ2*'Inputs &amp; Summary'!$D$68*(CJ3/1000))/12</f>
        <v>0</v>
      </c>
      <c r="CK16" s="13">
        <f ca="1">-(CK2*'Inputs &amp; Summary'!$D$68*(CK3/1000))/12</f>
        <v>0</v>
      </c>
      <c r="CL16" s="13">
        <f ca="1">-(CL2*'Inputs &amp; Summary'!$D$68*(CL3/1000))/12</f>
        <v>0</v>
      </c>
      <c r="CM16" s="13">
        <f ca="1">-(CM2*'Inputs &amp; Summary'!$D$68*(CM3/1000))/12</f>
        <v>0</v>
      </c>
      <c r="CN16" s="13">
        <f ca="1">-(CN2*'Inputs &amp; Summary'!$D$68*(CN3/1000))/12</f>
        <v>0</v>
      </c>
      <c r="CO16" s="13">
        <f ca="1">-(CO2*'Inputs &amp; Summary'!$D$68*(CO3/1000))/12</f>
        <v>0</v>
      </c>
      <c r="CP16" s="13">
        <f ca="1">-(CP2*'Inputs &amp; Summary'!$D$68*(CP3/1000))/12</f>
        <v>0</v>
      </c>
      <c r="CQ16" s="13">
        <f ca="1">-(CQ2*'Inputs &amp; Summary'!$D$68*(CQ3/1000))/12</f>
        <v>0</v>
      </c>
      <c r="CR16" s="13">
        <f ca="1">-(CR2*'Inputs &amp; Summary'!$D$68*(CR3/1000))/12</f>
        <v>0</v>
      </c>
      <c r="CS16" s="13">
        <f ca="1">-(CS2*'Inputs &amp; Summary'!$D$68*(CS3/1000))/12</f>
        <v>0</v>
      </c>
      <c r="CT16" s="13">
        <f ca="1">-(CT2*'Inputs &amp; Summary'!$D$68*(CT3/1000))/12</f>
        <v>0</v>
      </c>
      <c r="CU16" s="13">
        <f ca="1">-(CU2*'Inputs &amp; Summary'!$D$68*(CU3/1000))/12</f>
        <v>0</v>
      </c>
      <c r="CV16" s="13">
        <f ca="1">-(CV2*'Inputs &amp; Summary'!$D$68*(CV3/1000))/12</f>
        <v>0</v>
      </c>
      <c r="CW16" s="13">
        <f ca="1">-(CW2*'Inputs &amp; Summary'!$D$68*(CW3/1000))/12</f>
        <v>0</v>
      </c>
      <c r="CX16" s="13">
        <f ca="1">-(CX2*'Inputs &amp; Summary'!$D$68*(CX3/1000))/12</f>
        <v>0</v>
      </c>
      <c r="CY16" s="13">
        <f ca="1">-(CY2*'Inputs &amp; Summary'!$D$68*(CY3/1000))/12</f>
        <v>0</v>
      </c>
      <c r="CZ16" s="13">
        <f ca="1">-(CZ2*'Inputs &amp; Summary'!$D$68*(CZ3/1000))/12</f>
        <v>0</v>
      </c>
      <c r="DA16" s="13">
        <f ca="1">-(DA2*'Inputs &amp; Summary'!$D$68*(DA3/1000))/12</f>
        <v>0</v>
      </c>
      <c r="DB16" s="13">
        <f ca="1">-(DB2*'Inputs &amp; Summary'!$D$68*(DB3/1000))/12</f>
        <v>0</v>
      </c>
      <c r="DC16" s="13">
        <f ca="1">-(DC2*'Inputs &amp; Summary'!$D$68*(DC3/1000))/12</f>
        <v>0</v>
      </c>
      <c r="DD16" s="13">
        <f ca="1">-(DD2*'Inputs &amp; Summary'!$D$68*(DD3/1000))/12</f>
        <v>0</v>
      </c>
      <c r="DE16" s="13">
        <f ca="1">-(DE2*'Inputs &amp; Summary'!$D$68*(DE3/1000))/12</f>
        <v>0</v>
      </c>
      <c r="DF16" s="13">
        <f ca="1">-(DF2*'Inputs &amp; Summary'!$D$68*(DF3/1000))/12</f>
        <v>0</v>
      </c>
      <c r="DG16" s="13">
        <f ca="1">-(DG2*'Inputs &amp; Summary'!$D$68*(DG3/1000))/12</f>
        <v>0</v>
      </c>
      <c r="DH16" s="13">
        <f ca="1">-(DH2*'Inputs &amp; Summary'!$D$68*(DH3/1000))/12</f>
        <v>0</v>
      </c>
      <c r="DI16" s="13">
        <f ca="1">-(DI2*'Inputs &amp; Summary'!$D$68*(DI3/1000))/12</f>
        <v>0</v>
      </c>
      <c r="DJ16" s="13">
        <f ca="1">-(DJ2*'Inputs &amp; Summary'!$D$68*(DJ3/1000))/12</f>
        <v>0</v>
      </c>
      <c r="DK16" s="13">
        <f ca="1">-(DK2*'Inputs &amp; Summary'!$D$68*(DK3/1000))/12</f>
        <v>0</v>
      </c>
      <c r="DL16" s="13">
        <f ca="1">-(DL2*'Inputs &amp; Summary'!$D$68*(DL3/1000))/12</f>
        <v>0</v>
      </c>
      <c r="DM16" s="13">
        <f ca="1">-(DM2*'Inputs &amp; Summary'!$D$68*(DM3/1000))/12</f>
        <v>0</v>
      </c>
      <c r="DN16" s="13">
        <f ca="1">-(DN2*'Inputs &amp; Summary'!$D$68*(DN3/1000))/12</f>
        <v>0</v>
      </c>
      <c r="DO16" s="13">
        <f ca="1">-(DO2*'Inputs &amp; Summary'!$D$68*(DO3/1000))/12</f>
        <v>0</v>
      </c>
      <c r="DP16" s="13">
        <f ca="1">-(DP2*'Inputs &amp; Summary'!$D$68*(DP3/1000))/12</f>
        <v>0</v>
      </c>
      <c r="DQ16" s="13">
        <f ca="1">-(DQ2*'Inputs &amp; Summary'!$D$68*(DQ3/1000))/12</f>
        <v>0</v>
      </c>
      <c r="DR16" s="13">
        <f ca="1">-(DR2*'Inputs &amp; Summary'!$D$68*(DR3/1000))/12</f>
        <v>0</v>
      </c>
      <c r="DS16" s="13">
        <f ca="1">-(DS2*'Inputs &amp; Summary'!$D$68*(DS3/1000))/12</f>
        <v>0</v>
      </c>
      <c r="DT16" s="13">
        <f ca="1">-(DT2*'Inputs &amp; Summary'!$D$68*(DT3/1000))/12</f>
        <v>0</v>
      </c>
    </row>
    <row r="17" spans="2:124" x14ac:dyDescent="0.25">
      <c r="B17" s="1" t="s">
        <v>14</v>
      </c>
      <c r="C17" s="31"/>
      <c r="D17" s="41" t="str">
        <f ca="1">'Inputs &amp; Summary'!G14</f>
        <v>n/a</v>
      </c>
      <c r="E17" s="13" t="str">
        <f ca="1">IF(E$4="x", D17*(1+ExpenseGrowth),D17)</f>
        <v>n/a</v>
      </c>
      <c r="F17" s="13" t="str">
        <f t="shared" ref="F17:AJ17" ca="1" si="40">IF(F$4="x", E17*(1+ExpenseGrowth),E17)</f>
        <v>n/a</v>
      </c>
      <c r="G17" s="13" t="str">
        <f t="shared" ca="1" si="40"/>
        <v>n/a</v>
      </c>
      <c r="H17" s="13" t="str">
        <f t="shared" ca="1" si="40"/>
        <v>n/a</v>
      </c>
      <c r="I17" s="13" t="str">
        <f t="shared" ca="1" si="40"/>
        <v>n/a</v>
      </c>
      <c r="J17" s="13" t="str">
        <f t="shared" ca="1" si="40"/>
        <v>n/a</v>
      </c>
      <c r="K17" s="13" t="str">
        <f t="shared" ca="1" si="40"/>
        <v>n/a</v>
      </c>
      <c r="L17" s="13" t="str">
        <f t="shared" ca="1" si="40"/>
        <v>n/a</v>
      </c>
      <c r="M17" s="13" t="str">
        <f t="shared" ca="1" si="40"/>
        <v>n/a</v>
      </c>
      <c r="N17" s="13" t="str">
        <f t="shared" ca="1" si="40"/>
        <v>n/a</v>
      </c>
      <c r="O17" s="13" t="str">
        <f t="shared" ca="1" si="40"/>
        <v>n/a</v>
      </c>
      <c r="P17" s="13" t="str">
        <f t="shared" ca="1" si="40"/>
        <v>n/a</v>
      </c>
      <c r="Q17" s="13" t="e">
        <f t="shared" ca="1" si="40"/>
        <v>#VALUE!</v>
      </c>
      <c r="R17" s="13" t="e">
        <f t="shared" ca="1" si="40"/>
        <v>#VALUE!</v>
      </c>
      <c r="S17" s="13" t="e">
        <f t="shared" ca="1" si="40"/>
        <v>#VALUE!</v>
      </c>
      <c r="T17" s="13" t="e">
        <f t="shared" ca="1" si="40"/>
        <v>#VALUE!</v>
      </c>
      <c r="U17" s="13" t="e">
        <f t="shared" ca="1" si="40"/>
        <v>#VALUE!</v>
      </c>
      <c r="V17" s="13" t="e">
        <f t="shared" ca="1" si="40"/>
        <v>#VALUE!</v>
      </c>
      <c r="W17" s="13" t="e">
        <f t="shared" ca="1" si="40"/>
        <v>#VALUE!</v>
      </c>
      <c r="X17" s="13" t="e">
        <f t="shared" ca="1" si="40"/>
        <v>#VALUE!</v>
      </c>
      <c r="Y17" s="13" t="e">
        <f t="shared" ca="1" si="40"/>
        <v>#VALUE!</v>
      </c>
      <c r="Z17" s="13" t="e">
        <f t="shared" ca="1" si="40"/>
        <v>#VALUE!</v>
      </c>
      <c r="AA17" s="13" t="e">
        <f t="shared" ca="1" si="40"/>
        <v>#VALUE!</v>
      </c>
      <c r="AB17" s="13" t="e">
        <f t="shared" ca="1" si="40"/>
        <v>#VALUE!</v>
      </c>
      <c r="AC17" s="13" t="e">
        <f t="shared" ca="1" si="40"/>
        <v>#VALUE!</v>
      </c>
      <c r="AD17" s="13" t="e">
        <f t="shared" ca="1" si="40"/>
        <v>#VALUE!</v>
      </c>
      <c r="AE17" s="13" t="e">
        <f t="shared" ca="1" si="40"/>
        <v>#VALUE!</v>
      </c>
      <c r="AF17" s="13" t="e">
        <f t="shared" ca="1" si="40"/>
        <v>#VALUE!</v>
      </c>
      <c r="AG17" s="13" t="e">
        <f t="shared" ca="1" si="40"/>
        <v>#VALUE!</v>
      </c>
      <c r="AH17" s="13" t="e">
        <f t="shared" ca="1" si="40"/>
        <v>#VALUE!</v>
      </c>
      <c r="AI17" s="13" t="e">
        <f t="shared" ca="1" si="40"/>
        <v>#VALUE!</v>
      </c>
      <c r="AJ17" s="13" t="e">
        <f t="shared" ca="1" si="40"/>
        <v>#VALUE!</v>
      </c>
      <c r="AK17" s="13" t="e">
        <f t="shared" ref="AK17:BP17" ca="1" si="41">IF(AK$4="x", AJ17*(1+ExpenseGrowth),AJ17)</f>
        <v>#VALUE!</v>
      </c>
      <c r="AL17" s="13" t="e">
        <f t="shared" ca="1" si="41"/>
        <v>#VALUE!</v>
      </c>
      <c r="AM17" s="13" t="e">
        <f t="shared" ca="1" si="41"/>
        <v>#VALUE!</v>
      </c>
      <c r="AN17" s="13" t="e">
        <f t="shared" ca="1" si="41"/>
        <v>#VALUE!</v>
      </c>
      <c r="AO17" s="13" t="e">
        <f t="shared" ca="1" si="41"/>
        <v>#VALUE!</v>
      </c>
      <c r="AP17" s="13" t="e">
        <f t="shared" ca="1" si="41"/>
        <v>#VALUE!</v>
      </c>
      <c r="AQ17" s="13" t="e">
        <f t="shared" ca="1" si="41"/>
        <v>#VALUE!</v>
      </c>
      <c r="AR17" s="13" t="e">
        <f t="shared" ca="1" si="41"/>
        <v>#VALUE!</v>
      </c>
      <c r="AS17" s="13" t="e">
        <f t="shared" ca="1" si="41"/>
        <v>#VALUE!</v>
      </c>
      <c r="AT17" s="13" t="e">
        <f t="shared" ca="1" si="41"/>
        <v>#VALUE!</v>
      </c>
      <c r="AU17" s="13" t="e">
        <f t="shared" ca="1" si="41"/>
        <v>#VALUE!</v>
      </c>
      <c r="AV17" s="13" t="e">
        <f t="shared" ca="1" si="41"/>
        <v>#VALUE!</v>
      </c>
      <c r="AW17" s="13" t="e">
        <f t="shared" ca="1" si="41"/>
        <v>#VALUE!</v>
      </c>
      <c r="AX17" s="13" t="e">
        <f t="shared" ca="1" si="41"/>
        <v>#VALUE!</v>
      </c>
      <c r="AY17" s="13" t="e">
        <f t="shared" ca="1" si="41"/>
        <v>#VALUE!</v>
      </c>
      <c r="AZ17" s="13" t="e">
        <f t="shared" ca="1" si="41"/>
        <v>#VALUE!</v>
      </c>
      <c r="BA17" s="13" t="e">
        <f t="shared" ca="1" si="41"/>
        <v>#VALUE!</v>
      </c>
      <c r="BB17" s="13" t="e">
        <f t="shared" ca="1" si="41"/>
        <v>#VALUE!</v>
      </c>
      <c r="BC17" s="13" t="e">
        <f t="shared" ca="1" si="41"/>
        <v>#VALUE!</v>
      </c>
      <c r="BD17" s="13" t="e">
        <f t="shared" ca="1" si="41"/>
        <v>#VALUE!</v>
      </c>
      <c r="BE17" s="13" t="e">
        <f t="shared" ca="1" si="41"/>
        <v>#VALUE!</v>
      </c>
      <c r="BF17" s="13" t="e">
        <f t="shared" ca="1" si="41"/>
        <v>#VALUE!</v>
      </c>
      <c r="BG17" s="13" t="e">
        <f t="shared" ca="1" si="41"/>
        <v>#VALUE!</v>
      </c>
      <c r="BH17" s="13" t="e">
        <f t="shared" ca="1" si="41"/>
        <v>#VALUE!</v>
      </c>
      <c r="BI17" s="13" t="e">
        <f t="shared" ca="1" si="41"/>
        <v>#VALUE!</v>
      </c>
      <c r="BJ17" s="13" t="e">
        <f t="shared" ca="1" si="41"/>
        <v>#VALUE!</v>
      </c>
      <c r="BK17" s="13" t="e">
        <f t="shared" ca="1" si="41"/>
        <v>#VALUE!</v>
      </c>
      <c r="BL17" s="13" t="e">
        <f t="shared" ca="1" si="41"/>
        <v>#VALUE!</v>
      </c>
      <c r="BM17" s="13" t="e">
        <f t="shared" ca="1" si="41"/>
        <v>#VALUE!</v>
      </c>
      <c r="BN17" s="13" t="e">
        <f t="shared" ca="1" si="41"/>
        <v>#VALUE!</v>
      </c>
      <c r="BO17" s="13" t="e">
        <f t="shared" ca="1" si="41"/>
        <v>#VALUE!</v>
      </c>
      <c r="BP17" s="13" t="e">
        <f t="shared" ca="1" si="41"/>
        <v>#VALUE!</v>
      </c>
      <c r="BQ17" s="13" t="e">
        <f t="shared" ref="BQ17:CV17" ca="1" si="42">IF(BQ$4="x", BP17*(1+ExpenseGrowth),BP17)</f>
        <v>#VALUE!</v>
      </c>
      <c r="BR17" s="13" t="e">
        <f t="shared" ca="1" si="42"/>
        <v>#VALUE!</v>
      </c>
      <c r="BS17" s="13" t="e">
        <f t="shared" ca="1" si="42"/>
        <v>#VALUE!</v>
      </c>
      <c r="BT17" s="13" t="e">
        <f t="shared" ca="1" si="42"/>
        <v>#VALUE!</v>
      </c>
      <c r="BU17" s="13" t="e">
        <f t="shared" ca="1" si="42"/>
        <v>#VALUE!</v>
      </c>
      <c r="BV17" s="13" t="e">
        <f t="shared" ca="1" si="42"/>
        <v>#VALUE!</v>
      </c>
      <c r="BW17" s="13" t="e">
        <f t="shared" ca="1" si="42"/>
        <v>#VALUE!</v>
      </c>
      <c r="BX17" s="13" t="e">
        <f t="shared" ca="1" si="42"/>
        <v>#VALUE!</v>
      </c>
      <c r="BY17" s="13" t="e">
        <f t="shared" ca="1" si="42"/>
        <v>#VALUE!</v>
      </c>
      <c r="BZ17" s="13" t="e">
        <f t="shared" ca="1" si="42"/>
        <v>#VALUE!</v>
      </c>
      <c r="CA17" s="13" t="e">
        <f t="shared" ca="1" si="42"/>
        <v>#VALUE!</v>
      </c>
      <c r="CB17" s="13" t="e">
        <f t="shared" ca="1" si="42"/>
        <v>#VALUE!</v>
      </c>
      <c r="CC17" s="13" t="e">
        <f t="shared" ca="1" si="42"/>
        <v>#VALUE!</v>
      </c>
      <c r="CD17" s="13" t="e">
        <f t="shared" ca="1" si="42"/>
        <v>#VALUE!</v>
      </c>
      <c r="CE17" s="13" t="e">
        <f t="shared" ca="1" si="42"/>
        <v>#VALUE!</v>
      </c>
      <c r="CF17" s="13" t="e">
        <f t="shared" ca="1" si="42"/>
        <v>#VALUE!</v>
      </c>
      <c r="CG17" s="13" t="e">
        <f t="shared" ca="1" si="42"/>
        <v>#VALUE!</v>
      </c>
      <c r="CH17" s="13" t="e">
        <f t="shared" ca="1" si="42"/>
        <v>#VALUE!</v>
      </c>
      <c r="CI17" s="13" t="e">
        <f t="shared" ca="1" si="42"/>
        <v>#VALUE!</v>
      </c>
      <c r="CJ17" s="13" t="e">
        <f t="shared" ca="1" si="42"/>
        <v>#VALUE!</v>
      </c>
      <c r="CK17" s="13" t="e">
        <f t="shared" ca="1" si="42"/>
        <v>#VALUE!</v>
      </c>
      <c r="CL17" s="13" t="e">
        <f t="shared" ca="1" si="42"/>
        <v>#VALUE!</v>
      </c>
      <c r="CM17" s="13" t="e">
        <f t="shared" ca="1" si="42"/>
        <v>#VALUE!</v>
      </c>
      <c r="CN17" s="13" t="e">
        <f t="shared" ca="1" si="42"/>
        <v>#VALUE!</v>
      </c>
      <c r="CO17" s="13" t="e">
        <f t="shared" ca="1" si="42"/>
        <v>#VALUE!</v>
      </c>
      <c r="CP17" s="13" t="e">
        <f t="shared" ca="1" si="42"/>
        <v>#VALUE!</v>
      </c>
      <c r="CQ17" s="13" t="e">
        <f t="shared" ca="1" si="42"/>
        <v>#VALUE!</v>
      </c>
      <c r="CR17" s="13" t="e">
        <f t="shared" ca="1" si="42"/>
        <v>#VALUE!</v>
      </c>
      <c r="CS17" s="13" t="e">
        <f t="shared" ca="1" si="42"/>
        <v>#VALUE!</v>
      </c>
      <c r="CT17" s="13" t="e">
        <f t="shared" ca="1" si="42"/>
        <v>#VALUE!</v>
      </c>
      <c r="CU17" s="13" t="e">
        <f t="shared" ca="1" si="42"/>
        <v>#VALUE!</v>
      </c>
      <c r="CV17" s="13" t="e">
        <f t="shared" ca="1" si="42"/>
        <v>#VALUE!</v>
      </c>
      <c r="CW17" s="13" t="e">
        <f t="shared" ref="CW17:DT17" ca="1" si="43">IF(CW$4="x", CV17*(1+ExpenseGrowth),CV17)</f>
        <v>#VALUE!</v>
      </c>
      <c r="CX17" s="13" t="e">
        <f t="shared" ca="1" si="43"/>
        <v>#VALUE!</v>
      </c>
      <c r="CY17" s="13" t="e">
        <f t="shared" ca="1" si="43"/>
        <v>#VALUE!</v>
      </c>
      <c r="CZ17" s="13" t="e">
        <f t="shared" ca="1" si="43"/>
        <v>#VALUE!</v>
      </c>
      <c r="DA17" s="13" t="e">
        <f t="shared" ca="1" si="43"/>
        <v>#VALUE!</v>
      </c>
      <c r="DB17" s="13" t="e">
        <f t="shared" ca="1" si="43"/>
        <v>#VALUE!</v>
      </c>
      <c r="DC17" s="13" t="e">
        <f t="shared" ca="1" si="43"/>
        <v>#VALUE!</v>
      </c>
      <c r="DD17" s="13" t="e">
        <f t="shared" ca="1" si="43"/>
        <v>#VALUE!</v>
      </c>
      <c r="DE17" s="13" t="e">
        <f t="shared" ca="1" si="43"/>
        <v>#VALUE!</v>
      </c>
      <c r="DF17" s="13" t="e">
        <f t="shared" ca="1" si="43"/>
        <v>#VALUE!</v>
      </c>
      <c r="DG17" s="13" t="e">
        <f t="shared" ca="1" si="43"/>
        <v>#VALUE!</v>
      </c>
      <c r="DH17" s="13" t="e">
        <f t="shared" ca="1" si="43"/>
        <v>#VALUE!</v>
      </c>
      <c r="DI17" s="13" t="e">
        <f t="shared" ca="1" si="43"/>
        <v>#VALUE!</v>
      </c>
      <c r="DJ17" s="13" t="e">
        <f t="shared" ca="1" si="43"/>
        <v>#VALUE!</v>
      </c>
      <c r="DK17" s="13" t="e">
        <f t="shared" ca="1" si="43"/>
        <v>#VALUE!</v>
      </c>
      <c r="DL17" s="13" t="e">
        <f t="shared" ca="1" si="43"/>
        <v>#VALUE!</v>
      </c>
      <c r="DM17" s="13" t="e">
        <f t="shared" ca="1" si="43"/>
        <v>#VALUE!</v>
      </c>
      <c r="DN17" s="13" t="e">
        <f t="shared" ca="1" si="43"/>
        <v>#VALUE!</v>
      </c>
      <c r="DO17" s="13" t="e">
        <f t="shared" ca="1" si="43"/>
        <v>#VALUE!</v>
      </c>
      <c r="DP17" s="13" t="e">
        <f t="shared" ca="1" si="43"/>
        <v>#VALUE!</v>
      </c>
      <c r="DQ17" s="13" t="e">
        <f t="shared" ca="1" si="43"/>
        <v>#VALUE!</v>
      </c>
      <c r="DR17" s="13" t="e">
        <f t="shared" ca="1" si="43"/>
        <v>#VALUE!</v>
      </c>
      <c r="DS17" s="13" t="e">
        <f t="shared" ca="1" si="43"/>
        <v>#VALUE!</v>
      </c>
      <c r="DT17" s="13" t="e">
        <f t="shared" ca="1" si="43"/>
        <v>#VALUE!</v>
      </c>
    </row>
    <row r="18" spans="2:124" x14ac:dyDescent="0.25">
      <c r="B18" s="1" t="s">
        <v>15</v>
      </c>
      <c r="C18" s="31"/>
      <c r="D18" s="39">
        <f>-'Inputs &amp; Summary'!D89</f>
        <v>-0.08</v>
      </c>
      <c r="E18" s="13">
        <f>E10*$D$18</f>
        <v>0</v>
      </c>
      <c r="F18" s="13">
        <f t="shared" ref="F18:BQ18" si="44">F10*$D$18</f>
        <v>0</v>
      </c>
      <c r="G18" s="13" t="e">
        <f t="shared" si="44"/>
        <v>#VALUE!</v>
      </c>
      <c r="H18" s="13" t="e">
        <f t="shared" si="44"/>
        <v>#VALUE!</v>
      </c>
      <c r="I18" s="13" t="e">
        <f t="shared" si="44"/>
        <v>#VALUE!</v>
      </c>
      <c r="J18" s="13" t="e">
        <f t="shared" si="44"/>
        <v>#VALUE!</v>
      </c>
      <c r="K18" s="13" t="e">
        <f t="shared" si="44"/>
        <v>#VALUE!</v>
      </c>
      <c r="L18" s="13" t="e">
        <f t="shared" si="44"/>
        <v>#VALUE!</v>
      </c>
      <c r="M18" s="13" t="e">
        <f t="shared" si="44"/>
        <v>#VALUE!</v>
      </c>
      <c r="N18" s="13" t="e">
        <f t="shared" si="44"/>
        <v>#VALUE!</v>
      </c>
      <c r="O18" s="13" t="e">
        <f t="shared" si="44"/>
        <v>#VALUE!</v>
      </c>
      <c r="P18" s="13" t="e">
        <f t="shared" si="44"/>
        <v>#VALUE!</v>
      </c>
      <c r="Q18" s="13" t="e">
        <f t="shared" si="44"/>
        <v>#VALUE!</v>
      </c>
      <c r="R18" s="13" t="e">
        <f t="shared" si="44"/>
        <v>#VALUE!</v>
      </c>
      <c r="S18" s="13" t="e">
        <f t="shared" si="44"/>
        <v>#VALUE!</v>
      </c>
      <c r="T18" s="13" t="e">
        <f t="shared" si="44"/>
        <v>#VALUE!</v>
      </c>
      <c r="U18" s="13" t="e">
        <f t="shared" si="44"/>
        <v>#VALUE!</v>
      </c>
      <c r="V18" s="13" t="e">
        <f t="shared" si="44"/>
        <v>#VALUE!</v>
      </c>
      <c r="W18" s="13" t="e">
        <f t="shared" si="44"/>
        <v>#VALUE!</v>
      </c>
      <c r="X18" s="13" t="e">
        <f t="shared" si="44"/>
        <v>#VALUE!</v>
      </c>
      <c r="Y18" s="13" t="e">
        <f t="shared" si="44"/>
        <v>#VALUE!</v>
      </c>
      <c r="Z18" s="13" t="e">
        <f t="shared" si="44"/>
        <v>#VALUE!</v>
      </c>
      <c r="AA18" s="13" t="e">
        <f t="shared" si="44"/>
        <v>#VALUE!</v>
      </c>
      <c r="AB18" s="13" t="e">
        <f t="shared" si="44"/>
        <v>#VALUE!</v>
      </c>
      <c r="AC18" s="13" t="e">
        <f t="shared" si="44"/>
        <v>#VALUE!</v>
      </c>
      <c r="AD18" s="13" t="e">
        <f t="shared" si="44"/>
        <v>#VALUE!</v>
      </c>
      <c r="AE18" s="13" t="e">
        <f t="shared" si="44"/>
        <v>#VALUE!</v>
      </c>
      <c r="AF18" s="13" t="e">
        <f t="shared" si="44"/>
        <v>#VALUE!</v>
      </c>
      <c r="AG18" s="13" t="e">
        <f t="shared" si="44"/>
        <v>#VALUE!</v>
      </c>
      <c r="AH18" s="13" t="e">
        <f t="shared" si="44"/>
        <v>#VALUE!</v>
      </c>
      <c r="AI18" s="13" t="e">
        <f t="shared" si="44"/>
        <v>#VALUE!</v>
      </c>
      <c r="AJ18" s="13" t="e">
        <f t="shared" si="44"/>
        <v>#VALUE!</v>
      </c>
      <c r="AK18" s="13" t="e">
        <f t="shared" si="44"/>
        <v>#VALUE!</v>
      </c>
      <c r="AL18" s="13" t="e">
        <f t="shared" si="44"/>
        <v>#VALUE!</v>
      </c>
      <c r="AM18" s="13" t="e">
        <f t="shared" si="44"/>
        <v>#VALUE!</v>
      </c>
      <c r="AN18" s="13" t="e">
        <f t="shared" si="44"/>
        <v>#VALUE!</v>
      </c>
      <c r="AO18" s="13" t="e">
        <f t="shared" si="44"/>
        <v>#VALUE!</v>
      </c>
      <c r="AP18" s="13" t="e">
        <f t="shared" si="44"/>
        <v>#VALUE!</v>
      </c>
      <c r="AQ18" s="13" t="e">
        <f t="shared" si="44"/>
        <v>#VALUE!</v>
      </c>
      <c r="AR18" s="13" t="e">
        <f t="shared" si="44"/>
        <v>#VALUE!</v>
      </c>
      <c r="AS18" s="13" t="e">
        <f t="shared" si="44"/>
        <v>#VALUE!</v>
      </c>
      <c r="AT18" s="13" t="e">
        <f t="shared" si="44"/>
        <v>#VALUE!</v>
      </c>
      <c r="AU18" s="13" t="e">
        <f t="shared" si="44"/>
        <v>#VALUE!</v>
      </c>
      <c r="AV18" s="13" t="e">
        <f t="shared" si="44"/>
        <v>#VALUE!</v>
      </c>
      <c r="AW18" s="13" t="e">
        <f t="shared" si="44"/>
        <v>#VALUE!</v>
      </c>
      <c r="AX18" s="13" t="e">
        <f t="shared" si="44"/>
        <v>#VALUE!</v>
      </c>
      <c r="AY18" s="13" t="e">
        <f t="shared" si="44"/>
        <v>#VALUE!</v>
      </c>
      <c r="AZ18" s="13" t="e">
        <f t="shared" si="44"/>
        <v>#VALUE!</v>
      </c>
      <c r="BA18" s="13" t="e">
        <f t="shared" si="44"/>
        <v>#VALUE!</v>
      </c>
      <c r="BB18" s="13" t="e">
        <f t="shared" si="44"/>
        <v>#VALUE!</v>
      </c>
      <c r="BC18" s="13" t="e">
        <f t="shared" si="44"/>
        <v>#VALUE!</v>
      </c>
      <c r="BD18" s="13" t="e">
        <f t="shared" si="44"/>
        <v>#VALUE!</v>
      </c>
      <c r="BE18" s="13" t="e">
        <f t="shared" si="44"/>
        <v>#VALUE!</v>
      </c>
      <c r="BF18" s="13" t="e">
        <f t="shared" si="44"/>
        <v>#VALUE!</v>
      </c>
      <c r="BG18" s="13" t="e">
        <f t="shared" si="44"/>
        <v>#VALUE!</v>
      </c>
      <c r="BH18" s="13" t="e">
        <f t="shared" si="44"/>
        <v>#VALUE!</v>
      </c>
      <c r="BI18" s="13" t="e">
        <f t="shared" si="44"/>
        <v>#VALUE!</v>
      </c>
      <c r="BJ18" s="13" t="e">
        <f t="shared" si="44"/>
        <v>#VALUE!</v>
      </c>
      <c r="BK18" s="13" t="e">
        <f t="shared" si="44"/>
        <v>#VALUE!</v>
      </c>
      <c r="BL18" s="13" t="e">
        <f t="shared" si="44"/>
        <v>#VALUE!</v>
      </c>
      <c r="BM18" s="13" t="e">
        <f t="shared" si="44"/>
        <v>#VALUE!</v>
      </c>
      <c r="BN18" s="13" t="e">
        <f t="shared" si="44"/>
        <v>#VALUE!</v>
      </c>
      <c r="BO18" s="13" t="e">
        <f t="shared" si="44"/>
        <v>#VALUE!</v>
      </c>
      <c r="BP18" s="13" t="e">
        <f t="shared" si="44"/>
        <v>#VALUE!</v>
      </c>
      <c r="BQ18" s="13" t="e">
        <f t="shared" si="44"/>
        <v>#VALUE!</v>
      </c>
      <c r="BR18" s="13" t="e">
        <f t="shared" ref="BR18:DT18" si="45">BR10*$D$18</f>
        <v>#VALUE!</v>
      </c>
      <c r="BS18" s="13" t="e">
        <f t="shared" si="45"/>
        <v>#VALUE!</v>
      </c>
      <c r="BT18" s="13" t="e">
        <f t="shared" si="45"/>
        <v>#VALUE!</v>
      </c>
      <c r="BU18" s="13" t="e">
        <f t="shared" si="45"/>
        <v>#VALUE!</v>
      </c>
      <c r="BV18" s="13" t="e">
        <f t="shared" si="45"/>
        <v>#VALUE!</v>
      </c>
      <c r="BW18" s="13" t="e">
        <f t="shared" si="45"/>
        <v>#VALUE!</v>
      </c>
      <c r="BX18" s="13" t="e">
        <f t="shared" si="45"/>
        <v>#VALUE!</v>
      </c>
      <c r="BY18" s="13" t="e">
        <f t="shared" si="45"/>
        <v>#VALUE!</v>
      </c>
      <c r="BZ18" s="13" t="e">
        <f t="shared" si="45"/>
        <v>#VALUE!</v>
      </c>
      <c r="CA18" s="13" t="e">
        <f t="shared" si="45"/>
        <v>#VALUE!</v>
      </c>
      <c r="CB18" s="13" t="e">
        <f t="shared" si="45"/>
        <v>#VALUE!</v>
      </c>
      <c r="CC18" s="13" t="e">
        <f t="shared" si="45"/>
        <v>#VALUE!</v>
      </c>
      <c r="CD18" s="13" t="e">
        <f t="shared" si="45"/>
        <v>#VALUE!</v>
      </c>
      <c r="CE18" s="13" t="e">
        <f t="shared" si="45"/>
        <v>#VALUE!</v>
      </c>
      <c r="CF18" s="13" t="e">
        <f t="shared" si="45"/>
        <v>#VALUE!</v>
      </c>
      <c r="CG18" s="13" t="e">
        <f t="shared" si="45"/>
        <v>#VALUE!</v>
      </c>
      <c r="CH18" s="13" t="e">
        <f t="shared" si="45"/>
        <v>#VALUE!</v>
      </c>
      <c r="CI18" s="13" t="e">
        <f t="shared" si="45"/>
        <v>#VALUE!</v>
      </c>
      <c r="CJ18" s="13" t="e">
        <f t="shared" si="45"/>
        <v>#VALUE!</v>
      </c>
      <c r="CK18" s="13" t="e">
        <f t="shared" si="45"/>
        <v>#VALUE!</v>
      </c>
      <c r="CL18" s="13" t="e">
        <f t="shared" si="45"/>
        <v>#VALUE!</v>
      </c>
      <c r="CM18" s="13" t="e">
        <f t="shared" si="45"/>
        <v>#VALUE!</v>
      </c>
      <c r="CN18" s="13" t="e">
        <f t="shared" si="45"/>
        <v>#VALUE!</v>
      </c>
      <c r="CO18" s="13" t="e">
        <f t="shared" si="45"/>
        <v>#VALUE!</v>
      </c>
      <c r="CP18" s="13" t="e">
        <f t="shared" si="45"/>
        <v>#VALUE!</v>
      </c>
      <c r="CQ18" s="13" t="e">
        <f t="shared" si="45"/>
        <v>#VALUE!</v>
      </c>
      <c r="CR18" s="13" t="e">
        <f t="shared" si="45"/>
        <v>#VALUE!</v>
      </c>
      <c r="CS18" s="13" t="e">
        <f t="shared" si="45"/>
        <v>#VALUE!</v>
      </c>
      <c r="CT18" s="13" t="e">
        <f t="shared" si="45"/>
        <v>#VALUE!</v>
      </c>
      <c r="CU18" s="13" t="e">
        <f t="shared" si="45"/>
        <v>#VALUE!</v>
      </c>
      <c r="CV18" s="13" t="e">
        <f t="shared" si="45"/>
        <v>#VALUE!</v>
      </c>
      <c r="CW18" s="13" t="e">
        <f t="shared" si="45"/>
        <v>#VALUE!</v>
      </c>
      <c r="CX18" s="13" t="e">
        <f t="shared" si="45"/>
        <v>#VALUE!</v>
      </c>
      <c r="CY18" s="13" t="e">
        <f t="shared" si="45"/>
        <v>#VALUE!</v>
      </c>
      <c r="CZ18" s="13" t="e">
        <f t="shared" si="45"/>
        <v>#VALUE!</v>
      </c>
      <c r="DA18" s="13" t="e">
        <f t="shared" si="45"/>
        <v>#VALUE!</v>
      </c>
      <c r="DB18" s="13" t="e">
        <f t="shared" si="45"/>
        <v>#VALUE!</v>
      </c>
      <c r="DC18" s="13" t="e">
        <f t="shared" si="45"/>
        <v>#VALUE!</v>
      </c>
      <c r="DD18" s="13" t="e">
        <f t="shared" si="45"/>
        <v>#VALUE!</v>
      </c>
      <c r="DE18" s="13" t="e">
        <f t="shared" si="45"/>
        <v>#VALUE!</v>
      </c>
      <c r="DF18" s="13" t="e">
        <f t="shared" si="45"/>
        <v>#VALUE!</v>
      </c>
      <c r="DG18" s="13" t="e">
        <f t="shared" si="45"/>
        <v>#VALUE!</v>
      </c>
      <c r="DH18" s="13" t="e">
        <f t="shared" si="45"/>
        <v>#VALUE!</v>
      </c>
      <c r="DI18" s="13" t="e">
        <f t="shared" si="45"/>
        <v>#VALUE!</v>
      </c>
      <c r="DJ18" s="13" t="e">
        <f t="shared" si="45"/>
        <v>#VALUE!</v>
      </c>
      <c r="DK18" s="13" t="e">
        <f t="shared" si="45"/>
        <v>#VALUE!</v>
      </c>
      <c r="DL18" s="13" t="e">
        <f t="shared" si="45"/>
        <v>#VALUE!</v>
      </c>
      <c r="DM18" s="13" t="e">
        <f t="shared" si="45"/>
        <v>#VALUE!</v>
      </c>
      <c r="DN18" s="13" t="e">
        <f t="shared" si="45"/>
        <v>#VALUE!</v>
      </c>
      <c r="DO18" s="13" t="e">
        <f t="shared" si="45"/>
        <v>#VALUE!</v>
      </c>
      <c r="DP18" s="13" t="e">
        <f t="shared" si="45"/>
        <v>#VALUE!</v>
      </c>
      <c r="DQ18" s="13" t="e">
        <f t="shared" si="45"/>
        <v>#VALUE!</v>
      </c>
      <c r="DR18" s="13" t="e">
        <f t="shared" si="45"/>
        <v>#VALUE!</v>
      </c>
      <c r="DS18" s="13" t="e">
        <f t="shared" si="45"/>
        <v>#VALUE!</v>
      </c>
      <c r="DT18" s="13" t="e">
        <f t="shared" si="45"/>
        <v>#VALUE!</v>
      </c>
    </row>
    <row r="19" spans="2:124" x14ac:dyDescent="0.25">
      <c r="B19" s="1" t="s">
        <v>132</v>
      </c>
      <c r="C19" s="31"/>
      <c r="D19" s="41">
        <f>'Inputs &amp; Summary'!G16</f>
        <v>0</v>
      </c>
      <c r="E19" s="13">
        <f t="shared" ref="E19:AJ19" ca="1" si="46">IF(MONTH(E$6)=1, D19*(1+ExpenseGrowth),D19)</f>
        <v>0</v>
      </c>
      <c r="F19" s="13">
        <f t="shared" ca="1" si="46"/>
        <v>0</v>
      </c>
      <c r="G19" s="13">
        <f t="shared" ca="1" si="46"/>
        <v>0</v>
      </c>
      <c r="H19" s="13">
        <f t="shared" ca="1" si="46"/>
        <v>0</v>
      </c>
      <c r="I19" s="13">
        <f t="shared" ca="1" si="46"/>
        <v>0</v>
      </c>
      <c r="J19" s="13">
        <f t="shared" ca="1" si="46"/>
        <v>0</v>
      </c>
      <c r="K19" s="13">
        <f t="shared" ca="1" si="46"/>
        <v>0</v>
      </c>
      <c r="L19" s="13">
        <f t="shared" ca="1" si="46"/>
        <v>0</v>
      </c>
      <c r="M19" s="13">
        <f t="shared" ca="1" si="46"/>
        <v>0</v>
      </c>
      <c r="N19" s="13">
        <f t="shared" ca="1" si="46"/>
        <v>0</v>
      </c>
      <c r="O19" s="13">
        <f t="shared" ca="1" si="46"/>
        <v>0</v>
      </c>
      <c r="P19" s="13">
        <f t="shared" ca="1" si="46"/>
        <v>0</v>
      </c>
      <c r="Q19" s="13">
        <f t="shared" ca="1" si="46"/>
        <v>0</v>
      </c>
      <c r="R19" s="13">
        <f t="shared" ca="1" si="46"/>
        <v>0</v>
      </c>
      <c r="S19" s="13">
        <f t="shared" ca="1" si="46"/>
        <v>0</v>
      </c>
      <c r="T19" s="13">
        <f t="shared" ca="1" si="46"/>
        <v>0</v>
      </c>
      <c r="U19" s="13">
        <f t="shared" ca="1" si="46"/>
        <v>0</v>
      </c>
      <c r="V19" s="13">
        <f t="shared" ca="1" si="46"/>
        <v>0</v>
      </c>
      <c r="W19" s="13">
        <f t="shared" ca="1" si="46"/>
        <v>0</v>
      </c>
      <c r="X19" s="13">
        <f t="shared" ca="1" si="46"/>
        <v>0</v>
      </c>
      <c r="Y19" s="13">
        <f t="shared" ca="1" si="46"/>
        <v>0</v>
      </c>
      <c r="Z19" s="13">
        <f t="shared" ca="1" si="46"/>
        <v>0</v>
      </c>
      <c r="AA19" s="13">
        <f t="shared" ca="1" si="46"/>
        <v>0</v>
      </c>
      <c r="AB19" s="13">
        <f t="shared" ca="1" si="46"/>
        <v>0</v>
      </c>
      <c r="AC19" s="13">
        <f t="shared" ca="1" si="46"/>
        <v>0</v>
      </c>
      <c r="AD19" s="13">
        <f t="shared" ca="1" si="46"/>
        <v>0</v>
      </c>
      <c r="AE19" s="13">
        <f t="shared" ca="1" si="46"/>
        <v>0</v>
      </c>
      <c r="AF19" s="13">
        <f t="shared" ca="1" si="46"/>
        <v>0</v>
      </c>
      <c r="AG19" s="13">
        <f t="shared" ca="1" si="46"/>
        <v>0</v>
      </c>
      <c r="AH19" s="13">
        <f t="shared" ca="1" si="46"/>
        <v>0</v>
      </c>
      <c r="AI19" s="13">
        <f t="shared" ca="1" si="46"/>
        <v>0</v>
      </c>
      <c r="AJ19" s="13">
        <f t="shared" ca="1" si="46"/>
        <v>0</v>
      </c>
      <c r="AK19" s="13">
        <f t="shared" ref="AK19:BP19" ca="1" si="47">IF(MONTH(AK$6)=1, AJ19*(1+ExpenseGrowth),AJ19)</f>
        <v>0</v>
      </c>
      <c r="AL19" s="13">
        <f t="shared" ca="1" si="47"/>
        <v>0</v>
      </c>
      <c r="AM19" s="13">
        <f t="shared" ca="1" si="47"/>
        <v>0</v>
      </c>
      <c r="AN19" s="13">
        <f t="shared" ca="1" si="47"/>
        <v>0</v>
      </c>
      <c r="AO19" s="13">
        <f t="shared" ca="1" si="47"/>
        <v>0</v>
      </c>
      <c r="AP19" s="13">
        <f t="shared" ca="1" si="47"/>
        <v>0</v>
      </c>
      <c r="AQ19" s="13">
        <f t="shared" ca="1" si="47"/>
        <v>0</v>
      </c>
      <c r="AR19" s="13">
        <f t="shared" ca="1" si="47"/>
        <v>0</v>
      </c>
      <c r="AS19" s="13">
        <f t="shared" ca="1" si="47"/>
        <v>0</v>
      </c>
      <c r="AT19" s="13">
        <f t="shared" ca="1" si="47"/>
        <v>0</v>
      </c>
      <c r="AU19" s="13">
        <f t="shared" ca="1" si="47"/>
        <v>0</v>
      </c>
      <c r="AV19" s="13">
        <f t="shared" ca="1" si="47"/>
        <v>0</v>
      </c>
      <c r="AW19" s="13">
        <f t="shared" ca="1" si="47"/>
        <v>0</v>
      </c>
      <c r="AX19" s="13">
        <f t="shared" ca="1" si="47"/>
        <v>0</v>
      </c>
      <c r="AY19" s="13">
        <f t="shared" ca="1" si="47"/>
        <v>0</v>
      </c>
      <c r="AZ19" s="13">
        <f t="shared" ca="1" si="47"/>
        <v>0</v>
      </c>
      <c r="BA19" s="13">
        <f t="shared" ca="1" si="47"/>
        <v>0</v>
      </c>
      <c r="BB19" s="13">
        <f t="shared" ca="1" si="47"/>
        <v>0</v>
      </c>
      <c r="BC19" s="13">
        <f t="shared" ca="1" si="47"/>
        <v>0</v>
      </c>
      <c r="BD19" s="13">
        <f t="shared" ca="1" si="47"/>
        <v>0</v>
      </c>
      <c r="BE19" s="13">
        <f t="shared" ca="1" si="47"/>
        <v>0</v>
      </c>
      <c r="BF19" s="13">
        <f t="shared" ca="1" si="47"/>
        <v>0</v>
      </c>
      <c r="BG19" s="13">
        <f t="shared" ca="1" si="47"/>
        <v>0</v>
      </c>
      <c r="BH19" s="13">
        <f t="shared" ca="1" si="47"/>
        <v>0</v>
      </c>
      <c r="BI19" s="13">
        <f t="shared" ca="1" si="47"/>
        <v>0</v>
      </c>
      <c r="BJ19" s="13">
        <f t="shared" ca="1" si="47"/>
        <v>0</v>
      </c>
      <c r="BK19" s="13">
        <f t="shared" ca="1" si="47"/>
        <v>0</v>
      </c>
      <c r="BL19" s="13">
        <f t="shared" ca="1" si="47"/>
        <v>0</v>
      </c>
      <c r="BM19" s="13">
        <f t="shared" ca="1" si="47"/>
        <v>0</v>
      </c>
      <c r="BN19" s="13">
        <f t="shared" ca="1" si="47"/>
        <v>0</v>
      </c>
      <c r="BO19" s="13">
        <f t="shared" ca="1" si="47"/>
        <v>0</v>
      </c>
      <c r="BP19" s="13">
        <f t="shared" ca="1" si="47"/>
        <v>0</v>
      </c>
      <c r="BQ19" s="13">
        <f t="shared" ref="BQ19:CV19" ca="1" si="48">IF(MONTH(BQ$6)=1, BP19*(1+ExpenseGrowth),BP19)</f>
        <v>0</v>
      </c>
      <c r="BR19" s="13">
        <f t="shared" ca="1" si="48"/>
        <v>0</v>
      </c>
      <c r="BS19" s="13">
        <f t="shared" ca="1" si="48"/>
        <v>0</v>
      </c>
      <c r="BT19" s="13">
        <f t="shared" ca="1" si="48"/>
        <v>0</v>
      </c>
      <c r="BU19" s="13">
        <f t="shared" ca="1" si="48"/>
        <v>0</v>
      </c>
      <c r="BV19" s="13">
        <f t="shared" ca="1" si="48"/>
        <v>0</v>
      </c>
      <c r="BW19" s="13">
        <f t="shared" ca="1" si="48"/>
        <v>0</v>
      </c>
      <c r="BX19" s="13">
        <f t="shared" ca="1" si="48"/>
        <v>0</v>
      </c>
      <c r="BY19" s="13">
        <f t="shared" ca="1" si="48"/>
        <v>0</v>
      </c>
      <c r="BZ19" s="13">
        <f t="shared" ca="1" si="48"/>
        <v>0</v>
      </c>
      <c r="CA19" s="13">
        <f t="shared" ca="1" si="48"/>
        <v>0</v>
      </c>
      <c r="CB19" s="13">
        <f t="shared" ca="1" si="48"/>
        <v>0</v>
      </c>
      <c r="CC19" s="13">
        <f t="shared" ca="1" si="48"/>
        <v>0</v>
      </c>
      <c r="CD19" s="13">
        <f t="shared" ca="1" si="48"/>
        <v>0</v>
      </c>
      <c r="CE19" s="13">
        <f t="shared" ca="1" si="48"/>
        <v>0</v>
      </c>
      <c r="CF19" s="13">
        <f t="shared" ca="1" si="48"/>
        <v>0</v>
      </c>
      <c r="CG19" s="13">
        <f t="shared" ca="1" si="48"/>
        <v>0</v>
      </c>
      <c r="CH19" s="13">
        <f t="shared" ca="1" si="48"/>
        <v>0</v>
      </c>
      <c r="CI19" s="13">
        <f t="shared" ca="1" si="48"/>
        <v>0</v>
      </c>
      <c r="CJ19" s="13">
        <f t="shared" ca="1" si="48"/>
        <v>0</v>
      </c>
      <c r="CK19" s="13">
        <f t="shared" ca="1" si="48"/>
        <v>0</v>
      </c>
      <c r="CL19" s="13">
        <f t="shared" ca="1" si="48"/>
        <v>0</v>
      </c>
      <c r="CM19" s="13">
        <f t="shared" ca="1" si="48"/>
        <v>0</v>
      </c>
      <c r="CN19" s="13">
        <f t="shared" ca="1" si="48"/>
        <v>0</v>
      </c>
      <c r="CO19" s="13">
        <f t="shared" ca="1" si="48"/>
        <v>0</v>
      </c>
      <c r="CP19" s="13">
        <f t="shared" ca="1" si="48"/>
        <v>0</v>
      </c>
      <c r="CQ19" s="13">
        <f t="shared" ca="1" si="48"/>
        <v>0</v>
      </c>
      <c r="CR19" s="13">
        <f t="shared" ca="1" si="48"/>
        <v>0</v>
      </c>
      <c r="CS19" s="13">
        <f t="shared" ca="1" si="48"/>
        <v>0</v>
      </c>
      <c r="CT19" s="13">
        <f t="shared" ca="1" si="48"/>
        <v>0</v>
      </c>
      <c r="CU19" s="13">
        <f t="shared" ca="1" si="48"/>
        <v>0</v>
      </c>
      <c r="CV19" s="13">
        <f t="shared" ca="1" si="48"/>
        <v>0</v>
      </c>
      <c r="CW19" s="13">
        <f t="shared" ref="CW19:DT19" ca="1" si="49">IF(MONTH(CW$6)=1, CV19*(1+ExpenseGrowth),CV19)</f>
        <v>0</v>
      </c>
      <c r="CX19" s="13">
        <f t="shared" ca="1" si="49"/>
        <v>0</v>
      </c>
      <c r="CY19" s="13">
        <f t="shared" ca="1" si="49"/>
        <v>0</v>
      </c>
      <c r="CZ19" s="13">
        <f t="shared" ca="1" si="49"/>
        <v>0</v>
      </c>
      <c r="DA19" s="13">
        <f t="shared" ca="1" si="49"/>
        <v>0</v>
      </c>
      <c r="DB19" s="13">
        <f t="shared" ca="1" si="49"/>
        <v>0</v>
      </c>
      <c r="DC19" s="13">
        <f t="shared" ca="1" si="49"/>
        <v>0</v>
      </c>
      <c r="DD19" s="13">
        <f t="shared" ca="1" si="49"/>
        <v>0</v>
      </c>
      <c r="DE19" s="13">
        <f t="shared" ca="1" si="49"/>
        <v>0</v>
      </c>
      <c r="DF19" s="13">
        <f t="shared" ca="1" si="49"/>
        <v>0</v>
      </c>
      <c r="DG19" s="13">
        <f t="shared" ca="1" si="49"/>
        <v>0</v>
      </c>
      <c r="DH19" s="13">
        <f t="shared" ca="1" si="49"/>
        <v>0</v>
      </c>
      <c r="DI19" s="13">
        <f t="shared" ca="1" si="49"/>
        <v>0</v>
      </c>
      <c r="DJ19" s="13">
        <f t="shared" ca="1" si="49"/>
        <v>0</v>
      </c>
      <c r="DK19" s="13">
        <f t="shared" ca="1" si="49"/>
        <v>0</v>
      </c>
      <c r="DL19" s="13">
        <f t="shared" ca="1" si="49"/>
        <v>0</v>
      </c>
      <c r="DM19" s="13">
        <f t="shared" ca="1" si="49"/>
        <v>0</v>
      </c>
      <c r="DN19" s="13">
        <f t="shared" ca="1" si="49"/>
        <v>0</v>
      </c>
      <c r="DO19" s="13">
        <f t="shared" ca="1" si="49"/>
        <v>0</v>
      </c>
      <c r="DP19" s="13">
        <f t="shared" ca="1" si="49"/>
        <v>0</v>
      </c>
      <c r="DQ19" s="13">
        <f t="shared" ca="1" si="49"/>
        <v>0</v>
      </c>
      <c r="DR19" s="13">
        <f t="shared" ca="1" si="49"/>
        <v>0</v>
      </c>
      <c r="DS19" s="13">
        <f t="shared" ca="1" si="49"/>
        <v>0</v>
      </c>
      <c r="DT19" s="13">
        <f t="shared" ca="1" si="49"/>
        <v>0</v>
      </c>
    </row>
    <row r="20" spans="2:124" x14ac:dyDescent="0.25">
      <c r="B20" s="1" t="s">
        <v>85</v>
      </c>
      <c r="C20" s="31"/>
      <c r="D20" s="41" t="str">
        <f>'Inputs &amp; Summary'!G17</f>
        <v>n/a</v>
      </c>
      <c r="E20" s="13" t="e">
        <f t="shared" ref="E20:AJ20" si="50">D20*(1+(ExpenseGrowth/12))</f>
        <v>#VALUE!</v>
      </c>
      <c r="F20" s="13" t="e">
        <f t="shared" si="50"/>
        <v>#VALUE!</v>
      </c>
      <c r="G20" s="13" t="e">
        <f t="shared" si="50"/>
        <v>#VALUE!</v>
      </c>
      <c r="H20" s="13" t="e">
        <f t="shared" si="50"/>
        <v>#VALUE!</v>
      </c>
      <c r="I20" s="13" t="e">
        <f t="shared" si="50"/>
        <v>#VALUE!</v>
      </c>
      <c r="J20" s="13" t="e">
        <f t="shared" si="50"/>
        <v>#VALUE!</v>
      </c>
      <c r="K20" s="13" t="e">
        <f t="shared" si="50"/>
        <v>#VALUE!</v>
      </c>
      <c r="L20" s="13" t="e">
        <f t="shared" si="50"/>
        <v>#VALUE!</v>
      </c>
      <c r="M20" s="13" t="e">
        <f t="shared" si="50"/>
        <v>#VALUE!</v>
      </c>
      <c r="N20" s="13" t="e">
        <f t="shared" si="50"/>
        <v>#VALUE!</v>
      </c>
      <c r="O20" s="13" t="e">
        <f t="shared" si="50"/>
        <v>#VALUE!</v>
      </c>
      <c r="P20" s="13" t="e">
        <f t="shared" si="50"/>
        <v>#VALUE!</v>
      </c>
      <c r="Q20" s="13" t="e">
        <f t="shared" si="50"/>
        <v>#VALUE!</v>
      </c>
      <c r="R20" s="13" t="e">
        <f t="shared" si="50"/>
        <v>#VALUE!</v>
      </c>
      <c r="S20" s="13" t="e">
        <f t="shared" si="50"/>
        <v>#VALUE!</v>
      </c>
      <c r="T20" s="13" t="e">
        <f t="shared" si="50"/>
        <v>#VALUE!</v>
      </c>
      <c r="U20" s="13" t="e">
        <f t="shared" si="50"/>
        <v>#VALUE!</v>
      </c>
      <c r="V20" s="13" t="e">
        <f t="shared" si="50"/>
        <v>#VALUE!</v>
      </c>
      <c r="W20" s="13" t="e">
        <f t="shared" si="50"/>
        <v>#VALUE!</v>
      </c>
      <c r="X20" s="13" t="e">
        <f t="shared" si="50"/>
        <v>#VALUE!</v>
      </c>
      <c r="Y20" s="13" t="e">
        <f t="shared" si="50"/>
        <v>#VALUE!</v>
      </c>
      <c r="Z20" s="13" t="e">
        <f t="shared" si="50"/>
        <v>#VALUE!</v>
      </c>
      <c r="AA20" s="13" t="e">
        <f t="shared" si="50"/>
        <v>#VALUE!</v>
      </c>
      <c r="AB20" s="13" t="e">
        <f t="shared" si="50"/>
        <v>#VALUE!</v>
      </c>
      <c r="AC20" s="13" t="e">
        <f t="shared" si="50"/>
        <v>#VALUE!</v>
      </c>
      <c r="AD20" s="13" t="e">
        <f t="shared" si="50"/>
        <v>#VALUE!</v>
      </c>
      <c r="AE20" s="13" t="e">
        <f t="shared" si="50"/>
        <v>#VALUE!</v>
      </c>
      <c r="AF20" s="13" t="e">
        <f t="shared" si="50"/>
        <v>#VALUE!</v>
      </c>
      <c r="AG20" s="13" t="e">
        <f t="shared" si="50"/>
        <v>#VALUE!</v>
      </c>
      <c r="AH20" s="13" t="e">
        <f t="shared" si="50"/>
        <v>#VALUE!</v>
      </c>
      <c r="AI20" s="13" t="e">
        <f t="shared" si="50"/>
        <v>#VALUE!</v>
      </c>
      <c r="AJ20" s="13" t="e">
        <f t="shared" si="50"/>
        <v>#VALUE!</v>
      </c>
      <c r="AK20" s="13" t="e">
        <f t="shared" ref="AK20:BP20" si="51">AJ20*(1+(ExpenseGrowth/12))</f>
        <v>#VALUE!</v>
      </c>
      <c r="AL20" s="13" t="e">
        <f t="shared" si="51"/>
        <v>#VALUE!</v>
      </c>
      <c r="AM20" s="13" t="e">
        <f t="shared" si="51"/>
        <v>#VALUE!</v>
      </c>
      <c r="AN20" s="13" t="e">
        <f t="shared" si="51"/>
        <v>#VALUE!</v>
      </c>
      <c r="AO20" s="13" t="e">
        <f t="shared" si="51"/>
        <v>#VALUE!</v>
      </c>
      <c r="AP20" s="13" t="e">
        <f t="shared" si="51"/>
        <v>#VALUE!</v>
      </c>
      <c r="AQ20" s="13" t="e">
        <f t="shared" si="51"/>
        <v>#VALUE!</v>
      </c>
      <c r="AR20" s="13" t="e">
        <f t="shared" si="51"/>
        <v>#VALUE!</v>
      </c>
      <c r="AS20" s="13" t="e">
        <f t="shared" si="51"/>
        <v>#VALUE!</v>
      </c>
      <c r="AT20" s="13" t="e">
        <f t="shared" si="51"/>
        <v>#VALUE!</v>
      </c>
      <c r="AU20" s="13" t="e">
        <f t="shared" si="51"/>
        <v>#VALUE!</v>
      </c>
      <c r="AV20" s="13" t="e">
        <f t="shared" si="51"/>
        <v>#VALUE!</v>
      </c>
      <c r="AW20" s="13" t="e">
        <f t="shared" si="51"/>
        <v>#VALUE!</v>
      </c>
      <c r="AX20" s="13" t="e">
        <f t="shared" si="51"/>
        <v>#VALUE!</v>
      </c>
      <c r="AY20" s="13" t="e">
        <f t="shared" si="51"/>
        <v>#VALUE!</v>
      </c>
      <c r="AZ20" s="13" t="e">
        <f t="shared" si="51"/>
        <v>#VALUE!</v>
      </c>
      <c r="BA20" s="13" t="e">
        <f t="shared" si="51"/>
        <v>#VALUE!</v>
      </c>
      <c r="BB20" s="13" t="e">
        <f t="shared" si="51"/>
        <v>#VALUE!</v>
      </c>
      <c r="BC20" s="13" t="e">
        <f t="shared" si="51"/>
        <v>#VALUE!</v>
      </c>
      <c r="BD20" s="13" t="e">
        <f t="shared" si="51"/>
        <v>#VALUE!</v>
      </c>
      <c r="BE20" s="13" t="e">
        <f t="shared" si="51"/>
        <v>#VALUE!</v>
      </c>
      <c r="BF20" s="13" t="e">
        <f t="shared" si="51"/>
        <v>#VALUE!</v>
      </c>
      <c r="BG20" s="13" t="e">
        <f t="shared" si="51"/>
        <v>#VALUE!</v>
      </c>
      <c r="BH20" s="13" t="e">
        <f t="shared" si="51"/>
        <v>#VALUE!</v>
      </c>
      <c r="BI20" s="13" t="e">
        <f t="shared" si="51"/>
        <v>#VALUE!</v>
      </c>
      <c r="BJ20" s="13" t="e">
        <f t="shared" si="51"/>
        <v>#VALUE!</v>
      </c>
      <c r="BK20" s="13" t="e">
        <f t="shared" si="51"/>
        <v>#VALUE!</v>
      </c>
      <c r="BL20" s="13" t="e">
        <f t="shared" si="51"/>
        <v>#VALUE!</v>
      </c>
      <c r="BM20" s="13" t="e">
        <f t="shared" si="51"/>
        <v>#VALUE!</v>
      </c>
      <c r="BN20" s="13" t="e">
        <f t="shared" si="51"/>
        <v>#VALUE!</v>
      </c>
      <c r="BO20" s="13" t="e">
        <f t="shared" si="51"/>
        <v>#VALUE!</v>
      </c>
      <c r="BP20" s="13" t="e">
        <f t="shared" si="51"/>
        <v>#VALUE!</v>
      </c>
      <c r="BQ20" s="13" t="e">
        <f t="shared" ref="BQ20:CV20" si="52">BP20*(1+(ExpenseGrowth/12))</f>
        <v>#VALUE!</v>
      </c>
      <c r="BR20" s="13" t="e">
        <f t="shared" si="52"/>
        <v>#VALUE!</v>
      </c>
      <c r="BS20" s="13" t="e">
        <f t="shared" si="52"/>
        <v>#VALUE!</v>
      </c>
      <c r="BT20" s="13" t="e">
        <f t="shared" si="52"/>
        <v>#VALUE!</v>
      </c>
      <c r="BU20" s="13" t="e">
        <f t="shared" si="52"/>
        <v>#VALUE!</v>
      </c>
      <c r="BV20" s="13" t="e">
        <f t="shared" si="52"/>
        <v>#VALUE!</v>
      </c>
      <c r="BW20" s="13" t="e">
        <f t="shared" si="52"/>
        <v>#VALUE!</v>
      </c>
      <c r="BX20" s="13" t="e">
        <f t="shared" si="52"/>
        <v>#VALUE!</v>
      </c>
      <c r="BY20" s="13" t="e">
        <f t="shared" si="52"/>
        <v>#VALUE!</v>
      </c>
      <c r="BZ20" s="13" t="e">
        <f t="shared" si="52"/>
        <v>#VALUE!</v>
      </c>
      <c r="CA20" s="13" t="e">
        <f t="shared" si="52"/>
        <v>#VALUE!</v>
      </c>
      <c r="CB20" s="13" t="e">
        <f t="shared" si="52"/>
        <v>#VALUE!</v>
      </c>
      <c r="CC20" s="13" t="e">
        <f t="shared" si="52"/>
        <v>#VALUE!</v>
      </c>
      <c r="CD20" s="13" t="e">
        <f t="shared" si="52"/>
        <v>#VALUE!</v>
      </c>
      <c r="CE20" s="13" t="e">
        <f t="shared" si="52"/>
        <v>#VALUE!</v>
      </c>
      <c r="CF20" s="13" t="e">
        <f t="shared" si="52"/>
        <v>#VALUE!</v>
      </c>
      <c r="CG20" s="13" t="e">
        <f t="shared" si="52"/>
        <v>#VALUE!</v>
      </c>
      <c r="CH20" s="13" t="e">
        <f t="shared" si="52"/>
        <v>#VALUE!</v>
      </c>
      <c r="CI20" s="13" t="e">
        <f t="shared" si="52"/>
        <v>#VALUE!</v>
      </c>
      <c r="CJ20" s="13" t="e">
        <f t="shared" si="52"/>
        <v>#VALUE!</v>
      </c>
      <c r="CK20" s="13" t="e">
        <f t="shared" si="52"/>
        <v>#VALUE!</v>
      </c>
      <c r="CL20" s="13" t="e">
        <f t="shared" si="52"/>
        <v>#VALUE!</v>
      </c>
      <c r="CM20" s="13" t="e">
        <f t="shared" si="52"/>
        <v>#VALUE!</v>
      </c>
      <c r="CN20" s="13" t="e">
        <f t="shared" si="52"/>
        <v>#VALUE!</v>
      </c>
      <c r="CO20" s="13" t="e">
        <f t="shared" si="52"/>
        <v>#VALUE!</v>
      </c>
      <c r="CP20" s="13" t="e">
        <f t="shared" si="52"/>
        <v>#VALUE!</v>
      </c>
      <c r="CQ20" s="13" t="e">
        <f t="shared" si="52"/>
        <v>#VALUE!</v>
      </c>
      <c r="CR20" s="13" t="e">
        <f t="shared" si="52"/>
        <v>#VALUE!</v>
      </c>
      <c r="CS20" s="13" t="e">
        <f t="shared" si="52"/>
        <v>#VALUE!</v>
      </c>
      <c r="CT20" s="13" t="e">
        <f t="shared" si="52"/>
        <v>#VALUE!</v>
      </c>
      <c r="CU20" s="13" t="e">
        <f t="shared" si="52"/>
        <v>#VALUE!</v>
      </c>
      <c r="CV20" s="13" t="e">
        <f t="shared" si="52"/>
        <v>#VALUE!</v>
      </c>
      <c r="CW20" s="13" t="e">
        <f t="shared" ref="CW20:DT20" si="53">CV20*(1+(ExpenseGrowth/12))</f>
        <v>#VALUE!</v>
      </c>
      <c r="CX20" s="13" t="e">
        <f t="shared" si="53"/>
        <v>#VALUE!</v>
      </c>
      <c r="CY20" s="13" t="e">
        <f t="shared" si="53"/>
        <v>#VALUE!</v>
      </c>
      <c r="CZ20" s="13" t="e">
        <f t="shared" si="53"/>
        <v>#VALUE!</v>
      </c>
      <c r="DA20" s="13" t="e">
        <f t="shared" si="53"/>
        <v>#VALUE!</v>
      </c>
      <c r="DB20" s="13" t="e">
        <f t="shared" si="53"/>
        <v>#VALUE!</v>
      </c>
      <c r="DC20" s="13" t="e">
        <f t="shared" si="53"/>
        <v>#VALUE!</v>
      </c>
      <c r="DD20" s="13" t="e">
        <f t="shared" si="53"/>
        <v>#VALUE!</v>
      </c>
      <c r="DE20" s="13" t="e">
        <f t="shared" si="53"/>
        <v>#VALUE!</v>
      </c>
      <c r="DF20" s="13" t="e">
        <f t="shared" si="53"/>
        <v>#VALUE!</v>
      </c>
      <c r="DG20" s="13" t="e">
        <f t="shared" si="53"/>
        <v>#VALUE!</v>
      </c>
      <c r="DH20" s="13" t="e">
        <f t="shared" si="53"/>
        <v>#VALUE!</v>
      </c>
      <c r="DI20" s="13" t="e">
        <f t="shared" si="53"/>
        <v>#VALUE!</v>
      </c>
      <c r="DJ20" s="13" t="e">
        <f t="shared" si="53"/>
        <v>#VALUE!</v>
      </c>
      <c r="DK20" s="13" t="e">
        <f t="shared" si="53"/>
        <v>#VALUE!</v>
      </c>
      <c r="DL20" s="13" t="e">
        <f t="shared" si="53"/>
        <v>#VALUE!</v>
      </c>
      <c r="DM20" s="13" t="e">
        <f t="shared" si="53"/>
        <v>#VALUE!</v>
      </c>
      <c r="DN20" s="13" t="e">
        <f t="shared" si="53"/>
        <v>#VALUE!</v>
      </c>
      <c r="DO20" s="13" t="e">
        <f t="shared" si="53"/>
        <v>#VALUE!</v>
      </c>
      <c r="DP20" s="13" t="e">
        <f t="shared" si="53"/>
        <v>#VALUE!</v>
      </c>
      <c r="DQ20" s="13" t="e">
        <f t="shared" si="53"/>
        <v>#VALUE!</v>
      </c>
      <c r="DR20" s="13" t="e">
        <f t="shared" si="53"/>
        <v>#VALUE!</v>
      </c>
      <c r="DS20" s="13" t="e">
        <f t="shared" si="53"/>
        <v>#VALUE!</v>
      </c>
      <c r="DT20" s="13" t="e">
        <f t="shared" si="53"/>
        <v>#VALUE!</v>
      </c>
    </row>
    <row r="21" spans="2:124" x14ac:dyDescent="0.25">
      <c r="B21" s="1" t="s">
        <v>203</v>
      </c>
      <c r="C21" s="32"/>
      <c r="D21" s="42">
        <f>'Inputs &amp; Summary'!G18</f>
        <v>0</v>
      </c>
      <c r="E21" s="36">
        <f t="shared" ref="E21:AJ21" ca="1" si="54">IF(MONTH(E$6)=1, D21*(1+ExpenseGrowth),D21)</f>
        <v>0</v>
      </c>
      <c r="F21" s="36">
        <f t="shared" ca="1" si="54"/>
        <v>0</v>
      </c>
      <c r="G21" s="36">
        <f t="shared" ca="1" si="54"/>
        <v>0</v>
      </c>
      <c r="H21" s="36">
        <f t="shared" ca="1" si="54"/>
        <v>0</v>
      </c>
      <c r="I21" s="36">
        <f t="shared" ca="1" si="54"/>
        <v>0</v>
      </c>
      <c r="J21" s="36">
        <f t="shared" ca="1" si="54"/>
        <v>0</v>
      </c>
      <c r="K21" s="36">
        <f t="shared" ca="1" si="54"/>
        <v>0</v>
      </c>
      <c r="L21" s="36">
        <f t="shared" ca="1" si="54"/>
        <v>0</v>
      </c>
      <c r="M21" s="36">
        <f t="shared" ca="1" si="54"/>
        <v>0</v>
      </c>
      <c r="N21" s="36">
        <f t="shared" ca="1" si="54"/>
        <v>0</v>
      </c>
      <c r="O21" s="36">
        <f t="shared" ca="1" si="54"/>
        <v>0</v>
      </c>
      <c r="P21" s="36">
        <f t="shared" ca="1" si="54"/>
        <v>0</v>
      </c>
      <c r="Q21" s="36">
        <f t="shared" ca="1" si="54"/>
        <v>0</v>
      </c>
      <c r="R21" s="36">
        <f t="shared" ca="1" si="54"/>
        <v>0</v>
      </c>
      <c r="S21" s="36">
        <f t="shared" ca="1" si="54"/>
        <v>0</v>
      </c>
      <c r="T21" s="36">
        <f t="shared" ca="1" si="54"/>
        <v>0</v>
      </c>
      <c r="U21" s="36">
        <f t="shared" ca="1" si="54"/>
        <v>0</v>
      </c>
      <c r="V21" s="36">
        <f t="shared" ca="1" si="54"/>
        <v>0</v>
      </c>
      <c r="W21" s="36">
        <f t="shared" ca="1" si="54"/>
        <v>0</v>
      </c>
      <c r="X21" s="36">
        <f t="shared" ca="1" si="54"/>
        <v>0</v>
      </c>
      <c r="Y21" s="36">
        <f t="shared" ca="1" si="54"/>
        <v>0</v>
      </c>
      <c r="Z21" s="36">
        <f t="shared" ca="1" si="54"/>
        <v>0</v>
      </c>
      <c r="AA21" s="36">
        <f t="shared" ca="1" si="54"/>
        <v>0</v>
      </c>
      <c r="AB21" s="36">
        <f t="shared" ca="1" si="54"/>
        <v>0</v>
      </c>
      <c r="AC21" s="36">
        <f t="shared" ca="1" si="54"/>
        <v>0</v>
      </c>
      <c r="AD21" s="36">
        <f t="shared" ca="1" si="54"/>
        <v>0</v>
      </c>
      <c r="AE21" s="36">
        <f t="shared" ca="1" si="54"/>
        <v>0</v>
      </c>
      <c r="AF21" s="36">
        <f t="shared" ca="1" si="54"/>
        <v>0</v>
      </c>
      <c r="AG21" s="36">
        <f t="shared" ca="1" si="54"/>
        <v>0</v>
      </c>
      <c r="AH21" s="36">
        <f t="shared" ca="1" si="54"/>
        <v>0</v>
      </c>
      <c r="AI21" s="36">
        <f t="shared" ca="1" si="54"/>
        <v>0</v>
      </c>
      <c r="AJ21" s="36">
        <f t="shared" ca="1" si="54"/>
        <v>0</v>
      </c>
      <c r="AK21" s="36">
        <f t="shared" ref="AK21:BP21" ca="1" si="55">IF(MONTH(AK$6)=1, AJ21*(1+ExpenseGrowth),AJ21)</f>
        <v>0</v>
      </c>
      <c r="AL21" s="36">
        <f t="shared" ca="1" si="55"/>
        <v>0</v>
      </c>
      <c r="AM21" s="36">
        <f t="shared" ca="1" si="55"/>
        <v>0</v>
      </c>
      <c r="AN21" s="36">
        <f t="shared" ca="1" si="55"/>
        <v>0</v>
      </c>
      <c r="AO21" s="36">
        <f t="shared" ca="1" si="55"/>
        <v>0</v>
      </c>
      <c r="AP21" s="36">
        <f t="shared" ca="1" si="55"/>
        <v>0</v>
      </c>
      <c r="AQ21" s="36">
        <f t="shared" ca="1" si="55"/>
        <v>0</v>
      </c>
      <c r="AR21" s="36">
        <f t="shared" ca="1" si="55"/>
        <v>0</v>
      </c>
      <c r="AS21" s="36">
        <f t="shared" ca="1" si="55"/>
        <v>0</v>
      </c>
      <c r="AT21" s="36">
        <f t="shared" ca="1" si="55"/>
        <v>0</v>
      </c>
      <c r="AU21" s="36">
        <f t="shared" ca="1" si="55"/>
        <v>0</v>
      </c>
      <c r="AV21" s="36">
        <f t="shared" ca="1" si="55"/>
        <v>0</v>
      </c>
      <c r="AW21" s="36">
        <f t="shared" ca="1" si="55"/>
        <v>0</v>
      </c>
      <c r="AX21" s="36">
        <f t="shared" ca="1" si="55"/>
        <v>0</v>
      </c>
      <c r="AY21" s="36">
        <f t="shared" ca="1" si="55"/>
        <v>0</v>
      </c>
      <c r="AZ21" s="36">
        <f t="shared" ca="1" si="55"/>
        <v>0</v>
      </c>
      <c r="BA21" s="36">
        <f t="shared" ca="1" si="55"/>
        <v>0</v>
      </c>
      <c r="BB21" s="36">
        <f t="shared" ca="1" si="55"/>
        <v>0</v>
      </c>
      <c r="BC21" s="36">
        <f t="shared" ca="1" si="55"/>
        <v>0</v>
      </c>
      <c r="BD21" s="36">
        <f t="shared" ca="1" si="55"/>
        <v>0</v>
      </c>
      <c r="BE21" s="36">
        <f t="shared" ca="1" si="55"/>
        <v>0</v>
      </c>
      <c r="BF21" s="36">
        <f t="shared" ca="1" si="55"/>
        <v>0</v>
      </c>
      <c r="BG21" s="36">
        <f t="shared" ca="1" si="55"/>
        <v>0</v>
      </c>
      <c r="BH21" s="36">
        <f t="shared" ca="1" si="55"/>
        <v>0</v>
      </c>
      <c r="BI21" s="36">
        <f t="shared" ca="1" si="55"/>
        <v>0</v>
      </c>
      <c r="BJ21" s="36">
        <f t="shared" ca="1" si="55"/>
        <v>0</v>
      </c>
      <c r="BK21" s="36">
        <f t="shared" ca="1" si="55"/>
        <v>0</v>
      </c>
      <c r="BL21" s="36">
        <f t="shared" ca="1" si="55"/>
        <v>0</v>
      </c>
      <c r="BM21" s="36">
        <f t="shared" ca="1" si="55"/>
        <v>0</v>
      </c>
      <c r="BN21" s="36">
        <f t="shared" ca="1" si="55"/>
        <v>0</v>
      </c>
      <c r="BO21" s="36">
        <f t="shared" ca="1" si="55"/>
        <v>0</v>
      </c>
      <c r="BP21" s="36">
        <f t="shared" ca="1" si="55"/>
        <v>0</v>
      </c>
      <c r="BQ21" s="36">
        <f t="shared" ref="BQ21:CV21" ca="1" si="56">IF(MONTH(BQ$6)=1, BP21*(1+ExpenseGrowth),BP21)</f>
        <v>0</v>
      </c>
      <c r="BR21" s="36">
        <f t="shared" ca="1" si="56"/>
        <v>0</v>
      </c>
      <c r="BS21" s="36">
        <f t="shared" ca="1" si="56"/>
        <v>0</v>
      </c>
      <c r="BT21" s="36">
        <f t="shared" ca="1" si="56"/>
        <v>0</v>
      </c>
      <c r="BU21" s="36">
        <f t="shared" ca="1" si="56"/>
        <v>0</v>
      </c>
      <c r="BV21" s="36">
        <f t="shared" ca="1" si="56"/>
        <v>0</v>
      </c>
      <c r="BW21" s="36">
        <f t="shared" ca="1" si="56"/>
        <v>0</v>
      </c>
      <c r="BX21" s="36">
        <f t="shared" ca="1" si="56"/>
        <v>0</v>
      </c>
      <c r="BY21" s="36">
        <f t="shared" ca="1" si="56"/>
        <v>0</v>
      </c>
      <c r="BZ21" s="36">
        <f t="shared" ca="1" si="56"/>
        <v>0</v>
      </c>
      <c r="CA21" s="36">
        <f t="shared" ca="1" si="56"/>
        <v>0</v>
      </c>
      <c r="CB21" s="36">
        <f t="shared" ca="1" si="56"/>
        <v>0</v>
      </c>
      <c r="CC21" s="36">
        <f t="shared" ca="1" si="56"/>
        <v>0</v>
      </c>
      <c r="CD21" s="36">
        <f t="shared" ca="1" si="56"/>
        <v>0</v>
      </c>
      <c r="CE21" s="36">
        <f t="shared" ca="1" si="56"/>
        <v>0</v>
      </c>
      <c r="CF21" s="36">
        <f t="shared" ca="1" si="56"/>
        <v>0</v>
      </c>
      <c r="CG21" s="36">
        <f t="shared" ca="1" si="56"/>
        <v>0</v>
      </c>
      <c r="CH21" s="36">
        <f t="shared" ca="1" si="56"/>
        <v>0</v>
      </c>
      <c r="CI21" s="36">
        <f t="shared" ca="1" si="56"/>
        <v>0</v>
      </c>
      <c r="CJ21" s="36">
        <f t="shared" ca="1" si="56"/>
        <v>0</v>
      </c>
      <c r="CK21" s="36">
        <f t="shared" ca="1" si="56"/>
        <v>0</v>
      </c>
      <c r="CL21" s="36">
        <f t="shared" ca="1" si="56"/>
        <v>0</v>
      </c>
      <c r="CM21" s="36">
        <f t="shared" ca="1" si="56"/>
        <v>0</v>
      </c>
      <c r="CN21" s="36">
        <f t="shared" ca="1" si="56"/>
        <v>0</v>
      </c>
      <c r="CO21" s="36">
        <f t="shared" ca="1" si="56"/>
        <v>0</v>
      </c>
      <c r="CP21" s="36">
        <f t="shared" ca="1" si="56"/>
        <v>0</v>
      </c>
      <c r="CQ21" s="36">
        <f t="shared" ca="1" si="56"/>
        <v>0</v>
      </c>
      <c r="CR21" s="36">
        <f t="shared" ca="1" si="56"/>
        <v>0</v>
      </c>
      <c r="CS21" s="36">
        <f t="shared" ca="1" si="56"/>
        <v>0</v>
      </c>
      <c r="CT21" s="36">
        <f t="shared" ca="1" si="56"/>
        <v>0</v>
      </c>
      <c r="CU21" s="36">
        <f t="shared" ca="1" si="56"/>
        <v>0</v>
      </c>
      <c r="CV21" s="36">
        <f t="shared" ca="1" si="56"/>
        <v>0</v>
      </c>
      <c r="CW21" s="36">
        <f t="shared" ref="CW21:DT21" ca="1" si="57">IF(MONTH(CW$6)=1, CV21*(1+ExpenseGrowth),CV21)</f>
        <v>0</v>
      </c>
      <c r="CX21" s="36">
        <f t="shared" ca="1" si="57"/>
        <v>0</v>
      </c>
      <c r="CY21" s="36">
        <f t="shared" ca="1" si="57"/>
        <v>0</v>
      </c>
      <c r="CZ21" s="36">
        <f t="shared" ca="1" si="57"/>
        <v>0</v>
      </c>
      <c r="DA21" s="36">
        <f t="shared" ca="1" si="57"/>
        <v>0</v>
      </c>
      <c r="DB21" s="36">
        <f t="shared" ca="1" si="57"/>
        <v>0</v>
      </c>
      <c r="DC21" s="36">
        <f t="shared" ca="1" si="57"/>
        <v>0</v>
      </c>
      <c r="DD21" s="36">
        <f t="shared" ca="1" si="57"/>
        <v>0</v>
      </c>
      <c r="DE21" s="36">
        <f t="shared" ca="1" si="57"/>
        <v>0</v>
      </c>
      <c r="DF21" s="36">
        <f t="shared" ca="1" si="57"/>
        <v>0</v>
      </c>
      <c r="DG21" s="36">
        <f t="shared" ca="1" si="57"/>
        <v>0</v>
      </c>
      <c r="DH21" s="36">
        <f t="shared" ca="1" si="57"/>
        <v>0</v>
      </c>
      <c r="DI21" s="36">
        <f t="shared" ca="1" si="57"/>
        <v>0</v>
      </c>
      <c r="DJ21" s="36">
        <f t="shared" ca="1" si="57"/>
        <v>0</v>
      </c>
      <c r="DK21" s="36">
        <f t="shared" ca="1" si="57"/>
        <v>0</v>
      </c>
      <c r="DL21" s="36">
        <f t="shared" ca="1" si="57"/>
        <v>0</v>
      </c>
      <c r="DM21" s="36">
        <f t="shared" ca="1" si="57"/>
        <v>0</v>
      </c>
      <c r="DN21" s="36">
        <f t="shared" ca="1" si="57"/>
        <v>0</v>
      </c>
      <c r="DO21" s="36">
        <f t="shared" ca="1" si="57"/>
        <v>0</v>
      </c>
      <c r="DP21" s="36">
        <f t="shared" ca="1" si="57"/>
        <v>0</v>
      </c>
      <c r="DQ21" s="36">
        <f t="shared" ca="1" si="57"/>
        <v>0</v>
      </c>
      <c r="DR21" s="36">
        <f t="shared" ca="1" si="57"/>
        <v>0</v>
      </c>
      <c r="DS21" s="36">
        <f t="shared" ca="1" si="57"/>
        <v>0</v>
      </c>
      <c r="DT21" s="36">
        <f t="shared" ca="1" si="57"/>
        <v>0</v>
      </c>
    </row>
    <row r="22" spans="2:124" x14ac:dyDescent="0.25">
      <c r="B22" s="14" t="s">
        <v>16</v>
      </c>
      <c r="C22" s="33"/>
      <c r="D22" s="31"/>
      <c r="E22" s="43" t="e">
        <f ca="1">E15+SUM(E16:E21)</f>
        <v>#VALUE!</v>
      </c>
      <c r="F22" s="43" t="e">
        <f t="shared" ref="F22:BQ22" ca="1" si="58">F15+SUM(F16:F21)</f>
        <v>#VALUE!</v>
      </c>
      <c r="G22" s="43" t="e">
        <f t="shared" ca="1" si="58"/>
        <v>#VALUE!</v>
      </c>
      <c r="H22" s="43" t="e">
        <f t="shared" ca="1" si="58"/>
        <v>#VALUE!</v>
      </c>
      <c r="I22" s="43" t="e">
        <f t="shared" ca="1" si="58"/>
        <v>#VALUE!</v>
      </c>
      <c r="J22" s="43" t="e">
        <f t="shared" ca="1" si="58"/>
        <v>#VALUE!</v>
      </c>
      <c r="K22" s="43" t="e">
        <f t="shared" ca="1" si="58"/>
        <v>#VALUE!</v>
      </c>
      <c r="L22" s="43" t="e">
        <f t="shared" ca="1" si="58"/>
        <v>#VALUE!</v>
      </c>
      <c r="M22" s="43" t="e">
        <f t="shared" ca="1" si="58"/>
        <v>#VALUE!</v>
      </c>
      <c r="N22" s="43" t="e">
        <f t="shared" ca="1" si="58"/>
        <v>#VALUE!</v>
      </c>
      <c r="O22" s="43" t="e">
        <f t="shared" ca="1" si="58"/>
        <v>#VALUE!</v>
      </c>
      <c r="P22" s="43" t="e">
        <f t="shared" ca="1" si="58"/>
        <v>#VALUE!</v>
      </c>
      <c r="Q22" s="43" t="e">
        <f t="shared" ca="1" si="58"/>
        <v>#VALUE!</v>
      </c>
      <c r="R22" s="43" t="e">
        <f t="shared" ca="1" si="58"/>
        <v>#VALUE!</v>
      </c>
      <c r="S22" s="43" t="e">
        <f t="shared" ca="1" si="58"/>
        <v>#VALUE!</v>
      </c>
      <c r="T22" s="43" t="e">
        <f t="shared" ca="1" si="58"/>
        <v>#VALUE!</v>
      </c>
      <c r="U22" s="43" t="e">
        <f t="shared" ca="1" si="58"/>
        <v>#VALUE!</v>
      </c>
      <c r="V22" s="43" t="e">
        <f t="shared" ca="1" si="58"/>
        <v>#VALUE!</v>
      </c>
      <c r="W22" s="43" t="e">
        <f t="shared" ca="1" si="58"/>
        <v>#VALUE!</v>
      </c>
      <c r="X22" s="43" t="e">
        <f t="shared" ca="1" si="58"/>
        <v>#VALUE!</v>
      </c>
      <c r="Y22" s="43" t="e">
        <f t="shared" ca="1" si="58"/>
        <v>#VALUE!</v>
      </c>
      <c r="Z22" s="43" t="e">
        <f t="shared" ca="1" si="58"/>
        <v>#VALUE!</v>
      </c>
      <c r="AA22" s="43" t="e">
        <f t="shared" ca="1" si="58"/>
        <v>#VALUE!</v>
      </c>
      <c r="AB22" s="43" t="e">
        <f t="shared" ca="1" si="58"/>
        <v>#VALUE!</v>
      </c>
      <c r="AC22" s="43" t="e">
        <f t="shared" ca="1" si="58"/>
        <v>#VALUE!</v>
      </c>
      <c r="AD22" s="43" t="e">
        <f t="shared" ca="1" si="58"/>
        <v>#VALUE!</v>
      </c>
      <c r="AE22" s="43" t="e">
        <f t="shared" ca="1" si="58"/>
        <v>#VALUE!</v>
      </c>
      <c r="AF22" s="43" t="e">
        <f t="shared" ca="1" si="58"/>
        <v>#VALUE!</v>
      </c>
      <c r="AG22" s="43" t="e">
        <f t="shared" ca="1" si="58"/>
        <v>#VALUE!</v>
      </c>
      <c r="AH22" s="43" t="e">
        <f t="shared" ca="1" si="58"/>
        <v>#VALUE!</v>
      </c>
      <c r="AI22" s="43" t="e">
        <f t="shared" ca="1" si="58"/>
        <v>#VALUE!</v>
      </c>
      <c r="AJ22" s="43" t="e">
        <f t="shared" ca="1" si="58"/>
        <v>#VALUE!</v>
      </c>
      <c r="AK22" s="43" t="e">
        <f t="shared" ca="1" si="58"/>
        <v>#VALUE!</v>
      </c>
      <c r="AL22" s="43" t="e">
        <f t="shared" ca="1" si="58"/>
        <v>#VALUE!</v>
      </c>
      <c r="AM22" s="43" t="e">
        <f t="shared" ca="1" si="58"/>
        <v>#VALUE!</v>
      </c>
      <c r="AN22" s="43" t="e">
        <f t="shared" ca="1" si="58"/>
        <v>#VALUE!</v>
      </c>
      <c r="AO22" s="43" t="e">
        <f t="shared" ca="1" si="58"/>
        <v>#VALUE!</v>
      </c>
      <c r="AP22" s="43" t="e">
        <f t="shared" ca="1" si="58"/>
        <v>#VALUE!</v>
      </c>
      <c r="AQ22" s="43" t="e">
        <f t="shared" ca="1" si="58"/>
        <v>#VALUE!</v>
      </c>
      <c r="AR22" s="43" t="e">
        <f t="shared" ca="1" si="58"/>
        <v>#VALUE!</v>
      </c>
      <c r="AS22" s="43" t="e">
        <f t="shared" ca="1" si="58"/>
        <v>#VALUE!</v>
      </c>
      <c r="AT22" s="43" t="e">
        <f t="shared" ca="1" si="58"/>
        <v>#VALUE!</v>
      </c>
      <c r="AU22" s="43" t="e">
        <f t="shared" ca="1" si="58"/>
        <v>#VALUE!</v>
      </c>
      <c r="AV22" s="43" t="e">
        <f t="shared" ca="1" si="58"/>
        <v>#VALUE!</v>
      </c>
      <c r="AW22" s="43" t="e">
        <f t="shared" ca="1" si="58"/>
        <v>#VALUE!</v>
      </c>
      <c r="AX22" s="43" t="e">
        <f t="shared" ca="1" si="58"/>
        <v>#VALUE!</v>
      </c>
      <c r="AY22" s="43" t="e">
        <f t="shared" ca="1" si="58"/>
        <v>#VALUE!</v>
      </c>
      <c r="AZ22" s="43" t="e">
        <f t="shared" ca="1" si="58"/>
        <v>#VALUE!</v>
      </c>
      <c r="BA22" s="43" t="e">
        <f t="shared" ca="1" si="58"/>
        <v>#VALUE!</v>
      </c>
      <c r="BB22" s="43" t="e">
        <f t="shared" ca="1" si="58"/>
        <v>#VALUE!</v>
      </c>
      <c r="BC22" s="43" t="e">
        <f t="shared" ca="1" si="58"/>
        <v>#VALUE!</v>
      </c>
      <c r="BD22" s="43" t="e">
        <f t="shared" ca="1" si="58"/>
        <v>#VALUE!</v>
      </c>
      <c r="BE22" s="43" t="e">
        <f t="shared" ca="1" si="58"/>
        <v>#VALUE!</v>
      </c>
      <c r="BF22" s="43" t="e">
        <f t="shared" ca="1" si="58"/>
        <v>#VALUE!</v>
      </c>
      <c r="BG22" s="43" t="e">
        <f t="shared" ca="1" si="58"/>
        <v>#VALUE!</v>
      </c>
      <c r="BH22" s="43" t="e">
        <f t="shared" ca="1" si="58"/>
        <v>#VALUE!</v>
      </c>
      <c r="BI22" s="43" t="e">
        <f t="shared" ca="1" si="58"/>
        <v>#VALUE!</v>
      </c>
      <c r="BJ22" s="43" t="e">
        <f t="shared" ca="1" si="58"/>
        <v>#VALUE!</v>
      </c>
      <c r="BK22" s="43" t="e">
        <f t="shared" ca="1" si="58"/>
        <v>#VALUE!</v>
      </c>
      <c r="BL22" s="43" t="e">
        <f t="shared" ca="1" si="58"/>
        <v>#VALUE!</v>
      </c>
      <c r="BM22" s="43" t="e">
        <f t="shared" ca="1" si="58"/>
        <v>#VALUE!</v>
      </c>
      <c r="BN22" s="43" t="e">
        <f t="shared" ca="1" si="58"/>
        <v>#VALUE!</v>
      </c>
      <c r="BO22" s="43" t="e">
        <f t="shared" ca="1" si="58"/>
        <v>#VALUE!</v>
      </c>
      <c r="BP22" s="43" t="e">
        <f t="shared" ca="1" si="58"/>
        <v>#VALUE!</v>
      </c>
      <c r="BQ22" s="43" t="e">
        <f t="shared" ca="1" si="58"/>
        <v>#VALUE!</v>
      </c>
      <c r="BR22" s="43" t="e">
        <f t="shared" ref="BR22:DT22" ca="1" si="59">BR15+SUM(BR16:BR21)</f>
        <v>#VALUE!</v>
      </c>
      <c r="BS22" s="43" t="e">
        <f t="shared" ca="1" si="59"/>
        <v>#VALUE!</v>
      </c>
      <c r="BT22" s="43" t="e">
        <f t="shared" ca="1" si="59"/>
        <v>#VALUE!</v>
      </c>
      <c r="BU22" s="43" t="e">
        <f t="shared" ca="1" si="59"/>
        <v>#VALUE!</v>
      </c>
      <c r="BV22" s="43" t="e">
        <f t="shared" ca="1" si="59"/>
        <v>#VALUE!</v>
      </c>
      <c r="BW22" s="43" t="e">
        <f t="shared" ca="1" si="59"/>
        <v>#VALUE!</v>
      </c>
      <c r="BX22" s="43" t="e">
        <f t="shared" ca="1" si="59"/>
        <v>#VALUE!</v>
      </c>
      <c r="BY22" s="43" t="e">
        <f t="shared" ca="1" si="59"/>
        <v>#VALUE!</v>
      </c>
      <c r="BZ22" s="43" t="e">
        <f t="shared" ca="1" si="59"/>
        <v>#VALUE!</v>
      </c>
      <c r="CA22" s="43" t="e">
        <f t="shared" ca="1" si="59"/>
        <v>#VALUE!</v>
      </c>
      <c r="CB22" s="43" t="e">
        <f t="shared" ca="1" si="59"/>
        <v>#VALUE!</v>
      </c>
      <c r="CC22" s="43" t="e">
        <f t="shared" ca="1" si="59"/>
        <v>#VALUE!</v>
      </c>
      <c r="CD22" s="43" t="e">
        <f t="shared" ca="1" si="59"/>
        <v>#VALUE!</v>
      </c>
      <c r="CE22" s="43" t="e">
        <f t="shared" ca="1" si="59"/>
        <v>#VALUE!</v>
      </c>
      <c r="CF22" s="43" t="e">
        <f t="shared" ca="1" si="59"/>
        <v>#VALUE!</v>
      </c>
      <c r="CG22" s="43" t="e">
        <f t="shared" ca="1" si="59"/>
        <v>#VALUE!</v>
      </c>
      <c r="CH22" s="43" t="e">
        <f t="shared" ca="1" si="59"/>
        <v>#VALUE!</v>
      </c>
      <c r="CI22" s="43" t="e">
        <f t="shared" ca="1" si="59"/>
        <v>#VALUE!</v>
      </c>
      <c r="CJ22" s="43" t="e">
        <f t="shared" ca="1" si="59"/>
        <v>#VALUE!</v>
      </c>
      <c r="CK22" s="43" t="e">
        <f t="shared" ca="1" si="59"/>
        <v>#VALUE!</v>
      </c>
      <c r="CL22" s="43" t="e">
        <f t="shared" ca="1" si="59"/>
        <v>#VALUE!</v>
      </c>
      <c r="CM22" s="43" t="e">
        <f t="shared" ca="1" si="59"/>
        <v>#VALUE!</v>
      </c>
      <c r="CN22" s="43" t="e">
        <f t="shared" ca="1" si="59"/>
        <v>#VALUE!</v>
      </c>
      <c r="CO22" s="43" t="e">
        <f t="shared" ca="1" si="59"/>
        <v>#VALUE!</v>
      </c>
      <c r="CP22" s="43" t="e">
        <f t="shared" ca="1" si="59"/>
        <v>#VALUE!</v>
      </c>
      <c r="CQ22" s="43" t="e">
        <f t="shared" ca="1" si="59"/>
        <v>#VALUE!</v>
      </c>
      <c r="CR22" s="43" t="e">
        <f t="shared" ca="1" si="59"/>
        <v>#VALUE!</v>
      </c>
      <c r="CS22" s="43" t="e">
        <f t="shared" ca="1" si="59"/>
        <v>#VALUE!</v>
      </c>
      <c r="CT22" s="43" t="e">
        <f t="shared" ca="1" si="59"/>
        <v>#VALUE!</v>
      </c>
      <c r="CU22" s="43" t="e">
        <f t="shared" ca="1" si="59"/>
        <v>#VALUE!</v>
      </c>
      <c r="CV22" s="43" t="e">
        <f t="shared" ca="1" si="59"/>
        <v>#VALUE!</v>
      </c>
      <c r="CW22" s="43" t="e">
        <f t="shared" ca="1" si="59"/>
        <v>#VALUE!</v>
      </c>
      <c r="CX22" s="43" t="e">
        <f t="shared" ca="1" si="59"/>
        <v>#VALUE!</v>
      </c>
      <c r="CY22" s="43" t="e">
        <f t="shared" ca="1" si="59"/>
        <v>#VALUE!</v>
      </c>
      <c r="CZ22" s="43" t="e">
        <f t="shared" ca="1" si="59"/>
        <v>#VALUE!</v>
      </c>
      <c r="DA22" s="43" t="e">
        <f t="shared" ca="1" si="59"/>
        <v>#VALUE!</v>
      </c>
      <c r="DB22" s="43" t="e">
        <f t="shared" ca="1" si="59"/>
        <v>#VALUE!</v>
      </c>
      <c r="DC22" s="43" t="e">
        <f t="shared" ca="1" si="59"/>
        <v>#VALUE!</v>
      </c>
      <c r="DD22" s="43" t="e">
        <f t="shared" ca="1" si="59"/>
        <v>#VALUE!</v>
      </c>
      <c r="DE22" s="43" t="e">
        <f t="shared" ca="1" si="59"/>
        <v>#VALUE!</v>
      </c>
      <c r="DF22" s="43" t="e">
        <f t="shared" ca="1" si="59"/>
        <v>#VALUE!</v>
      </c>
      <c r="DG22" s="43" t="e">
        <f t="shared" ca="1" si="59"/>
        <v>#VALUE!</v>
      </c>
      <c r="DH22" s="43" t="e">
        <f t="shared" ca="1" si="59"/>
        <v>#VALUE!</v>
      </c>
      <c r="DI22" s="43" t="e">
        <f t="shared" ca="1" si="59"/>
        <v>#VALUE!</v>
      </c>
      <c r="DJ22" s="43" t="e">
        <f t="shared" ca="1" si="59"/>
        <v>#VALUE!</v>
      </c>
      <c r="DK22" s="43" t="e">
        <f t="shared" ca="1" si="59"/>
        <v>#VALUE!</v>
      </c>
      <c r="DL22" s="43" t="e">
        <f t="shared" ca="1" si="59"/>
        <v>#VALUE!</v>
      </c>
      <c r="DM22" s="43" t="e">
        <f t="shared" ca="1" si="59"/>
        <v>#VALUE!</v>
      </c>
      <c r="DN22" s="43" t="e">
        <f t="shared" ca="1" si="59"/>
        <v>#VALUE!</v>
      </c>
      <c r="DO22" s="43" t="e">
        <f t="shared" ca="1" si="59"/>
        <v>#VALUE!</v>
      </c>
      <c r="DP22" s="43" t="e">
        <f t="shared" ca="1" si="59"/>
        <v>#VALUE!</v>
      </c>
      <c r="DQ22" s="43" t="e">
        <f t="shared" ca="1" si="59"/>
        <v>#VALUE!</v>
      </c>
      <c r="DR22" s="43" t="e">
        <f t="shared" ca="1" si="59"/>
        <v>#VALUE!</v>
      </c>
      <c r="DS22" s="43" t="e">
        <f t="shared" ca="1" si="59"/>
        <v>#VALUE!</v>
      </c>
      <c r="DT22" s="43" t="e">
        <f t="shared" ca="1" si="59"/>
        <v>#VALUE!</v>
      </c>
    </row>
    <row r="23" spans="2:124" x14ac:dyDescent="0.25">
      <c r="B23" s="44" t="s">
        <v>32</v>
      </c>
      <c r="C23" s="33"/>
      <c r="D23" s="31"/>
      <c r="E23" s="118" t="str">
        <f ca="1">IFERROR(E22/E12, "n/a")</f>
        <v>n/a</v>
      </c>
      <c r="F23" s="118" t="str">
        <f t="shared" ref="F23:BQ23" ca="1" si="60">IFERROR(F22/F12, "n/a")</f>
        <v>n/a</v>
      </c>
      <c r="G23" s="118" t="str">
        <f t="shared" ca="1" si="60"/>
        <v>n/a</v>
      </c>
      <c r="H23" s="118" t="str">
        <f t="shared" ca="1" si="60"/>
        <v>n/a</v>
      </c>
      <c r="I23" s="118" t="str">
        <f t="shared" ca="1" si="60"/>
        <v>n/a</v>
      </c>
      <c r="J23" s="118" t="str">
        <f t="shared" ca="1" si="60"/>
        <v>n/a</v>
      </c>
      <c r="K23" s="118" t="str">
        <f t="shared" ca="1" si="60"/>
        <v>n/a</v>
      </c>
      <c r="L23" s="118" t="str">
        <f t="shared" ca="1" si="60"/>
        <v>n/a</v>
      </c>
      <c r="M23" s="118" t="str">
        <f t="shared" ca="1" si="60"/>
        <v>n/a</v>
      </c>
      <c r="N23" s="118" t="str">
        <f t="shared" ca="1" si="60"/>
        <v>n/a</v>
      </c>
      <c r="O23" s="118" t="str">
        <f t="shared" ca="1" si="60"/>
        <v>n/a</v>
      </c>
      <c r="P23" s="118" t="str">
        <f t="shared" ca="1" si="60"/>
        <v>n/a</v>
      </c>
      <c r="Q23" s="118" t="str">
        <f t="shared" ca="1" si="60"/>
        <v>n/a</v>
      </c>
      <c r="R23" s="118" t="str">
        <f t="shared" ca="1" si="60"/>
        <v>n/a</v>
      </c>
      <c r="S23" s="118" t="str">
        <f t="shared" ca="1" si="60"/>
        <v>n/a</v>
      </c>
      <c r="T23" s="118" t="str">
        <f t="shared" ca="1" si="60"/>
        <v>n/a</v>
      </c>
      <c r="U23" s="118" t="str">
        <f t="shared" ca="1" si="60"/>
        <v>n/a</v>
      </c>
      <c r="V23" s="118" t="str">
        <f t="shared" ca="1" si="60"/>
        <v>n/a</v>
      </c>
      <c r="W23" s="118" t="str">
        <f t="shared" ca="1" si="60"/>
        <v>n/a</v>
      </c>
      <c r="X23" s="118" t="str">
        <f t="shared" ca="1" si="60"/>
        <v>n/a</v>
      </c>
      <c r="Y23" s="118" t="str">
        <f t="shared" ca="1" si="60"/>
        <v>n/a</v>
      </c>
      <c r="Z23" s="118" t="str">
        <f t="shared" ca="1" si="60"/>
        <v>n/a</v>
      </c>
      <c r="AA23" s="118" t="str">
        <f t="shared" ca="1" si="60"/>
        <v>n/a</v>
      </c>
      <c r="AB23" s="118" t="str">
        <f t="shared" ca="1" si="60"/>
        <v>n/a</v>
      </c>
      <c r="AC23" s="118" t="str">
        <f t="shared" ca="1" si="60"/>
        <v>n/a</v>
      </c>
      <c r="AD23" s="118" t="str">
        <f t="shared" ca="1" si="60"/>
        <v>n/a</v>
      </c>
      <c r="AE23" s="118" t="str">
        <f t="shared" ca="1" si="60"/>
        <v>n/a</v>
      </c>
      <c r="AF23" s="118" t="str">
        <f t="shared" ca="1" si="60"/>
        <v>n/a</v>
      </c>
      <c r="AG23" s="118" t="str">
        <f t="shared" ca="1" si="60"/>
        <v>n/a</v>
      </c>
      <c r="AH23" s="118" t="str">
        <f t="shared" ca="1" si="60"/>
        <v>n/a</v>
      </c>
      <c r="AI23" s="118" t="str">
        <f t="shared" ca="1" si="60"/>
        <v>n/a</v>
      </c>
      <c r="AJ23" s="118" t="str">
        <f t="shared" ca="1" si="60"/>
        <v>n/a</v>
      </c>
      <c r="AK23" s="118" t="str">
        <f t="shared" ca="1" si="60"/>
        <v>n/a</v>
      </c>
      <c r="AL23" s="118" t="str">
        <f t="shared" ca="1" si="60"/>
        <v>n/a</v>
      </c>
      <c r="AM23" s="118" t="str">
        <f t="shared" ca="1" si="60"/>
        <v>n/a</v>
      </c>
      <c r="AN23" s="118" t="str">
        <f t="shared" ca="1" si="60"/>
        <v>n/a</v>
      </c>
      <c r="AO23" s="118" t="str">
        <f t="shared" ca="1" si="60"/>
        <v>n/a</v>
      </c>
      <c r="AP23" s="118" t="str">
        <f t="shared" ca="1" si="60"/>
        <v>n/a</v>
      </c>
      <c r="AQ23" s="118" t="str">
        <f t="shared" ca="1" si="60"/>
        <v>n/a</v>
      </c>
      <c r="AR23" s="118" t="str">
        <f t="shared" ca="1" si="60"/>
        <v>n/a</v>
      </c>
      <c r="AS23" s="118" t="str">
        <f t="shared" ca="1" si="60"/>
        <v>n/a</v>
      </c>
      <c r="AT23" s="118" t="str">
        <f t="shared" ca="1" si="60"/>
        <v>n/a</v>
      </c>
      <c r="AU23" s="118" t="str">
        <f t="shared" ca="1" si="60"/>
        <v>n/a</v>
      </c>
      <c r="AV23" s="118" t="str">
        <f t="shared" ca="1" si="60"/>
        <v>n/a</v>
      </c>
      <c r="AW23" s="118" t="str">
        <f t="shared" ca="1" si="60"/>
        <v>n/a</v>
      </c>
      <c r="AX23" s="118" t="str">
        <f t="shared" ca="1" si="60"/>
        <v>n/a</v>
      </c>
      <c r="AY23" s="118" t="str">
        <f t="shared" ca="1" si="60"/>
        <v>n/a</v>
      </c>
      <c r="AZ23" s="118" t="str">
        <f t="shared" ca="1" si="60"/>
        <v>n/a</v>
      </c>
      <c r="BA23" s="118" t="str">
        <f t="shared" ca="1" si="60"/>
        <v>n/a</v>
      </c>
      <c r="BB23" s="118" t="str">
        <f t="shared" ca="1" si="60"/>
        <v>n/a</v>
      </c>
      <c r="BC23" s="118" t="str">
        <f t="shared" ca="1" si="60"/>
        <v>n/a</v>
      </c>
      <c r="BD23" s="118" t="str">
        <f t="shared" ca="1" si="60"/>
        <v>n/a</v>
      </c>
      <c r="BE23" s="118" t="str">
        <f t="shared" ca="1" si="60"/>
        <v>n/a</v>
      </c>
      <c r="BF23" s="118" t="str">
        <f t="shared" ca="1" si="60"/>
        <v>n/a</v>
      </c>
      <c r="BG23" s="118" t="str">
        <f t="shared" ca="1" si="60"/>
        <v>n/a</v>
      </c>
      <c r="BH23" s="118" t="str">
        <f t="shared" ca="1" si="60"/>
        <v>n/a</v>
      </c>
      <c r="BI23" s="118" t="str">
        <f t="shared" ca="1" si="60"/>
        <v>n/a</v>
      </c>
      <c r="BJ23" s="118" t="str">
        <f t="shared" ca="1" si="60"/>
        <v>n/a</v>
      </c>
      <c r="BK23" s="118" t="str">
        <f t="shared" ca="1" si="60"/>
        <v>n/a</v>
      </c>
      <c r="BL23" s="118" t="str">
        <f t="shared" ca="1" si="60"/>
        <v>n/a</v>
      </c>
      <c r="BM23" s="118" t="str">
        <f t="shared" ca="1" si="60"/>
        <v>n/a</v>
      </c>
      <c r="BN23" s="118" t="str">
        <f t="shared" ca="1" si="60"/>
        <v>n/a</v>
      </c>
      <c r="BO23" s="118" t="str">
        <f t="shared" ca="1" si="60"/>
        <v>n/a</v>
      </c>
      <c r="BP23" s="118" t="str">
        <f t="shared" ca="1" si="60"/>
        <v>n/a</v>
      </c>
      <c r="BQ23" s="118" t="str">
        <f t="shared" ca="1" si="60"/>
        <v>n/a</v>
      </c>
      <c r="BR23" s="118" t="str">
        <f t="shared" ref="BR23:DT23" ca="1" si="61">IFERROR(BR22/BR12, "n/a")</f>
        <v>n/a</v>
      </c>
      <c r="BS23" s="118" t="str">
        <f t="shared" ca="1" si="61"/>
        <v>n/a</v>
      </c>
      <c r="BT23" s="118" t="str">
        <f t="shared" ca="1" si="61"/>
        <v>n/a</v>
      </c>
      <c r="BU23" s="118" t="str">
        <f t="shared" ca="1" si="61"/>
        <v>n/a</v>
      </c>
      <c r="BV23" s="118" t="str">
        <f t="shared" ca="1" si="61"/>
        <v>n/a</v>
      </c>
      <c r="BW23" s="118" t="str">
        <f t="shared" ca="1" si="61"/>
        <v>n/a</v>
      </c>
      <c r="BX23" s="118" t="str">
        <f t="shared" ca="1" si="61"/>
        <v>n/a</v>
      </c>
      <c r="BY23" s="118" t="str">
        <f t="shared" ca="1" si="61"/>
        <v>n/a</v>
      </c>
      <c r="BZ23" s="118" t="str">
        <f t="shared" ca="1" si="61"/>
        <v>n/a</v>
      </c>
      <c r="CA23" s="118" t="str">
        <f t="shared" ca="1" si="61"/>
        <v>n/a</v>
      </c>
      <c r="CB23" s="118" t="str">
        <f t="shared" ca="1" si="61"/>
        <v>n/a</v>
      </c>
      <c r="CC23" s="118" t="str">
        <f t="shared" ca="1" si="61"/>
        <v>n/a</v>
      </c>
      <c r="CD23" s="118" t="str">
        <f t="shared" ca="1" si="61"/>
        <v>n/a</v>
      </c>
      <c r="CE23" s="118" t="str">
        <f t="shared" ca="1" si="61"/>
        <v>n/a</v>
      </c>
      <c r="CF23" s="118" t="str">
        <f t="shared" ca="1" si="61"/>
        <v>n/a</v>
      </c>
      <c r="CG23" s="118" t="str">
        <f t="shared" ca="1" si="61"/>
        <v>n/a</v>
      </c>
      <c r="CH23" s="118" t="str">
        <f t="shared" ca="1" si="61"/>
        <v>n/a</v>
      </c>
      <c r="CI23" s="118" t="str">
        <f t="shared" ca="1" si="61"/>
        <v>n/a</v>
      </c>
      <c r="CJ23" s="118" t="str">
        <f t="shared" ca="1" si="61"/>
        <v>n/a</v>
      </c>
      <c r="CK23" s="118" t="str">
        <f t="shared" ca="1" si="61"/>
        <v>n/a</v>
      </c>
      <c r="CL23" s="118" t="str">
        <f t="shared" ca="1" si="61"/>
        <v>n/a</v>
      </c>
      <c r="CM23" s="118" t="str">
        <f t="shared" ca="1" si="61"/>
        <v>n/a</v>
      </c>
      <c r="CN23" s="118" t="str">
        <f t="shared" ca="1" si="61"/>
        <v>n/a</v>
      </c>
      <c r="CO23" s="118" t="str">
        <f t="shared" ca="1" si="61"/>
        <v>n/a</v>
      </c>
      <c r="CP23" s="118" t="str">
        <f t="shared" ca="1" si="61"/>
        <v>n/a</v>
      </c>
      <c r="CQ23" s="118" t="str">
        <f t="shared" ca="1" si="61"/>
        <v>n/a</v>
      </c>
      <c r="CR23" s="118" t="str">
        <f t="shared" ca="1" si="61"/>
        <v>n/a</v>
      </c>
      <c r="CS23" s="118" t="str">
        <f t="shared" ca="1" si="61"/>
        <v>n/a</v>
      </c>
      <c r="CT23" s="118" t="str">
        <f t="shared" ca="1" si="61"/>
        <v>n/a</v>
      </c>
      <c r="CU23" s="118" t="str">
        <f t="shared" ca="1" si="61"/>
        <v>n/a</v>
      </c>
      <c r="CV23" s="118" t="str">
        <f t="shared" ca="1" si="61"/>
        <v>n/a</v>
      </c>
      <c r="CW23" s="118" t="str">
        <f t="shared" ca="1" si="61"/>
        <v>n/a</v>
      </c>
      <c r="CX23" s="118" t="str">
        <f t="shared" ca="1" si="61"/>
        <v>n/a</v>
      </c>
      <c r="CY23" s="118" t="str">
        <f t="shared" ca="1" si="61"/>
        <v>n/a</v>
      </c>
      <c r="CZ23" s="118" t="str">
        <f t="shared" ca="1" si="61"/>
        <v>n/a</v>
      </c>
      <c r="DA23" s="118" t="str">
        <f t="shared" ca="1" si="61"/>
        <v>n/a</v>
      </c>
      <c r="DB23" s="118" t="str">
        <f t="shared" ca="1" si="61"/>
        <v>n/a</v>
      </c>
      <c r="DC23" s="118" t="str">
        <f t="shared" ca="1" si="61"/>
        <v>n/a</v>
      </c>
      <c r="DD23" s="118" t="str">
        <f t="shared" ca="1" si="61"/>
        <v>n/a</v>
      </c>
      <c r="DE23" s="118" t="str">
        <f t="shared" ca="1" si="61"/>
        <v>n/a</v>
      </c>
      <c r="DF23" s="118" t="str">
        <f t="shared" ca="1" si="61"/>
        <v>n/a</v>
      </c>
      <c r="DG23" s="118" t="str">
        <f t="shared" ca="1" si="61"/>
        <v>n/a</v>
      </c>
      <c r="DH23" s="118" t="str">
        <f t="shared" ca="1" si="61"/>
        <v>n/a</v>
      </c>
      <c r="DI23" s="118" t="str">
        <f t="shared" ca="1" si="61"/>
        <v>n/a</v>
      </c>
      <c r="DJ23" s="118" t="str">
        <f t="shared" ca="1" si="61"/>
        <v>n/a</v>
      </c>
      <c r="DK23" s="118" t="str">
        <f t="shared" ca="1" si="61"/>
        <v>n/a</v>
      </c>
      <c r="DL23" s="118" t="str">
        <f t="shared" ca="1" si="61"/>
        <v>n/a</v>
      </c>
      <c r="DM23" s="118" t="str">
        <f t="shared" ca="1" si="61"/>
        <v>n/a</v>
      </c>
      <c r="DN23" s="118" t="str">
        <f t="shared" ca="1" si="61"/>
        <v>n/a</v>
      </c>
      <c r="DO23" s="118" t="str">
        <f t="shared" ca="1" si="61"/>
        <v>n/a</v>
      </c>
      <c r="DP23" s="118" t="str">
        <f t="shared" ca="1" si="61"/>
        <v>n/a</v>
      </c>
      <c r="DQ23" s="118" t="str">
        <f t="shared" ca="1" si="61"/>
        <v>n/a</v>
      </c>
      <c r="DR23" s="118" t="str">
        <f t="shared" ca="1" si="61"/>
        <v>n/a</v>
      </c>
      <c r="DS23" s="118" t="str">
        <f t="shared" ca="1" si="61"/>
        <v>n/a</v>
      </c>
      <c r="DT23" s="118" t="str">
        <f t="shared" ca="1" si="61"/>
        <v>n/a</v>
      </c>
    </row>
    <row r="24" spans="2:124" x14ac:dyDescent="0.25">
      <c r="B24" s="1" t="s">
        <v>19</v>
      </c>
      <c r="C24" s="32"/>
      <c r="D24" s="42" t="str">
        <f>'Inputs &amp; Summary'!$G$20</f>
        <v>n/a</v>
      </c>
      <c r="E24" s="36" t="e">
        <f>IF(AND('Inputs &amp; Summary'!$D$43="Yes",E$8&lt;='Inputs &amp; Summary'!$D$44),-'Inputs &amp; Summary'!$D$45,-'Inputs &amp; Summary'!$D$42)</f>
        <v>#VALUE!</v>
      </c>
      <c r="F24" s="36" t="e">
        <f>IF(AND('Inputs &amp; Summary'!$D$43="Yes",F$8&lt;='Inputs &amp; Summary'!$D$44),-'Inputs &amp; Summary'!$D$45,-'Inputs &amp; Summary'!$D$42)</f>
        <v>#VALUE!</v>
      </c>
      <c r="G24" s="36" t="e">
        <f>IF(AND('Inputs &amp; Summary'!$D$43="Yes",G$8&lt;='Inputs &amp; Summary'!$D$44),-'Inputs &amp; Summary'!$D$45,-'Inputs &amp; Summary'!$D$42)</f>
        <v>#VALUE!</v>
      </c>
      <c r="H24" s="36" t="e">
        <f>IF(AND('Inputs &amp; Summary'!$D$43="Yes",H$8&lt;='Inputs &amp; Summary'!$D$44),-'Inputs &amp; Summary'!$D$45,-'Inputs &amp; Summary'!$D$42)</f>
        <v>#VALUE!</v>
      </c>
      <c r="I24" s="36" t="e">
        <f>IF(AND('Inputs &amp; Summary'!$D$43="Yes",I$8&lt;='Inputs &amp; Summary'!$D$44),-'Inputs &amp; Summary'!$D$45,-'Inputs &amp; Summary'!$D$42)</f>
        <v>#VALUE!</v>
      </c>
      <c r="J24" s="36" t="e">
        <f>IF(AND('Inputs &amp; Summary'!$D$43="Yes",J$8&lt;='Inputs &amp; Summary'!$D$44),-'Inputs &amp; Summary'!$D$45,-'Inputs &amp; Summary'!$D$42)</f>
        <v>#VALUE!</v>
      </c>
      <c r="K24" s="36" t="e">
        <f>IF(AND('Inputs &amp; Summary'!$D$43="Yes",K$8&lt;='Inputs &amp; Summary'!$D$44),-'Inputs &amp; Summary'!$D$45,-'Inputs &amp; Summary'!$D$42)</f>
        <v>#VALUE!</v>
      </c>
      <c r="L24" s="36" t="e">
        <f>IF(AND('Inputs &amp; Summary'!$D$43="Yes",L$8&lt;='Inputs &amp; Summary'!$D$44),-'Inputs &amp; Summary'!$D$45,-'Inputs &amp; Summary'!$D$42)</f>
        <v>#VALUE!</v>
      </c>
      <c r="M24" s="36" t="e">
        <f>IF(AND('Inputs &amp; Summary'!$D$43="Yes",M$8&lt;='Inputs &amp; Summary'!$D$44),-'Inputs &amp; Summary'!$D$45,-'Inputs &amp; Summary'!$D$42)</f>
        <v>#VALUE!</v>
      </c>
      <c r="N24" s="36" t="e">
        <f>IF(AND('Inputs &amp; Summary'!$D$43="Yes",N$8&lt;='Inputs &amp; Summary'!$D$44),-'Inputs &amp; Summary'!$D$45,-'Inputs &amp; Summary'!$D$42)</f>
        <v>#VALUE!</v>
      </c>
      <c r="O24" s="36" t="e">
        <f>IF(AND('Inputs &amp; Summary'!$D$43="Yes",O$8&lt;='Inputs &amp; Summary'!$D$44),-'Inputs &amp; Summary'!$D$45,-'Inputs &amp; Summary'!$D$42)</f>
        <v>#VALUE!</v>
      </c>
      <c r="P24" s="36" t="e">
        <f>IF(AND('Inputs &amp; Summary'!$D$43="Yes",P$8&lt;='Inputs &amp; Summary'!$D$44),-'Inputs &amp; Summary'!$D$45,-'Inputs &amp; Summary'!$D$42)</f>
        <v>#VALUE!</v>
      </c>
      <c r="Q24" s="36" t="e">
        <f>IF(AND('Inputs &amp; Summary'!$D$43="Yes",Q$8&lt;='Inputs &amp; Summary'!$D$44),-'Inputs &amp; Summary'!$D$45,-'Inputs &amp; Summary'!$D$42)</f>
        <v>#VALUE!</v>
      </c>
      <c r="R24" s="36" t="e">
        <f>IF(AND('Inputs &amp; Summary'!$D$43="Yes",R$8&lt;='Inputs &amp; Summary'!$D$44),-'Inputs &amp; Summary'!$D$45,-'Inputs &amp; Summary'!$D$42)</f>
        <v>#VALUE!</v>
      </c>
      <c r="S24" s="36" t="e">
        <f>IF(AND('Inputs &amp; Summary'!$D$43="Yes",S$8&lt;='Inputs &amp; Summary'!$D$44),-'Inputs &amp; Summary'!$D$45,-'Inputs &amp; Summary'!$D$42)</f>
        <v>#VALUE!</v>
      </c>
      <c r="T24" s="36" t="e">
        <f>IF(AND('Inputs &amp; Summary'!$D$43="Yes",T$8&lt;='Inputs &amp; Summary'!$D$44),-'Inputs &amp; Summary'!$D$45,-'Inputs &amp; Summary'!$D$42)</f>
        <v>#VALUE!</v>
      </c>
      <c r="U24" s="36" t="e">
        <f>IF(AND('Inputs &amp; Summary'!$D$43="Yes",U$8&lt;='Inputs &amp; Summary'!$D$44),-'Inputs &amp; Summary'!$D$45,-'Inputs &amp; Summary'!$D$42)</f>
        <v>#VALUE!</v>
      </c>
      <c r="V24" s="36" t="e">
        <f>IF(AND('Inputs &amp; Summary'!$D$43="Yes",V$8&lt;='Inputs &amp; Summary'!$D$44),-'Inputs &amp; Summary'!$D$45,-'Inputs &amp; Summary'!$D$42)</f>
        <v>#VALUE!</v>
      </c>
      <c r="W24" s="36" t="e">
        <f>IF(AND('Inputs &amp; Summary'!$D$43="Yes",W$8&lt;='Inputs &amp; Summary'!$D$44),-'Inputs &amp; Summary'!$D$45,-'Inputs &amp; Summary'!$D$42)</f>
        <v>#VALUE!</v>
      </c>
      <c r="X24" s="36" t="e">
        <f>IF(AND('Inputs &amp; Summary'!$D$43="Yes",X$8&lt;='Inputs &amp; Summary'!$D$44),-'Inputs &amp; Summary'!$D$45,-'Inputs &amp; Summary'!$D$42)</f>
        <v>#VALUE!</v>
      </c>
      <c r="Y24" s="36" t="e">
        <f>IF(AND('Inputs &amp; Summary'!$D$43="Yes",Y$8&lt;='Inputs &amp; Summary'!$D$44),-'Inputs &amp; Summary'!$D$45,-'Inputs &amp; Summary'!$D$42)</f>
        <v>#VALUE!</v>
      </c>
      <c r="Z24" s="36" t="e">
        <f>IF(AND('Inputs &amp; Summary'!$D$43="Yes",Z$8&lt;='Inputs &amp; Summary'!$D$44),-'Inputs &amp; Summary'!$D$45,-'Inputs &amp; Summary'!$D$42)</f>
        <v>#VALUE!</v>
      </c>
      <c r="AA24" s="36" t="e">
        <f>IF(AND('Inputs &amp; Summary'!$D$43="Yes",AA$8&lt;='Inputs &amp; Summary'!$D$44),-'Inputs &amp; Summary'!$D$45,-'Inputs &amp; Summary'!$D$42)</f>
        <v>#VALUE!</v>
      </c>
      <c r="AB24" s="36" t="e">
        <f>IF(AND('Inputs &amp; Summary'!$D$43="Yes",AB$8&lt;='Inputs &amp; Summary'!$D$44),-'Inputs &amp; Summary'!$D$45,-'Inputs &amp; Summary'!$D$42)</f>
        <v>#VALUE!</v>
      </c>
      <c r="AC24" s="36" t="e">
        <f>IF(AND('Inputs &amp; Summary'!$D$43="Yes",AC$8&lt;='Inputs &amp; Summary'!$D$44),-'Inputs &amp; Summary'!$D$45,-'Inputs &amp; Summary'!$D$42)</f>
        <v>#VALUE!</v>
      </c>
      <c r="AD24" s="36" t="e">
        <f>IF(AND('Inputs &amp; Summary'!$D$43="Yes",AD$8&lt;='Inputs &amp; Summary'!$D$44),-'Inputs &amp; Summary'!$D$45,-'Inputs &amp; Summary'!$D$42)</f>
        <v>#VALUE!</v>
      </c>
      <c r="AE24" s="36" t="e">
        <f>IF(AND('Inputs &amp; Summary'!$D$43="Yes",AE$8&lt;='Inputs &amp; Summary'!$D$44),-'Inputs &amp; Summary'!$D$45,-'Inputs &amp; Summary'!$D$42)</f>
        <v>#VALUE!</v>
      </c>
      <c r="AF24" s="36" t="e">
        <f>IF(AND('Inputs &amp; Summary'!$D$43="Yes",AF$8&lt;='Inputs &amp; Summary'!$D$44),-'Inputs &amp; Summary'!$D$45,-'Inputs &amp; Summary'!$D$42)</f>
        <v>#VALUE!</v>
      </c>
      <c r="AG24" s="36" t="e">
        <f>IF(AND('Inputs &amp; Summary'!$D$43="Yes",AG$8&lt;='Inputs &amp; Summary'!$D$44),-'Inputs &amp; Summary'!$D$45,-'Inputs &amp; Summary'!$D$42)</f>
        <v>#VALUE!</v>
      </c>
      <c r="AH24" s="36" t="e">
        <f>IF(AND('Inputs &amp; Summary'!$D$43="Yes",AH$8&lt;='Inputs &amp; Summary'!$D$44),-'Inputs &amp; Summary'!$D$45,-'Inputs &amp; Summary'!$D$42)</f>
        <v>#VALUE!</v>
      </c>
      <c r="AI24" s="36" t="e">
        <f>IF(AND('Inputs &amp; Summary'!$D$43="Yes",AI$8&lt;='Inputs &amp; Summary'!$D$44),-'Inputs &amp; Summary'!$D$45,-'Inputs &amp; Summary'!$D$42)</f>
        <v>#VALUE!</v>
      </c>
      <c r="AJ24" s="36" t="e">
        <f>IF(AND('Inputs &amp; Summary'!$D$43="Yes",AJ$8&lt;='Inputs &amp; Summary'!$D$44),-'Inputs &amp; Summary'!$D$45,-'Inputs &amp; Summary'!$D$42)</f>
        <v>#VALUE!</v>
      </c>
      <c r="AK24" s="36" t="e">
        <f>IF(AND('Inputs &amp; Summary'!$D$43="Yes",AK$8&lt;='Inputs &amp; Summary'!$D$44),-'Inputs &amp; Summary'!$D$45,-'Inputs &amp; Summary'!$D$42)</f>
        <v>#VALUE!</v>
      </c>
      <c r="AL24" s="36" t="e">
        <f>IF(AND('Inputs &amp; Summary'!$D$43="Yes",AL$8&lt;='Inputs &amp; Summary'!$D$44),-'Inputs &amp; Summary'!$D$45,-'Inputs &amp; Summary'!$D$42)</f>
        <v>#VALUE!</v>
      </c>
      <c r="AM24" s="36" t="e">
        <f>IF(AND('Inputs &amp; Summary'!$D$43="Yes",AM$8&lt;='Inputs &amp; Summary'!$D$44),-'Inputs &amp; Summary'!$D$45,-'Inputs &amp; Summary'!$D$42)</f>
        <v>#VALUE!</v>
      </c>
      <c r="AN24" s="36" t="e">
        <f>IF(AND('Inputs &amp; Summary'!$D$43="Yes",AN$8&lt;='Inputs &amp; Summary'!$D$44),-'Inputs &amp; Summary'!$D$45,-'Inputs &amp; Summary'!$D$42)</f>
        <v>#VALUE!</v>
      </c>
      <c r="AO24" s="36" t="e">
        <f>IF(AND('Inputs &amp; Summary'!$D$43="Yes",AO$8&lt;='Inputs &amp; Summary'!$D$44),-'Inputs &amp; Summary'!$D$45,-'Inputs &amp; Summary'!$D$42)</f>
        <v>#VALUE!</v>
      </c>
      <c r="AP24" s="36" t="e">
        <f>IF(AND('Inputs &amp; Summary'!$D$43="Yes",AP$8&lt;='Inputs &amp; Summary'!$D$44),-'Inputs &amp; Summary'!$D$45,-'Inputs &amp; Summary'!$D$42)</f>
        <v>#VALUE!</v>
      </c>
      <c r="AQ24" s="36" t="e">
        <f>IF(AND('Inputs &amp; Summary'!$D$43="Yes",AQ$8&lt;='Inputs &amp; Summary'!$D$44),-'Inputs &amp; Summary'!$D$45,-'Inputs &amp; Summary'!$D$42)</f>
        <v>#VALUE!</v>
      </c>
      <c r="AR24" s="36" t="e">
        <f>IF(AND('Inputs &amp; Summary'!$D$43="Yes",AR$8&lt;='Inputs &amp; Summary'!$D$44),-'Inputs &amp; Summary'!$D$45,-'Inputs &amp; Summary'!$D$42)</f>
        <v>#VALUE!</v>
      </c>
      <c r="AS24" s="36" t="e">
        <f>IF(AND('Inputs &amp; Summary'!$D$43="Yes",AS$8&lt;='Inputs &amp; Summary'!$D$44),-'Inputs &amp; Summary'!$D$45,-'Inputs &amp; Summary'!$D$42)</f>
        <v>#VALUE!</v>
      </c>
      <c r="AT24" s="36" t="e">
        <f>IF(AND('Inputs &amp; Summary'!$D$43="Yes",AT$8&lt;='Inputs &amp; Summary'!$D$44),-'Inputs &amp; Summary'!$D$45,-'Inputs &amp; Summary'!$D$42)</f>
        <v>#VALUE!</v>
      </c>
      <c r="AU24" s="36" t="e">
        <f>IF(AND('Inputs &amp; Summary'!$D$43="Yes",AU$8&lt;='Inputs &amp; Summary'!$D$44),-'Inputs &amp; Summary'!$D$45,-'Inputs &amp; Summary'!$D$42)</f>
        <v>#VALUE!</v>
      </c>
      <c r="AV24" s="36" t="e">
        <f>IF(AND('Inputs &amp; Summary'!$D$43="Yes",AV$8&lt;='Inputs &amp; Summary'!$D$44),-'Inputs &amp; Summary'!$D$45,-'Inputs &amp; Summary'!$D$42)</f>
        <v>#VALUE!</v>
      </c>
      <c r="AW24" s="36" t="e">
        <f>IF(AND('Inputs &amp; Summary'!$D$43="Yes",AW$8&lt;='Inputs &amp; Summary'!$D$44),-'Inputs &amp; Summary'!$D$45,-'Inputs &amp; Summary'!$D$42)</f>
        <v>#VALUE!</v>
      </c>
      <c r="AX24" s="36" t="e">
        <f>IF(AND('Inputs &amp; Summary'!$D$43="Yes",AX$8&lt;='Inputs &amp; Summary'!$D$44),-'Inputs &amp; Summary'!$D$45,-'Inputs &amp; Summary'!$D$42)</f>
        <v>#VALUE!</v>
      </c>
      <c r="AY24" s="36" t="e">
        <f>IF(AND('Inputs &amp; Summary'!$D$43="Yes",AY$8&lt;='Inputs &amp; Summary'!$D$44),-'Inputs &amp; Summary'!$D$45,-'Inputs &amp; Summary'!$D$42)</f>
        <v>#VALUE!</v>
      </c>
      <c r="AZ24" s="36" t="e">
        <f>IF(AND('Inputs &amp; Summary'!$D$43="Yes",AZ$8&lt;='Inputs &amp; Summary'!$D$44),-'Inputs &amp; Summary'!$D$45,-'Inputs &amp; Summary'!$D$42)</f>
        <v>#VALUE!</v>
      </c>
      <c r="BA24" s="36" t="e">
        <f>IF(AND('Inputs &amp; Summary'!$D$43="Yes",BA$8&lt;='Inputs &amp; Summary'!$D$44),-'Inputs &amp; Summary'!$D$45,-'Inputs &amp; Summary'!$D$42)</f>
        <v>#VALUE!</v>
      </c>
      <c r="BB24" s="36" t="e">
        <f>IF(AND('Inputs &amp; Summary'!$D$43="Yes",BB$8&lt;='Inputs &amp; Summary'!$D$44),-'Inputs &amp; Summary'!$D$45,-'Inputs &amp; Summary'!$D$42)</f>
        <v>#VALUE!</v>
      </c>
      <c r="BC24" s="36" t="e">
        <f>IF(AND('Inputs &amp; Summary'!$D$43="Yes",BC$8&lt;='Inputs &amp; Summary'!$D$44),-'Inputs &amp; Summary'!$D$45,-'Inputs &amp; Summary'!$D$42)</f>
        <v>#VALUE!</v>
      </c>
      <c r="BD24" s="36" t="e">
        <f>IF(AND('Inputs &amp; Summary'!$D$43="Yes",BD$8&lt;='Inputs &amp; Summary'!$D$44),-'Inputs &amp; Summary'!$D$45,-'Inputs &amp; Summary'!$D$42)</f>
        <v>#VALUE!</v>
      </c>
      <c r="BE24" s="36" t="e">
        <f>IF(AND('Inputs &amp; Summary'!$D$43="Yes",BE$8&lt;='Inputs &amp; Summary'!$D$44),-'Inputs &amp; Summary'!$D$45,-'Inputs &amp; Summary'!$D$42)</f>
        <v>#VALUE!</v>
      </c>
      <c r="BF24" s="36" t="e">
        <f>IF(AND('Inputs &amp; Summary'!$D$43="Yes",BF$8&lt;='Inputs &amp; Summary'!$D$44),-'Inputs &amp; Summary'!$D$45,-'Inputs &amp; Summary'!$D$42)</f>
        <v>#VALUE!</v>
      </c>
      <c r="BG24" s="36" t="e">
        <f>IF(AND('Inputs &amp; Summary'!$D$43="Yes",BG$8&lt;='Inputs &amp; Summary'!$D$44),-'Inputs &amp; Summary'!$D$45,-'Inputs &amp; Summary'!$D$42)</f>
        <v>#VALUE!</v>
      </c>
      <c r="BH24" s="36" t="e">
        <f>IF(AND('Inputs &amp; Summary'!$D$43="Yes",BH$8&lt;='Inputs &amp; Summary'!$D$44),-'Inputs &amp; Summary'!$D$45,-'Inputs &amp; Summary'!$D$42)</f>
        <v>#VALUE!</v>
      </c>
      <c r="BI24" s="36" t="e">
        <f>IF(AND('Inputs &amp; Summary'!$D$43="Yes",BI$8&lt;='Inputs &amp; Summary'!$D$44),-'Inputs &amp; Summary'!$D$45,-'Inputs &amp; Summary'!$D$42)</f>
        <v>#VALUE!</v>
      </c>
      <c r="BJ24" s="36" t="e">
        <f>IF(AND('Inputs &amp; Summary'!$D$43="Yes",BJ$8&lt;='Inputs &amp; Summary'!$D$44),-'Inputs &amp; Summary'!$D$45,-'Inputs &amp; Summary'!$D$42)</f>
        <v>#VALUE!</v>
      </c>
      <c r="BK24" s="36" t="e">
        <f>IF(AND('Inputs &amp; Summary'!$D$43="Yes",BK$8&lt;='Inputs &amp; Summary'!$D$44),-'Inputs &amp; Summary'!$D$45,-'Inputs &amp; Summary'!$D$42)</f>
        <v>#VALUE!</v>
      </c>
      <c r="BL24" s="36" t="e">
        <f>IF(AND('Inputs &amp; Summary'!$D$43="Yes",BL$8&lt;='Inputs &amp; Summary'!$D$44),-'Inputs &amp; Summary'!$D$45,-'Inputs &amp; Summary'!$D$42)</f>
        <v>#VALUE!</v>
      </c>
      <c r="BM24" s="36" t="e">
        <f>IF(AND('Inputs &amp; Summary'!$D$43="Yes",BM$8&lt;='Inputs &amp; Summary'!$D$44),-'Inputs &amp; Summary'!$D$45,-'Inputs &amp; Summary'!$D$42)</f>
        <v>#VALUE!</v>
      </c>
      <c r="BN24" s="36" t="e">
        <f>IF(AND('Inputs &amp; Summary'!$D$43="Yes",BN$8&lt;='Inputs &amp; Summary'!$D$44),-'Inputs &amp; Summary'!$D$45,-'Inputs &amp; Summary'!$D$42)</f>
        <v>#VALUE!</v>
      </c>
      <c r="BO24" s="36" t="e">
        <f>IF(AND('Inputs &amp; Summary'!$D$43="Yes",BO$8&lt;='Inputs &amp; Summary'!$D$44),-'Inputs &amp; Summary'!$D$45,-'Inputs &amp; Summary'!$D$42)</f>
        <v>#VALUE!</v>
      </c>
      <c r="BP24" s="36" t="e">
        <f>IF(AND('Inputs &amp; Summary'!$D$43="Yes",BP$8&lt;='Inputs &amp; Summary'!$D$44),-'Inputs &amp; Summary'!$D$45,-'Inputs &amp; Summary'!$D$42)</f>
        <v>#VALUE!</v>
      </c>
      <c r="BQ24" s="36" t="e">
        <f>IF(AND('Inputs &amp; Summary'!$D$43="Yes",BQ$8&lt;='Inputs &amp; Summary'!$D$44),-'Inputs &amp; Summary'!$D$45,-'Inputs &amp; Summary'!$D$42)</f>
        <v>#VALUE!</v>
      </c>
      <c r="BR24" s="36" t="e">
        <f>IF(AND('Inputs &amp; Summary'!$D$43="Yes",BR$8&lt;='Inputs &amp; Summary'!$D$44),-'Inputs &amp; Summary'!$D$45,-'Inputs &amp; Summary'!$D$42)</f>
        <v>#VALUE!</v>
      </c>
      <c r="BS24" s="36" t="e">
        <f>IF(AND('Inputs &amp; Summary'!$D$43="Yes",BS$8&lt;='Inputs &amp; Summary'!$D$44),-'Inputs &amp; Summary'!$D$45,-'Inputs &amp; Summary'!$D$42)</f>
        <v>#VALUE!</v>
      </c>
      <c r="BT24" s="36" t="e">
        <f>IF(AND('Inputs &amp; Summary'!$D$43="Yes",BT$8&lt;='Inputs &amp; Summary'!$D$44),-'Inputs &amp; Summary'!$D$45,-'Inputs &amp; Summary'!$D$42)</f>
        <v>#VALUE!</v>
      </c>
      <c r="BU24" s="36" t="e">
        <f>IF(AND('Inputs &amp; Summary'!$D$43="Yes",BU$8&lt;='Inputs &amp; Summary'!$D$44),-'Inputs &amp; Summary'!$D$45,-'Inputs &amp; Summary'!$D$42)</f>
        <v>#VALUE!</v>
      </c>
      <c r="BV24" s="36" t="e">
        <f>IF(AND('Inputs &amp; Summary'!$D$43="Yes",BV$8&lt;='Inputs &amp; Summary'!$D$44),-'Inputs &amp; Summary'!$D$45,-'Inputs &amp; Summary'!$D$42)</f>
        <v>#VALUE!</v>
      </c>
      <c r="BW24" s="36" t="e">
        <f>IF(AND('Inputs &amp; Summary'!$D$43="Yes",BW$8&lt;='Inputs &amp; Summary'!$D$44),-'Inputs &amp; Summary'!$D$45,-'Inputs &amp; Summary'!$D$42)</f>
        <v>#VALUE!</v>
      </c>
      <c r="BX24" s="36" t="e">
        <f>IF(AND('Inputs &amp; Summary'!$D$43="Yes",BX$8&lt;='Inputs &amp; Summary'!$D$44),-'Inputs &amp; Summary'!$D$45,-'Inputs &amp; Summary'!$D$42)</f>
        <v>#VALUE!</v>
      </c>
      <c r="BY24" s="36" t="e">
        <f>IF(AND('Inputs &amp; Summary'!$D$43="Yes",BY$8&lt;='Inputs &amp; Summary'!$D$44),-'Inputs &amp; Summary'!$D$45,-'Inputs &amp; Summary'!$D$42)</f>
        <v>#VALUE!</v>
      </c>
      <c r="BZ24" s="36" t="e">
        <f>IF(AND('Inputs &amp; Summary'!$D$43="Yes",BZ$8&lt;='Inputs &amp; Summary'!$D$44),-'Inputs &amp; Summary'!$D$45,-'Inputs &amp; Summary'!$D$42)</f>
        <v>#VALUE!</v>
      </c>
      <c r="CA24" s="36" t="e">
        <f>IF(AND('Inputs &amp; Summary'!$D$43="Yes",CA$8&lt;='Inputs &amp; Summary'!$D$44),-'Inputs &amp; Summary'!$D$45,-'Inputs &amp; Summary'!$D$42)</f>
        <v>#VALUE!</v>
      </c>
      <c r="CB24" s="36" t="e">
        <f>IF(AND('Inputs &amp; Summary'!$D$43="Yes",CB$8&lt;='Inputs &amp; Summary'!$D$44),-'Inputs &amp; Summary'!$D$45,-'Inputs &amp; Summary'!$D$42)</f>
        <v>#VALUE!</v>
      </c>
      <c r="CC24" s="36" t="e">
        <f>IF(AND('Inputs &amp; Summary'!$D$43="Yes",CC$8&lt;='Inputs &amp; Summary'!$D$44),-'Inputs &amp; Summary'!$D$45,-'Inputs &amp; Summary'!$D$42)</f>
        <v>#VALUE!</v>
      </c>
      <c r="CD24" s="36" t="e">
        <f>IF(AND('Inputs &amp; Summary'!$D$43="Yes",CD$8&lt;='Inputs &amp; Summary'!$D$44),-'Inputs &amp; Summary'!$D$45,-'Inputs &amp; Summary'!$D$42)</f>
        <v>#VALUE!</v>
      </c>
      <c r="CE24" s="36" t="e">
        <f>IF(AND('Inputs &amp; Summary'!$D$43="Yes",CE$8&lt;='Inputs &amp; Summary'!$D$44),-'Inputs &amp; Summary'!$D$45,-'Inputs &amp; Summary'!$D$42)</f>
        <v>#VALUE!</v>
      </c>
      <c r="CF24" s="36" t="e">
        <f>IF(AND('Inputs &amp; Summary'!$D$43="Yes",CF$8&lt;='Inputs &amp; Summary'!$D$44),-'Inputs &amp; Summary'!$D$45,-'Inputs &amp; Summary'!$D$42)</f>
        <v>#VALUE!</v>
      </c>
      <c r="CG24" s="36" t="e">
        <f>IF(AND('Inputs &amp; Summary'!$D$43="Yes",CG$8&lt;='Inputs &amp; Summary'!$D$44),-'Inputs &amp; Summary'!$D$45,-'Inputs &amp; Summary'!$D$42)</f>
        <v>#VALUE!</v>
      </c>
      <c r="CH24" s="36" t="e">
        <f>IF(AND('Inputs &amp; Summary'!$D$43="Yes",CH$8&lt;='Inputs &amp; Summary'!$D$44),-'Inputs &amp; Summary'!$D$45,-'Inputs &amp; Summary'!$D$42)</f>
        <v>#VALUE!</v>
      </c>
      <c r="CI24" s="36" t="e">
        <f>IF(AND('Inputs &amp; Summary'!$D$43="Yes",CI$8&lt;='Inputs &amp; Summary'!$D$44),-'Inputs &amp; Summary'!$D$45,-'Inputs &amp; Summary'!$D$42)</f>
        <v>#VALUE!</v>
      </c>
      <c r="CJ24" s="36" t="e">
        <f>IF(AND('Inputs &amp; Summary'!$D$43="Yes",CJ$8&lt;='Inputs &amp; Summary'!$D$44),-'Inputs &amp; Summary'!$D$45,-'Inputs &amp; Summary'!$D$42)</f>
        <v>#VALUE!</v>
      </c>
      <c r="CK24" s="36" t="e">
        <f>IF(AND('Inputs &amp; Summary'!$D$43="Yes",CK$8&lt;='Inputs &amp; Summary'!$D$44),-'Inputs &amp; Summary'!$D$45,-'Inputs &amp; Summary'!$D$42)</f>
        <v>#VALUE!</v>
      </c>
      <c r="CL24" s="36" t="e">
        <f>IF(AND('Inputs &amp; Summary'!$D$43="Yes",CL$8&lt;='Inputs &amp; Summary'!$D$44),-'Inputs &amp; Summary'!$D$45,-'Inputs &amp; Summary'!$D$42)</f>
        <v>#VALUE!</v>
      </c>
      <c r="CM24" s="36" t="e">
        <f>IF(AND('Inputs &amp; Summary'!$D$43="Yes",CM$8&lt;='Inputs &amp; Summary'!$D$44),-'Inputs &amp; Summary'!$D$45,-'Inputs &amp; Summary'!$D$42)</f>
        <v>#VALUE!</v>
      </c>
      <c r="CN24" s="36" t="e">
        <f>IF(AND('Inputs &amp; Summary'!$D$43="Yes",CN$8&lt;='Inputs &amp; Summary'!$D$44),-'Inputs &amp; Summary'!$D$45,-'Inputs &amp; Summary'!$D$42)</f>
        <v>#VALUE!</v>
      </c>
      <c r="CO24" s="36" t="e">
        <f>IF(AND('Inputs &amp; Summary'!$D$43="Yes",CO$8&lt;='Inputs &amp; Summary'!$D$44),-'Inputs &amp; Summary'!$D$45,-'Inputs &amp; Summary'!$D$42)</f>
        <v>#VALUE!</v>
      </c>
      <c r="CP24" s="36" t="e">
        <f>IF(AND('Inputs &amp; Summary'!$D$43="Yes",CP$8&lt;='Inputs &amp; Summary'!$D$44),-'Inputs &amp; Summary'!$D$45,-'Inputs &amp; Summary'!$D$42)</f>
        <v>#VALUE!</v>
      </c>
      <c r="CQ24" s="36" t="e">
        <f>IF(AND('Inputs &amp; Summary'!$D$43="Yes",CQ$8&lt;='Inputs &amp; Summary'!$D$44),-'Inputs &amp; Summary'!$D$45,-'Inputs &amp; Summary'!$D$42)</f>
        <v>#VALUE!</v>
      </c>
      <c r="CR24" s="36" t="e">
        <f>IF(AND('Inputs &amp; Summary'!$D$43="Yes",CR$8&lt;='Inputs &amp; Summary'!$D$44),-'Inputs &amp; Summary'!$D$45,-'Inputs &amp; Summary'!$D$42)</f>
        <v>#VALUE!</v>
      </c>
      <c r="CS24" s="36" t="e">
        <f>IF(AND('Inputs &amp; Summary'!$D$43="Yes",CS$8&lt;='Inputs &amp; Summary'!$D$44),-'Inputs &amp; Summary'!$D$45,-'Inputs &amp; Summary'!$D$42)</f>
        <v>#VALUE!</v>
      </c>
      <c r="CT24" s="36" t="e">
        <f>IF(AND('Inputs &amp; Summary'!$D$43="Yes",CT$8&lt;='Inputs &amp; Summary'!$D$44),-'Inputs &amp; Summary'!$D$45,-'Inputs &amp; Summary'!$D$42)</f>
        <v>#VALUE!</v>
      </c>
      <c r="CU24" s="36" t="e">
        <f>IF(AND('Inputs &amp; Summary'!$D$43="Yes",CU$8&lt;='Inputs &amp; Summary'!$D$44),-'Inputs &amp; Summary'!$D$45,-'Inputs &amp; Summary'!$D$42)</f>
        <v>#VALUE!</v>
      </c>
      <c r="CV24" s="36" t="e">
        <f>IF(AND('Inputs &amp; Summary'!$D$43="Yes",CV$8&lt;='Inputs &amp; Summary'!$D$44),-'Inputs &amp; Summary'!$D$45,-'Inputs &amp; Summary'!$D$42)</f>
        <v>#VALUE!</v>
      </c>
      <c r="CW24" s="36" t="e">
        <f>IF(AND('Inputs &amp; Summary'!$D$43="Yes",CW$8&lt;='Inputs &amp; Summary'!$D$44),-'Inputs &amp; Summary'!$D$45,-'Inputs &amp; Summary'!$D$42)</f>
        <v>#VALUE!</v>
      </c>
      <c r="CX24" s="36" t="e">
        <f>IF(AND('Inputs &amp; Summary'!$D$43="Yes",CX$8&lt;='Inputs &amp; Summary'!$D$44),-'Inputs &amp; Summary'!$D$45,-'Inputs &amp; Summary'!$D$42)</f>
        <v>#VALUE!</v>
      </c>
      <c r="CY24" s="36" t="e">
        <f>IF(AND('Inputs &amp; Summary'!$D$43="Yes",CY$8&lt;='Inputs &amp; Summary'!$D$44),-'Inputs &amp; Summary'!$D$45,-'Inputs &amp; Summary'!$D$42)</f>
        <v>#VALUE!</v>
      </c>
      <c r="CZ24" s="36" t="e">
        <f>IF(AND('Inputs &amp; Summary'!$D$43="Yes",CZ$8&lt;='Inputs &amp; Summary'!$D$44),-'Inputs &amp; Summary'!$D$45,-'Inputs &amp; Summary'!$D$42)</f>
        <v>#VALUE!</v>
      </c>
      <c r="DA24" s="36" t="e">
        <f>IF(AND('Inputs &amp; Summary'!$D$43="Yes",DA$8&lt;='Inputs &amp; Summary'!$D$44),-'Inputs &amp; Summary'!$D$45,-'Inputs &amp; Summary'!$D$42)</f>
        <v>#VALUE!</v>
      </c>
      <c r="DB24" s="36" t="e">
        <f>IF(AND('Inputs &amp; Summary'!$D$43="Yes",DB$8&lt;='Inputs &amp; Summary'!$D$44),-'Inputs &amp; Summary'!$D$45,-'Inputs &amp; Summary'!$D$42)</f>
        <v>#VALUE!</v>
      </c>
      <c r="DC24" s="36" t="e">
        <f>IF(AND('Inputs &amp; Summary'!$D$43="Yes",DC$8&lt;='Inputs &amp; Summary'!$D$44),-'Inputs &amp; Summary'!$D$45,-'Inputs &amp; Summary'!$D$42)</f>
        <v>#VALUE!</v>
      </c>
      <c r="DD24" s="36" t="e">
        <f>IF(AND('Inputs &amp; Summary'!$D$43="Yes",DD$8&lt;='Inputs &amp; Summary'!$D$44),-'Inputs &amp; Summary'!$D$45,-'Inputs &amp; Summary'!$D$42)</f>
        <v>#VALUE!</v>
      </c>
      <c r="DE24" s="36" t="e">
        <f>IF(AND('Inputs &amp; Summary'!$D$43="Yes",DE$8&lt;='Inputs &amp; Summary'!$D$44),-'Inputs &amp; Summary'!$D$45,-'Inputs &amp; Summary'!$D$42)</f>
        <v>#VALUE!</v>
      </c>
      <c r="DF24" s="36" t="e">
        <f>IF(AND('Inputs &amp; Summary'!$D$43="Yes",DF$8&lt;='Inputs &amp; Summary'!$D$44),-'Inputs &amp; Summary'!$D$45,-'Inputs &amp; Summary'!$D$42)</f>
        <v>#VALUE!</v>
      </c>
      <c r="DG24" s="36" t="e">
        <f>IF(AND('Inputs &amp; Summary'!$D$43="Yes",DG$8&lt;='Inputs &amp; Summary'!$D$44),-'Inputs &amp; Summary'!$D$45,-'Inputs &amp; Summary'!$D$42)</f>
        <v>#VALUE!</v>
      </c>
      <c r="DH24" s="36" t="e">
        <f>IF(AND('Inputs &amp; Summary'!$D$43="Yes",DH$8&lt;='Inputs &amp; Summary'!$D$44),-'Inputs &amp; Summary'!$D$45,-'Inputs &amp; Summary'!$D$42)</f>
        <v>#VALUE!</v>
      </c>
      <c r="DI24" s="36" t="e">
        <f>IF(AND('Inputs &amp; Summary'!$D$43="Yes",DI$8&lt;='Inputs &amp; Summary'!$D$44),-'Inputs &amp; Summary'!$D$45,-'Inputs &amp; Summary'!$D$42)</f>
        <v>#VALUE!</v>
      </c>
      <c r="DJ24" s="36" t="e">
        <f>IF(AND('Inputs &amp; Summary'!$D$43="Yes",DJ$8&lt;='Inputs &amp; Summary'!$D$44),-'Inputs &amp; Summary'!$D$45,-'Inputs &amp; Summary'!$D$42)</f>
        <v>#VALUE!</v>
      </c>
      <c r="DK24" s="36" t="e">
        <f>IF(AND('Inputs &amp; Summary'!$D$43="Yes",DK$8&lt;='Inputs &amp; Summary'!$D$44),-'Inputs &amp; Summary'!$D$45,-'Inputs &amp; Summary'!$D$42)</f>
        <v>#VALUE!</v>
      </c>
      <c r="DL24" s="36" t="e">
        <f>IF(AND('Inputs &amp; Summary'!$D$43="Yes",DL$8&lt;='Inputs &amp; Summary'!$D$44),-'Inputs &amp; Summary'!$D$45,-'Inputs &amp; Summary'!$D$42)</f>
        <v>#VALUE!</v>
      </c>
      <c r="DM24" s="36" t="e">
        <f>IF(AND('Inputs &amp; Summary'!$D$43="Yes",DM$8&lt;='Inputs &amp; Summary'!$D$44),-'Inputs &amp; Summary'!$D$45,-'Inputs &amp; Summary'!$D$42)</f>
        <v>#VALUE!</v>
      </c>
      <c r="DN24" s="36" t="e">
        <f>IF(AND('Inputs &amp; Summary'!$D$43="Yes",DN$8&lt;='Inputs &amp; Summary'!$D$44),-'Inputs &amp; Summary'!$D$45,-'Inputs &amp; Summary'!$D$42)</f>
        <v>#VALUE!</v>
      </c>
      <c r="DO24" s="36" t="e">
        <f>IF(AND('Inputs &amp; Summary'!$D$43="Yes",DO$8&lt;='Inputs &amp; Summary'!$D$44),-'Inputs &amp; Summary'!$D$45,-'Inputs &amp; Summary'!$D$42)</f>
        <v>#VALUE!</v>
      </c>
      <c r="DP24" s="36" t="e">
        <f>IF(AND('Inputs &amp; Summary'!$D$43="Yes",DP$8&lt;='Inputs &amp; Summary'!$D$44),-'Inputs &amp; Summary'!$D$45,-'Inputs &amp; Summary'!$D$42)</f>
        <v>#VALUE!</v>
      </c>
      <c r="DQ24" s="36" t="e">
        <f>IF(AND('Inputs &amp; Summary'!$D$43="Yes",DQ$8&lt;='Inputs &amp; Summary'!$D$44),-'Inputs &amp; Summary'!$D$45,-'Inputs &amp; Summary'!$D$42)</f>
        <v>#VALUE!</v>
      </c>
      <c r="DR24" s="36" t="e">
        <f>IF(AND('Inputs &amp; Summary'!$D$43="Yes",DR$8&lt;='Inputs &amp; Summary'!$D$44),-'Inputs &amp; Summary'!$D$45,-'Inputs &amp; Summary'!$D$42)</f>
        <v>#VALUE!</v>
      </c>
      <c r="DS24" s="36" t="e">
        <f>IF(AND('Inputs &amp; Summary'!$D$43="Yes",DS$8&lt;='Inputs &amp; Summary'!$D$44),-'Inputs &amp; Summary'!$D$45,-'Inputs &amp; Summary'!$D$42)</f>
        <v>#VALUE!</v>
      </c>
      <c r="DT24" s="36" t="e">
        <f>IF(AND('Inputs &amp; Summary'!$D$43="Yes",DT$8&lt;='Inputs &amp; Summary'!$D$44),-'Inputs &amp; Summary'!$D$45,-'Inputs &amp; Summary'!$D$42)</f>
        <v>#VALUE!</v>
      </c>
    </row>
    <row r="25" spans="2:124" x14ac:dyDescent="0.25">
      <c r="B25" s="14" t="s">
        <v>20</v>
      </c>
      <c r="C25" s="33"/>
      <c r="D25" s="31"/>
      <c r="E25" s="13" t="e">
        <f ca="1">E22+E24</f>
        <v>#VALUE!</v>
      </c>
      <c r="F25" s="13" t="e">
        <f t="shared" ref="F25:BQ25" ca="1" si="62">F22+F24</f>
        <v>#VALUE!</v>
      </c>
      <c r="G25" s="13" t="e">
        <f t="shared" ca="1" si="62"/>
        <v>#VALUE!</v>
      </c>
      <c r="H25" s="13" t="e">
        <f t="shared" ca="1" si="62"/>
        <v>#VALUE!</v>
      </c>
      <c r="I25" s="13" t="e">
        <f t="shared" ca="1" si="62"/>
        <v>#VALUE!</v>
      </c>
      <c r="J25" s="13" t="e">
        <f t="shared" ca="1" si="62"/>
        <v>#VALUE!</v>
      </c>
      <c r="K25" s="13" t="e">
        <f t="shared" ca="1" si="62"/>
        <v>#VALUE!</v>
      </c>
      <c r="L25" s="13" t="e">
        <f t="shared" ca="1" si="62"/>
        <v>#VALUE!</v>
      </c>
      <c r="M25" s="13" t="e">
        <f t="shared" ca="1" si="62"/>
        <v>#VALUE!</v>
      </c>
      <c r="N25" s="13" t="e">
        <f t="shared" ca="1" si="62"/>
        <v>#VALUE!</v>
      </c>
      <c r="O25" s="13" t="e">
        <f t="shared" ca="1" si="62"/>
        <v>#VALUE!</v>
      </c>
      <c r="P25" s="13" t="e">
        <f t="shared" ca="1" si="62"/>
        <v>#VALUE!</v>
      </c>
      <c r="Q25" s="13" t="e">
        <f t="shared" ca="1" si="62"/>
        <v>#VALUE!</v>
      </c>
      <c r="R25" s="13" t="e">
        <f t="shared" ca="1" si="62"/>
        <v>#VALUE!</v>
      </c>
      <c r="S25" s="13" t="e">
        <f t="shared" ca="1" si="62"/>
        <v>#VALUE!</v>
      </c>
      <c r="T25" s="13" t="e">
        <f t="shared" ca="1" si="62"/>
        <v>#VALUE!</v>
      </c>
      <c r="U25" s="13" t="e">
        <f t="shared" ca="1" si="62"/>
        <v>#VALUE!</v>
      </c>
      <c r="V25" s="13" t="e">
        <f t="shared" ca="1" si="62"/>
        <v>#VALUE!</v>
      </c>
      <c r="W25" s="13" t="e">
        <f t="shared" ca="1" si="62"/>
        <v>#VALUE!</v>
      </c>
      <c r="X25" s="13" t="e">
        <f t="shared" ca="1" si="62"/>
        <v>#VALUE!</v>
      </c>
      <c r="Y25" s="13" t="e">
        <f t="shared" ca="1" si="62"/>
        <v>#VALUE!</v>
      </c>
      <c r="Z25" s="13" t="e">
        <f t="shared" ca="1" si="62"/>
        <v>#VALUE!</v>
      </c>
      <c r="AA25" s="13" t="e">
        <f t="shared" ca="1" si="62"/>
        <v>#VALUE!</v>
      </c>
      <c r="AB25" s="13" t="e">
        <f t="shared" ca="1" si="62"/>
        <v>#VALUE!</v>
      </c>
      <c r="AC25" s="13" t="e">
        <f t="shared" ca="1" si="62"/>
        <v>#VALUE!</v>
      </c>
      <c r="AD25" s="13" t="e">
        <f t="shared" ca="1" si="62"/>
        <v>#VALUE!</v>
      </c>
      <c r="AE25" s="13" t="e">
        <f t="shared" ca="1" si="62"/>
        <v>#VALUE!</v>
      </c>
      <c r="AF25" s="13" t="e">
        <f t="shared" ca="1" si="62"/>
        <v>#VALUE!</v>
      </c>
      <c r="AG25" s="13" t="e">
        <f t="shared" ca="1" si="62"/>
        <v>#VALUE!</v>
      </c>
      <c r="AH25" s="13" t="e">
        <f t="shared" ca="1" si="62"/>
        <v>#VALUE!</v>
      </c>
      <c r="AI25" s="13" t="e">
        <f t="shared" ca="1" si="62"/>
        <v>#VALUE!</v>
      </c>
      <c r="AJ25" s="13" t="e">
        <f t="shared" ca="1" si="62"/>
        <v>#VALUE!</v>
      </c>
      <c r="AK25" s="13" t="e">
        <f t="shared" ca="1" si="62"/>
        <v>#VALUE!</v>
      </c>
      <c r="AL25" s="13" t="e">
        <f t="shared" ca="1" si="62"/>
        <v>#VALUE!</v>
      </c>
      <c r="AM25" s="13" t="e">
        <f t="shared" ca="1" si="62"/>
        <v>#VALUE!</v>
      </c>
      <c r="AN25" s="13" t="e">
        <f t="shared" ca="1" si="62"/>
        <v>#VALUE!</v>
      </c>
      <c r="AO25" s="13" t="e">
        <f t="shared" ca="1" si="62"/>
        <v>#VALUE!</v>
      </c>
      <c r="AP25" s="13" t="e">
        <f t="shared" ca="1" si="62"/>
        <v>#VALUE!</v>
      </c>
      <c r="AQ25" s="13" t="e">
        <f t="shared" ca="1" si="62"/>
        <v>#VALUE!</v>
      </c>
      <c r="AR25" s="13" t="e">
        <f t="shared" ca="1" si="62"/>
        <v>#VALUE!</v>
      </c>
      <c r="AS25" s="13" t="e">
        <f t="shared" ca="1" si="62"/>
        <v>#VALUE!</v>
      </c>
      <c r="AT25" s="13" t="e">
        <f t="shared" ca="1" si="62"/>
        <v>#VALUE!</v>
      </c>
      <c r="AU25" s="13" t="e">
        <f t="shared" ca="1" si="62"/>
        <v>#VALUE!</v>
      </c>
      <c r="AV25" s="13" t="e">
        <f t="shared" ca="1" si="62"/>
        <v>#VALUE!</v>
      </c>
      <c r="AW25" s="13" t="e">
        <f t="shared" ca="1" si="62"/>
        <v>#VALUE!</v>
      </c>
      <c r="AX25" s="13" t="e">
        <f t="shared" ca="1" si="62"/>
        <v>#VALUE!</v>
      </c>
      <c r="AY25" s="13" t="e">
        <f t="shared" ca="1" si="62"/>
        <v>#VALUE!</v>
      </c>
      <c r="AZ25" s="13" t="e">
        <f t="shared" ca="1" si="62"/>
        <v>#VALUE!</v>
      </c>
      <c r="BA25" s="13" t="e">
        <f t="shared" ca="1" si="62"/>
        <v>#VALUE!</v>
      </c>
      <c r="BB25" s="13" t="e">
        <f t="shared" ca="1" si="62"/>
        <v>#VALUE!</v>
      </c>
      <c r="BC25" s="13" t="e">
        <f t="shared" ca="1" si="62"/>
        <v>#VALUE!</v>
      </c>
      <c r="BD25" s="13" t="e">
        <f t="shared" ca="1" si="62"/>
        <v>#VALUE!</v>
      </c>
      <c r="BE25" s="13" t="e">
        <f t="shared" ca="1" si="62"/>
        <v>#VALUE!</v>
      </c>
      <c r="BF25" s="13" t="e">
        <f t="shared" ca="1" si="62"/>
        <v>#VALUE!</v>
      </c>
      <c r="BG25" s="13" t="e">
        <f t="shared" ca="1" si="62"/>
        <v>#VALUE!</v>
      </c>
      <c r="BH25" s="13" t="e">
        <f t="shared" ca="1" si="62"/>
        <v>#VALUE!</v>
      </c>
      <c r="BI25" s="13" t="e">
        <f t="shared" ca="1" si="62"/>
        <v>#VALUE!</v>
      </c>
      <c r="BJ25" s="13" t="e">
        <f t="shared" ca="1" si="62"/>
        <v>#VALUE!</v>
      </c>
      <c r="BK25" s="13" t="e">
        <f t="shared" ca="1" si="62"/>
        <v>#VALUE!</v>
      </c>
      <c r="BL25" s="13" t="e">
        <f t="shared" ca="1" si="62"/>
        <v>#VALUE!</v>
      </c>
      <c r="BM25" s="13" t="e">
        <f t="shared" ca="1" si="62"/>
        <v>#VALUE!</v>
      </c>
      <c r="BN25" s="13" t="e">
        <f t="shared" ca="1" si="62"/>
        <v>#VALUE!</v>
      </c>
      <c r="BO25" s="13" t="e">
        <f t="shared" ca="1" si="62"/>
        <v>#VALUE!</v>
      </c>
      <c r="BP25" s="13" t="e">
        <f t="shared" ca="1" si="62"/>
        <v>#VALUE!</v>
      </c>
      <c r="BQ25" s="13" t="e">
        <f t="shared" ca="1" si="62"/>
        <v>#VALUE!</v>
      </c>
      <c r="BR25" s="13" t="e">
        <f t="shared" ref="BR25:DT25" ca="1" si="63">BR22+BR24</f>
        <v>#VALUE!</v>
      </c>
      <c r="BS25" s="13" t="e">
        <f t="shared" ca="1" si="63"/>
        <v>#VALUE!</v>
      </c>
      <c r="BT25" s="13" t="e">
        <f t="shared" ca="1" si="63"/>
        <v>#VALUE!</v>
      </c>
      <c r="BU25" s="13" t="e">
        <f t="shared" ca="1" si="63"/>
        <v>#VALUE!</v>
      </c>
      <c r="BV25" s="13" t="e">
        <f t="shared" ca="1" si="63"/>
        <v>#VALUE!</v>
      </c>
      <c r="BW25" s="13" t="e">
        <f t="shared" ca="1" si="63"/>
        <v>#VALUE!</v>
      </c>
      <c r="BX25" s="13" t="e">
        <f t="shared" ca="1" si="63"/>
        <v>#VALUE!</v>
      </c>
      <c r="BY25" s="13" t="e">
        <f t="shared" ca="1" si="63"/>
        <v>#VALUE!</v>
      </c>
      <c r="BZ25" s="13" t="e">
        <f t="shared" ca="1" si="63"/>
        <v>#VALUE!</v>
      </c>
      <c r="CA25" s="13" t="e">
        <f t="shared" ca="1" si="63"/>
        <v>#VALUE!</v>
      </c>
      <c r="CB25" s="13" t="e">
        <f t="shared" ca="1" si="63"/>
        <v>#VALUE!</v>
      </c>
      <c r="CC25" s="13" t="e">
        <f t="shared" ca="1" si="63"/>
        <v>#VALUE!</v>
      </c>
      <c r="CD25" s="13" t="e">
        <f t="shared" ca="1" si="63"/>
        <v>#VALUE!</v>
      </c>
      <c r="CE25" s="13" t="e">
        <f t="shared" ca="1" si="63"/>
        <v>#VALUE!</v>
      </c>
      <c r="CF25" s="13" t="e">
        <f t="shared" ca="1" si="63"/>
        <v>#VALUE!</v>
      </c>
      <c r="CG25" s="13" t="e">
        <f t="shared" ca="1" si="63"/>
        <v>#VALUE!</v>
      </c>
      <c r="CH25" s="13" t="e">
        <f t="shared" ca="1" si="63"/>
        <v>#VALUE!</v>
      </c>
      <c r="CI25" s="13" t="e">
        <f t="shared" ca="1" si="63"/>
        <v>#VALUE!</v>
      </c>
      <c r="CJ25" s="13" t="e">
        <f t="shared" ca="1" si="63"/>
        <v>#VALUE!</v>
      </c>
      <c r="CK25" s="13" t="e">
        <f t="shared" ca="1" si="63"/>
        <v>#VALUE!</v>
      </c>
      <c r="CL25" s="13" t="e">
        <f t="shared" ca="1" si="63"/>
        <v>#VALUE!</v>
      </c>
      <c r="CM25" s="13" t="e">
        <f t="shared" ca="1" si="63"/>
        <v>#VALUE!</v>
      </c>
      <c r="CN25" s="13" t="e">
        <f t="shared" ca="1" si="63"/>
        <v>#VALUE!</v>
      </c>
      <c r="CO25" s="13" t="e">
        <f t="shared" ca="1" si="63"/>
        <v>#VALUE!</v>
      </c>
      <c r="CP25" s="13" t="e">
        <f t="shared" ca="1" si="63"/>
        <v>#VALUE!</v>
      </c>
      <c r="CQ25" s="13" t="e">
        <f t="shared" ca="1" si="63"/>
        <v>#VALUE!</v>
      </c>
      <c r="CR25" s="13" t="e">
        <f t="shared" ca="1" si="63"/>
        <v>#VALUE!</v>
      </c>
      <c r="CS25" s="13" t="e">
        <f t="shared" ca="1" si="63"/>
        <v>#VALUE!</v>
      </c>
      <c r="CT25" s="13" t="e">
        <f t="shared" ca="1" si="63"/>
        <v>#VALUE!</v>
      </c>
      <c r="CU25" s="13" t="e">
        <f t="shared" ca="1" si="63"/>
        <v>#VALUE!</v>
      </c>
      <c r="CV25" s="13" t="e">
        <f t="shared" ca="1" si="63"/>
        <v>#VALUE!</v>
      </c>
      <c r="CW25" s="13" t="e">
        <f t="shared" ca="1" si="63"/>
        <v>#VALUE!</v>
      </c>
      <c r="CX25" s="13" t="e">
        <f t="shared" ca="1" si="63"/>
        <v>#VALUE!</v>
      </c>
      <c r="CY25" s="13" t="e">
        <f t="shared" ca="1" si="63"/>
        <v>#VALUE!</v>
      </c>
      <c r="CZ25" s="13" t="e">
        <f t="shared" ca="1" si="63"/>
        <v>#VALUE!</v>
      </c>
      <c r="DA25" s="13" t="e">
        <f t="shared" ca="1" si="63"/>
        <v>#VALUE!</v>
      </c>
      <c r="DB25" s="13" t="e">
        <f t="shared" ca="1" si="63"/>
        <v>#VALUE!</v>
      </c>
      <c r="DC25" s="13" t="e">
        <f t="shared" ca="1" si="63"/>
        <v>#VALUE!</v>
      </c>
      <c r="DD25" s="13" t="e">
        <f t="shared" ca="1" si="63"/>
        <v>#VALUE!</v>
      </c>
      <c r="DE25" s="13" t="e">
        <f t="shared" ca="1" si="63"/>
        <v>#VALUE!</v>
      </c>
      <c r="DF25" s="13" t="e">
        <f t="shared" ca="1" si="63"/>
        <v>#VALUE!</v>
      </c>
      <c r="DG25" s="13" t="e">
        <f t="shared" ca="1" si="63"/>
        <v>#VALUE!</v>
      </c>
      <c r="DH25" s="13" t="e">
        <f t="shared" ca="1" si="63"/>
        <v>#VALUE!</v>
      </c>
      <c r="DI25" s="13" t="e">
        <f t="shared" ca="1" si="63"/>
        <v>#VALUE!</v>
      </c>
      <c r="DJ25" s="13" t="e">
        <f t="shared" ca="1" si="63"/>
        <v>#VALUE!</v>
      </c>
      <c r="DK25" s="13" t="e">
        <f t="shared" ca="1" si="63"/>
        <v>#VALUE!</v>
      </c>
      <c r="DL25" s="13" t="e">
        <f t="shared" ca="1" si="63"/>
        <v>#VALUE!</v>
      </c>
      <c r="DM25" s="13" t="e">
        <f t="shared" ca="1" si="63"/>
        <v>#VALUE!</v>
      </c>
      <c r="DN25" s="13" t="e">
        <f t="shared" ca="1" si="63"/>
        <v>#VALUE!</v>
      </c>
      <c r="DO25" s="13" t="e">
        <f t="shared" ca="1" si="63"/>
        <v>#VALUE!</v>
      </c>
      <c r="DP25" s="13" t="e">
        <f t="shared" ca="1" si="63"/>
        <v>#VALUE!</v>
      </c>
      <c r="DQ25" s="13" t="e">
        <f t="shared" ca="1" si="63"/>
        <v>#VALUE!</v>
      </c>
      <c r="DR25" s="13" t="e">
        <f t="shared" ca="1" si="63"/>
        <v>#VALUE!</v>
      </c>
      <c r="DS25" s="13" t="e">
        <f t="shared" ca="1" si="63"/>
        <v>#VALUE!</v>
      </c>
      <c r="DT25" s="13" t="e">
        <f t="shared" ca="1" si="63"/>
        <v>#VALUE!</v>
      </c>
    </row>
    <row r="26" spans="2:124" x14ac:dyDescent="0.25">
      <c r="B26" s="44" t="s">
        <v>21</v>
      </c>
      <c r="C26" s="33"/>
      <c r="D26" s="31"/>
      <c r="E26" s="120" t="e">
        <f ca="1">E22/-E24</f>
        <v>#VALUE!</v>
      </c>
      <c r="F26" s="120" t="e">
        <f t="shared" ref="F26:BQ26" ca="1" si="64">F22/-F24</f>
        <v>#VALUE!</v>
      </c>
      <c r="G26" s="120" t="e">
        <f t="shared" ca="1" si="64"/>
        <v>#VALUE!</v>
      </c>
      <c r="H26" s="120" t="e">
        <f t="shared" ca="1" si="64"/>
        <v>#VALUE!</v>
      </c>
      <c r="I26" s="120" t="e">
        <f t="shared" ca="1" si="64"/>
        <v>#VALUE!</v>
      </c>
      <c r="J26" s="120" t="e">
        <f t="shared" ca="1" si="64"/>
        <v>#VALUE!</v>
      </c>
      <c r="K26" s="120" t="e">
        <f t="shared" ca="1" si="64"/>
        <v>#VALUE!</v>
      </c>
      <c r="L26" s="120" t="e">
        <f t="shared" ca="1" si="64"/>
        <v>#VALUE!</v>
      </c>
      <c r="M26" s="120" t="e">
        <f t="shared" ca="1" si="64"/>
        <v>#VALUE!</v>
      </c>
      <c r="N26" s="120" t="e">
        <f t="shared" ca="1" si="64"/>
        <v>#VALUE!</v>
      </c>
      <c r="O26" s="120" t="e">
        <f t="shared" ca="1" si="64"/>
        <v>#VALUE!</v>
      </c>
      <c r="P26" s="120" t="e">
        <f t="shared" ca="1" si="64"/>
        <v>#VALUE!</v>
      </c>
      <c r="Q26" s="120" t="e">
        <f t="shared" ca="1" si="64"/>
        <v>#VALUE!</v>
      </c>
      <c r="R26" s="120" t="e">
        <f t="shared" ca="1" si="64"/>
        <v>#VALUE!</v>
      </c>
      <c r="S26" s="120" t="e">
        <f t="shared" ca="1" si="64"/>
        <v>#VALUE!</v>
      </c>
      <c r="T26" s="120" t="e">
        <f t="shared" ca="1" si="64"/>
        <v>#VALUE!</v>
      </c>
      <c r="U26" s="120" t="e">
        <f t="shared" ca="1" si="64"/>
        <v>#VALUE!</v>
      </c>
      <c r="V26" s="120" t="e">
        <f t="shared" ca="1" si="64"/>
        <v>#VALUE!</v>
      </c>
      <c r="W26" s="120" t="e">
        <f t="shared" ca="1" si="64"/>
        <v>#VALUE!</v>
      </c>
      <c r="X26" s="120" t="e">
        <f t="shared" ca="1" si="64"/>
        <v>#VALUE!</v>
      </c>
      <c r="Y26" s="120" t="e">
        <f t="shared" ca="1" si="64"/>
        <v>#VALUE!</v>
      </c>
      <c r="Z26" s="120" t="e">
        <f t="shared" ca="1" si="64"/>
        <v>#VALUE!</v>
      </c>
      <c r="AA26" s="120" t="e">
        <f t="shared" ca="1" si="64"/>
        <v>#VALUE!</v>
      </c>
      <c r="AB26" s="120" t="e">
        <f t="shared" ca="1" si="64"/>
        <v>#VALUE!</v>
      </c>
      <c r="AC26" s="120" t="e">
        <f t="shared" ca="1" si="64"/>
        <v>#VALUE!</v>
      </c>
      <c r="AD26" s="120" t="e">
        <f t="shared" ca="1" si="64"/>
        <v>#VALUE!</v>
      </c>
      <c r="AE26" s="120" t="e">
        <f t="shared" ca="1" si="64"/>
        <v>#VALUE!</v>
      </c>
      <c r="AF26" s="120" t="e">
        <f t="shared" ca="1" si="64"/>
        <v>#VALUE!</v>
      </c>
      <c r="AG26" s="120" t="e">
        <f t="shared" ca="1" si="64"/>
        <v>#VALUE!</v>
      </c>
      <c r="AH26" s="120" t="e">
        <f t="shared" ca="1" si="64"/>
        <v>#VALUE!</v>
      </c>
      <c r="AI26" s="120" t="e">
        <f t="shared" ca="1" si="64"/>
        <v>#VALUE!</v>
      </c>
      <c r="AJ26" s="120" t="e">
        <f t="shared" ca="1" si="64"/>
        <v>#VALUE!</v>
      </c>
      <c r="AK26" s="120" t="e">
        <f t="shared" ca="1" si="64"/>
        <v>#VALUE!</v>
      </c>
      <c r="AL26" s="120" t="e">
        <f t="shared" ca="1" si="64"/>
        <v>#VALUE!</v>
      </c>
      <c r="AM26" s="120" t="e">
        <f t="shared" ca="1" si="64"/>
        <v>#VALUE!</v>
      </c>
      <c r="AN26" s="120" t="e">
        <f t="shared" ca="1" si="64"/>
        <v>#VALUE!</v>
      </c>
      <c r="AO26" s="120" t="e">
        <f t="shared" ca="1" si="64"/>
        <v>#VALUE!</v>
      </c>
      <c r="AP26" s="120" t="e">
        <f t="shared" ca="1" si="64"/>
        <v>#VALUE!</v>
      </c>
      <c r="AQ26" s="120" t="e">
        <f t="shared" ca="1" si="64"/>
        <v>#VALUE!</v>
      </c>
      <c r="AR26" s="120" t="e">
        <f t="shared" ca="1" si="64"/>
        <v>#VALUE!</v>
      </c>
      <c r="AS26" s="120" t="e">
        <f t="shared" ca="1" si="64"/>
        <v>#VALUE!</v>
      </c>
      <c r="AT26" s="120" t="e">
        <f t="shared" ca="1" si="64"/>
        <v>#VALUE!</v>
      </c>
      <c r="AU26" s="120" t="e">
        <f t="shared" ca="1" si="64"/>
        <v>#VALUE!</v>
      </c>
      <c r="AV26" s="120" t="e">
        <f t="shared" ca="1" si="64"/>
        <v>#VALUE!</v>
      </c>
      <c r="AW26" s="120" t="e">
        <f t="shared" ca="1" si="64"/>
        <v>#VALUE!</v>
      </c>
      <c r="AX26" s="120" t="e">
        <f t="shared" ca="1" si="64"/>
        <v>#VALUE!</v>
      </c>
      <c r="AY26" s="120" t="e">
        <f t="shared" ca="1" si="64"/>
        <v>#VALUE!</v>
      </c>
      <c r="AZ26" s="120" t="e">
        <f t="shared" ca="1" si="64"/>
        <v>#VALUE!</v>
      </c>
      <c r="BA26" s="120" t="e">
        <f t="shared" ca="1" si="64"/>
        <v>#VALUE!</v>
      </c>
      <c r="BB26" s="120" t="e">
        <f t="shared" ca="1" si="64"/>
        <v>#VALUE!</v>
      </c>
      <c r="BC26" s="120" t="e">
        <f t="shared" ca="1" si="64"/>
        <v>#VALUE!</v>
      </c>
      <c r="BD26" s="120" t="e">
        <f t="shared" ca="1" si="64"/>
        <v>#VALUE!</v>
      </c>
      <c r="BE26" s="120" t="e">
        <f t="shared" ca="1" si="64"/>
        <v>#VALUE!</v>
      </c>
      <c r="BF26" s="120" t="e">
        <f t="shared" ca="1" si="64"/>
        <v>#VALUE!</v>
      </c>
      <c r="BG26" s="120" t="e">
        <f t="shared" ca="1" si="64"/>
        <v>#VALUE!</v>
      </c>
      <c r="BH26" s="120" t="e">
        <f t="shared" ca="1" si="64"/>
        <v>#VALUE!</v>
      </c>
      <c r="BI26" s="120" t="e">
        <f t="shared" ca="1" si="64"/>
        <v>#VALUE!</v>
      </c>
      <c r="BJ26" s="120" t="e">
        <f t="shared" ca="1" si="64"/>
        <v>#VALUE!</v>
      </c>
      <c r="BK26" s="120" t="e">
        <f t="shared" ca="1" si="64"/>
        <v>#VALUE!</v>
      </c>
      <c r="BL26" s="120" t="e">
        <f t="shared" ca="1" si="64"/>
        <v>#VALUE!</v>
      </c>
      <c r="BM26" s="120" t="e">
        <f t="shared" ca="1" si="64"/>
        <v>#VALUE!</v>
      </c>
      <c r="BN26" s="120" t="e">
        <f t="shared" ca="1" si="64"/>
        <v>#VALUE!</v>
      </c>
      <c r="BO26" s="120" t="e">
        <f t="shared" ca="1" si="64"/>
        <v>#VALUE!</v>
      </c>
      <c r="BP26" s="120" t="e">
        <f t="shared" ca="1" si="64"/>
        <v>#VALUE!</v>
      </c>
      <c r="BQ26" s="120" t="e">
        <f t="shared" ca="1" si="64"/>
        <v>#VALUE!</v>
      </c>
      <c r="BR26" s="120" t="e">
        <f t="shared" ref="BR26:DT26" ca="1" si="65">BR22/-BR24</f>
        <v>#VALUE!</v>
      </c>
      <c r="BS26" s="120" t="e">
        <f t="shared" ca="1" si="65"/>
        <v>#VALUE!</v>
      </c>
      <c r="BT26" s="120" t="e">
        <f t="shared" ca="1" si="65"/>
        <v>#VALUE!</v>
      </c>
      <c r="BU26" s="120" t="e">
        <f t="shared" ca="1" si="65"/>
        <v>#VALUE!</v>
      </c>
      <c r="BV26" s="120" t="e">
        <f t="shared" ca="1" si="65"/>
        <v>#VALUE!</v>
      </c>
      <c r="BW26" s="120" t="e">
        <f t="shared" ca="1" si="65"/>
        <v>#VALUE!</v>
      </c>
      <c r="BX26" s="120" t="e">
        <f t="shared" ca="1" si="65"/>
        <v>#VALUE!</v>
      </c>
      <c r="BY26" s="120" t="e">
        <f t="shared" ca="1" si="65"/>
        <v>#VALUE!</v>
      </c>
      <c r="BZ26" s="120" t="e">
        <f t="shared" ca="1" si="65"/>
        <v>#VALUE!</v>
      </c>
      <c r="CA26" s="120" t="e">
        <f t="shared" ca="1" si="65"/>
        <v>#VALUE!</v>
      </c>
      <c r="CB26" s="120" t="e">
        <f t="shared" ca="1" si="65"/>
        <v>#VALUE!</v>
      </c>
      <c r="CC26" s="120" t="e">
        <f t="shared" ca="1" si="65"/>
        <v>#VALUE!</v>
      </c>
      <c r="CD26" s="120" t="e">
        <f t="shared" ca="1" si="65"/>
        <v>#VALUE!</v>
      </c>
      <c r="CE26" s="120" t="e">
        <f t="shared" ca="1" si="65"/>
        <v>#VALUE!</v>
      </c>
      <c r="CF26" s="120" t="e">
        <f t="shared" ca="1" si="65"/>
        <v>#VALUE!</v>
      </c>
      <c r="CG26" s="120" t="e">
        <f t="shared" ca="1" si="65"/>
        <v>#VALUE!</v>
      </c>
      <c r="CH26" s="120" t="e">
        <f t="shared" ca="1" si="65"/>
        <v>#VALUE!</v>
      </c>
      <c r="CI26" s="120" t="e">
        <f t="shared" ca="1" si="65"/>
        <v>#VALUE!</v>
      </c>
      <c r="CJ26" s="120" t="e">
        <f t="shared" ca="1" si="65"/>
        <v>#VALUE!</v>
      </c>
      <c r="CK26" s="120" t="e">
        <f t="shared" ca="1" si="65"/>
        <v>#VALUE!</v>
      </c>
      <c r="CL26" s="120" t="e">
        <f t="shared" ca="1" si="65"/>
        <v>#VALUE!</v>
      </c>
      <c r="CM26" s="120" t="e">
        <f t="shared" ca="1" si="65"/>
        <v>#VALUE!</v>
      </c>
      <c r="CN26" s="120" t="e">
        <f t="shared" ca="1" si="65"/>
        <v>#VALUE!</v>
      </c>
      <c r="CO26" s="120" t="e">
        <f t="shared" ca="1" si="65"/>
        <v>#VALUE!</v>
      </c>
      <c r="CP26" s="120" t="e">
        <f t="shared" ca="1" si="65"/>
        <v>#VALUE!</v>
      </c>
      <c r="CQ26" s="120" t="e">
        <f t="shared" ca="1" si="65"/>
        <v>#VALUE!</v>
      </c>
      <c r="CR26" s="120" t="e">
        <f t="shared" ca="1" si="65"/>
        <v>#VALUE!</v>
      </c>
      <c r="CS26" s="120" t="e">
        <f t="shared" ca="1" si="65"/>
        <v>#VALUE!</v>
      </c>
      <c r="CT26" s="120" t="e">
        <f t="shared" ca="1" si="65"/>
        <v>#VALUE!</v>
      </c>
      <c r="CU26" s="120" t="e">
        <f t="shared" ca="1" si="65"/>
        <v>#VALUE!</v>
      </c>
      <c r="CV26" s="120" t="e">
        <f t="shared" ca="1" si="65"/>
        <v>#VALUE!</v>
      </c>
      <c r="CW26" s="120" t="e">
        <f t="shared" ca="1" si="65"/>
        <v>#VALUE!</v>
      </c>
      <c r="CX26" s="120" t="e">
        <f t="shared" ca="1" si="65"/>
        <v>#VALUE!</v>
      </c>
      <c r="CY26" s="120" t="e">
        <f t="shared" ca="1" si="65"/>
        <v>#VALUE!</v>
      </c>
      <c r="CZ26" s="120" t="e">
        <f t="shared" ca="1" si="65"/>
        <v>#VALUE!</v>
      </c>
      <c r="DA26" s="120" t="e">
        <f t="shared" ca="1" si="65"/>
        <v>#VALUE!</v>
      </c>
      <c r="DB26" s="120" t="e">
        <f t="shared" ca="1" si="65"/>
        <v>#VALUE!</v>
      </c>
      <c r="DC26" s="120" t="e">
        <f t="shared" ca="1" si="65"/>
        <v>#VALUE!</v>
      </c>
      <c r="DD26" s="120" t="e">
        <f t="shared" ca="1" si="65"/>
        <v>#VALUE!</v>
      </c>
      <c r="DE26" s="120" t="e">
        <f t="shared" ca="1" si="65"/>
        <v>#VALUE!</v>
      </c>
      <c r="DF26" s="120" t="e">
        <f t="shared" ca="1" si="65"/>
        <v>#VALUE!</v>
      </c>
      <c r="DG26" s="120" t="e">
        <f t="shared" ca="1" si="65"/>
        <v>#VALUE!</v>
      </c>
      <c r="DH26" s="120" t="e">
        <f t="shared" ca="1" si="65"/>
        <v>#VALUE!</v>
      </c>
      <c r="DI26" s="120" t="e">
        <f t="shared" ca="1" si="65"/>
        <v>#VALUE!</v>
      </c>
      <c r="DJ26" s="120" t="e">
        <f t="shared" ca="1" si="65"/>
        <v>#VALUE!</v>
      </c>
      <c r="DK26" s="120" t="e">
        <f t="shared" ca="1" si="65"/>
        <v>#VALUE!</v>
      </c>
      <c r="DL26" s="120" t="e">
        <f t="shared" ca="1" si="65"/>
        <v>#VALUE!</v>
      </c>
      <c r="DM26" s="120" t="e">
        <f t="shared" ca="1" si="65"/>
        <v>#VALUE!</v>
      </c>
      <c r="DN26" s="120" t="e">
        <f t="shared" ca="1" si="65"/>
        <v>#VALUE!</v>
      </c>
      <c r="DO26" s="120" t="e">
        <f t="shared" ca="1" si="65"/>
        <v>#VALUE!</v>
      </c>
      <c r="DP26" s="120" t="e">
        <f t="shared" ca="1" si="65"/>
        <v>#VALUE!</v>
      </c>
      <c r="DQ26" s="120" t="e">
        <f t="shared" ca="1" si="65"/>
        <v>#VALUE!</v>
      </c>
      <c r="DR26" s="120" t="e">
        <f t="shared" ca="1" si="65"/>
        <v>#VALUE!</v>
      </c>
      <c r="DS26" s="120" t="e">
        <f t="shared" ca="1" si="65"/>
        <v>#VALUE!</v>
      </c>
      <c r="DT26" s="120" t="e">
        <f t="shared" ca="1" si="65"/>
        <v>#VALUE!</v>
      </c>
    </row>
    <row r="28" spans="2:124" x14ac:dyDescent="0.25">
      <c r="B28" s="63" t="s">
        <v>56</v>
      </c>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4"/>
      <c r="AD28" s="64"/>
      <c r="AE28" s="64"/>
      <c r="AF28" s="64"/>
      <c r="AG28" s="64"/>
      <c r="AH28" s="64"/>
      <c r="AI28" s="64"/>
      <c r="AJ28" s="64"/>
      <c r="AK28" s="64"/>
      <c r="AL28" s="64"/>
      <c r="AM28" s="64"/>
      <c r="AN28" s="64"/>
      <c r="AO28" s="64"/>
      <c r="AP28" s="64"/>
      <c r="AQ28" s="64"/>
      <c r="AR28" s="64"/>
      <c r="AS28" s="64"/>
      <c r="AT28" s="64"/>
      <c r="AU28" s="64"/>
      <c r="AV28" s="64"/>
      <c r="AW28" s="64"/>
      <c r="AX28" s="64"/>
      <c r="AY28" s="64"/>
      <c r="AZ28" s="64"/>
      <c r="BA28" s="64"/>
      <c r="BB28" s="64"/>
      <c r="BC28" s="64"/>
      <c r="BD28" s="64"/>
      <c r="BE28" s="64"/>
      <c r="BF28" s="64"/>
      <c r="BG28" s="64"/>
      <c r="BH28" s="64"/>
      <c r="BI28" s="64"/>
      <c r="BJ28" s="64"/>
      <c r="BK28" s="64"/>
      <c r="BL28" s="64"/>
      <c r="BM28" s="64"/>
      <c r="BN28" s="64"/>
      <c r="BO28" s="64"/>
      <c r="BP28" s="64"/>
      <c r="BQ28" s="64"/>
      <c r="BR28" s="64"/>
      <c r="BS28" s="64"/>
      <c r="BT28" s="64"/>
      <c r="BU28" s="64"/>
      <c r="BV28" s="64"/>
      <c r="BW28" s="64"/>
      <c r="BX28" s="64"/>
      <c r="BY28" s="64"/>
      <c r="BZ28" s="64"/>
      <c r="CA28" s="64"/>
      <c r="CB28" s="64"/>
      <c r="CC28" s="64"/>
      <c r="CD28" s="64"/>
      <c r="CE28" s="64"/>
      <c r="CF28" s="64"/>
      <c r="CG28" s="64"/>
      <c r="CH28" s="64"/>
      <c r="CI28" s="64"/>
      <c r="CJ28" s="64"/>
      <c r="CK28" s="64"/>
      <c r="CL28" s="64"/>
      <c r="CM28" s="64"/>
      <c r="CN28" s="64"/>
      <c r="CO28" s="64"/>
      <c r="CP28" s="64"/>
      <c r="CQ28" s="64"/>
      <c r="CR28" s="64"/>
      <c r="CS28" s="64"/>
      <c r="CT28" s="64"/>
      <c r="CU28" s="64"/>
      <c r="CV28" s="64"/>
      <c r="CW28" s="64"/>
      <c r="CX28" s="64"/>
      <c r="CY28" s="64"/>
      <c r="CZ28" s="64"/>
      <c r="DA28" s="64"/>
      <c r="DB28" s="64"/>
      <c r="DC28" s="64"/>
      <c r="DD28" s="64"/>
      <c r="DE28" s="64"/>
      <c r="DF28" s="64"/>
      <c r="DG28" s="64"/>
      <c r="DH28" s="64"/>
      <c r="DI28" s="64"/>
      <c r="DJ28" s="64"/>
      <c r="DK28" s="64"/>
      <c r="DL28" s="64"/>
      <c r="DM28" s="64"/>
      <c r="DN28" s="64"/>
      <c r="DO28" s="64"/>
      <c r="DP28" s="64"/>
      <c r="DQ28" s="64"/>
      <c r="DR28" s="64"/>
      <c r="DS28" s="64"/>
      <c r="DT28" s="64"/>
    </row>
    <row r="29" spans="2:124" x14ac:dyDescent="0.25">
      <c r="B29" s="1" t="s">
        <v>48</v>
      </c>
      <c r="C29" s="33"/>
      <c r="D29" s="41" t="e">
        <f>-PurchasePrice</f>
        <v>#VALUE!</v>
      </c>
      <c r="E29" s="17">
        <v>0</v>
      </c>
      <c r="F29" s="17">
        <v>0</v>
      </c>
      <c r="G29" s="17">
        <v>0</v>
      </c>
      <c r="H29" s="17">
        <v>0</v>
      </c>
      <c r="I29" s="17">
        <v>0</v>
      </c>
      <c r="J29" s="17">
        <v>0</v>
      </c>
      <c r="K29" s="17">
        <v>0</v>
      </c>
      <c r="L29" s="17">
        <v>0</v>
      </c>
      <c r="M29" s="17">
        <v>0</v>
      </c>
      <c r="N29" s="17">
        <v>0</v>
      </c>
      <c r="O29" s="17">
        <v>0</v>
      </c>
      <c r="P29" s="17">
        <v>0</v>
      </c>
      <c r="Q29" s="17">
        <v>0</v>
      </c>
      <c r="R29" s="17">
        <v>0</v>
      </c>
      <c r="S29" s="17">
        <v>0</v>
      </c>
      <c r="T29" s="17">
        <v>0</v>
      </c>
      <c r="U29" s="17">
        <v>0</v>
      </c>
      <c r="V29" s="17">
        <v>0</v>
      </c>
      <c r="W29" s="17">
        <v>0</v>
      </c>
      <c r="X29" s="17">
        <v>0</v>
      </c>
      <c r="Y29" s="17">
        <v>0</v>
      </c>
      <c r="Z29" s="17">
        <v>0</v>
      </c>
      <c r="AA29" s="17">
        <v>0</v>
      </c>
      <c r="AB29" s="17">
        <v>0</v>
      </c>
      <c r="AC29" s="17">
        <v>0</v>
      </c>
      <c r="AD29" s="17">
        <v>0</v>
      </c>
      <c r="AE29" s="17">
        <v>0</v>
      </c>
      <c r="AF29" s="17">
        <v>0</v>
      </c>
      <c r="AG29" s="17">
        <v>0</v>
      </c>
      <c r="AH29" s="17">
        <v>0</v>
      </c>
      <c r="AI29" s="17">
        <v>0</v>
      </c>
      <c r="AJ29" s="17">
        <v>0</v>
      </c>
      <c r="AK29" s="17">
        <v>0</v>
      </c>
      <c r="AL29" s="17">
        <v>0</v>
      </c>
      <c r="AM29" s="17">
        <v>0</v>
      </c>
      <c r="AN29" s="17">
        <v>0</v>
      </c>
      <c r="AO29" s="17">
        <v>0</v>
      </c>
      <c r="AP29" s="17">
        <v>0</v>
      </c>
      <c r="AQ29" s="17">
        <v>0</v>
      </c>
      <c r="AR29" s="17">
        <v>0</v>
      </c>
      <c r="AS29" s="17">
        <v>0</v>
      </c>
      <c r="AT29" s="17">
        <v>0</v>
      </c>
      <c r="AU29" s="17">
        <v>0</v>
      </c>
      <c r="AV29" s="17">
        <v>0</v>
      </c>
      <c r="AW29" s="17">
        <v>0</v>
      </c>
      <c r="AX29" s="17">
        <v>0</v>
      </c>
      <c r="AY29" s="17">
        <v>0</v>
      </c>
      <c r="AZ29" s="17">
        <v>0</v>
      </c>
      <c r="BA29" s="17">
        <v>0</v>
      </c>
      <c r="BB29" s="17">
        <v>0</v>
      </c>
      <c r="BC29" s="17">
        <v>0</v>
      </c>
      <c r="BD29" s="17">
        <v>0</v>
      </c>
      <c r="BE29" s="17">
        <v>0</v>
      </c>
      <c r="BF29" s="17">
        <v>0</v>
      </c>
      <c r="BG29" s="17">
        <v>0</v>
      </c>
      <c r="BH29" s="17">
        <v>0</v>
      </c>
      <c r="BI29" s="17">
        <v>0</v>
      </c>
      <c r="BJ29" s="17">
        <v>0</v>
      </c>
      <c r="BK29" s="17">
        <v>0</v>
      </c>
      <c r="BL29" s="17">
        <v>0</v>
      </c>
      <c r="BM29" s="17">
        <v>0</v>
      </c>
      <c r="BN29" s="17">
        <v>0</v>
      </c>
      <c r="BO29" s="17">
        <v>0</v>
      </c>
      <c r="BP29" s="17">
        <v>0</v>
      </c>
      <c r="BQ29" s="17">
        <v>0</v>
      </c>
      <c r="BR29" s="17">
        <v>0</v>
      </c>
      <c r="BS29" s="17">
        <v>0</v>
      </c>
      <c r="BT29" s="17">
        <v>0</v>
      </c>
      <c r="BU29" s="17">
        <v>0</v>
      </c>
      <c r="BV29" s="17">
        <v>0</v>
      </c>
      <c r="BW29" s="17">
        <v>0</v>
      </c>
      <c r="BX29" s="17">
        <v>0</v>
      </c>
      <c r="BY29" s="17">
        <v>0</v>
      </c>
      <c r="BZ29" s="17">
        <v>0</v>
      </c>
      <c r="CA29" s="17">
        <v>0</v>
      </c>
      <c r="CB29" s="17">
        <v>0</v>
      </c>
      <c r="CC29" s="17">
        <v>0</v>
      </c>
      <c r="CD29" s="17">
        <v>0</v>
      </c>
      <c r="CE29" s="17">
        <v>0</v>
      </c>
      <c r="CF29" s="17">
        <v>0</v>
      </c>
      <c r="CG29" s="17">
        <v>0</v>
      </c>
      <c r="CH29" s="17">
        <v>0</v>
      </c>
      <c r="CI29" s="17">
        <v>0</v>
      </c>
      <c r="CJ29" s="17">
        <v>0</v>
      </c>
      <c r="CK29" s="17">
        <v>0</v>
      </c>
      <c r="CL29" s="17">
        <v>0</v>
      </c>
      <c r="CM29" s="17">
        <v>0</v>
      </c>
      <c r="CN29" s="17">
        <v>0</v>
      </c>
      <c r="CO29" s="17">
        <v>0</v>
      </c>
      <c r="CP29" s="17">
        <v>0</v>
      </c>
      <c r="CQ29" s="17">
        <v>0</v>
      </c>
      <c r="CR29" s="17">
        <v>0</v>
      </c>
      <c r="CS29" s="17">
        <v>0</v>
      </c>
      <c r="CT29" s="17">
        <v>0</v>
      </c>
      <c r="CU29" s="17">
        <v>0</v>
      </c>
      <c r="CV29" s="17">
        <v>0</v>
      </c>
      <c r="CW29" s="17">
        <v>0</v>
      </c>
      <c r="CX29" s="17">
        <v>0</v>
      </c>
      <c r="CY29" s="17">
        <v>0</v>
      </c>
      <c r="CZ29" s="17">
        <v>0</v>
      </c>
      <c r="DA29" s="17">
        <v>0</v>
      </c>
      <c r="DB29" s="17">
        <v>0</v>
      </c>
      <c r="DC29" s="17">
        <v>0</v>
      </c>
      <c r="DD29" s="17">
        <v>0</v>
      </c>
      <c r="DE29" s="17">
        <v>0</v>
      </c>
      <c r="DF29" s="17">
        <v>0</v>
      </c>
      <c r="DG29" s="17">
        <v>0</v>
      </c>
      <c r="DH29" s="17">
        <v>0</v>
      </c>
      <c r="DI29" s="17">
        <v>0</v>
      </c>
      <c r="DJ29" s="17">
        <v>0</v>
      </c>
      <c r="DK29" s="17">
        <v>0</v>
      </c>
      <c r="DL29" s="17">
        <v>0</v>
      </c>
      <c r="DM29" s="17">
        <v>0</v>
      </c>
      <c r="DN29" s="17">
        <v>0</v>
      </c>
      <c r="DO29" s="17">
        <v>0</v>
      </c>
      <c r="DP29" s="17">
        <v>0</v>
      </c>
      <c r="DQ29" s="17">
        <v>0</v>
      </c>
      <c r="DR29" s="17">
        <v>0</v>
      </c>
      <c r="DS29" s="17">
        <v>0</v>
      </c>
      <c r="DT29" s="17">
        <v>0</v>
      </c>
    </row>
    <row r="30" spans="2:124" x14ac:dyDescent="0.25">
      <c r="B30" s="1" t="str">
        <f>"(-) "&amp;'Inputs &amp; Summary'!N16</f>
        <v>(-) Closing Costs (Non-Financing)</v>
      </c>
      <c r="C30" s="33"/>
      <c r="D30" s="41" t="e">
        <f>-'Inputs &amp; Summary'!P16</f>
        <v>#VALUE!</v>
      </c>
      <c r="E30" s="17">
        <v>0</v>
      </c>
      <c r="F30" s="17">
        <v>0</v>
      </c>
      <c r="G30" s="17">
        <v>0</v>
      </c>
      <c r="H30" s="17">
        <v>0</v>
      </c>
      <c r="I30" s="17">
        <v>0</v>
      </c>
      <c r="J30" s="17">
        <v>0</v>
      </c>
      <c r="K30" s="17">
        <v>0</v>
      </c>
      <c r="L30" s="17">
        <v>0</v>
      </c>
      <c r="M30" s="17">
        <v>0</v>
      </c>
      <c r="N30" s="17">
        <v>0</v>
      </c>
      <c r="O30" s="17">
        <v>0</v>
      </c>
      <c r="P30" s="17">
        <v>0</v>
      </c>
      <c r="Q30" s="17">
        <v>0</v>
      </c>
      <c r="R30" s="17">
        <v>0</v>
      </c>
      <c r="S30" s="17">
        <v>0</v>
      </c>
      <c r="T30" s="17">
        <v>0</v>
      </c>
      <c r="U30" s="17">
        <v>0</v>
      </c>
      <c r="V30" s="17">
        <v>0</v>
      </c>
      <c r="W30" s="17">
        <v>0</v>
      </c>
      <c r="X30" s="17">
        <v>0</v>
      </c>
      <c r="Y30" s="17">
        <v>0</v>
      </c>
      <c r="Z30" s="17">
        <v>0</v>
      </c>
      <c r="AA30" s="17">
        <v>0</v>
      </c>
      <c r="AB30" s="17">
        <v>0</v>
      </c>
      <c r="AC30" s="17">
        <v>0</v>
      </c>
      <c r="AD30" s="17">
        <v>0</v>
      </c>
      <c r="AE30" s="17">
        <v>0</v>
      </c>
      <c r="AF30" s="17">
        <v>0</v>
      </c>
      <c r="AG30" s="17">
        <v>0</v>
      </c>
      <c r="AH30" s="17">
        <v>0</v>
      </c>
      <c r="AI30" s="17">
        <v>0</v>
      </c>
      <c r="AJ30" s="17">
        <v>0</v>
      </c>
      <c r="AK30" s="17">
        <v>0</v>
      </c>
      <c r="AL30" s="17">
        <v>0</v>
      </c>
      <c r="AM30" s="17">
        <v>0</v>
      </c>
      <c r="AN30" s="17">
        <v>0</v>
      </c>
      <c r="AO30" s="17">
        <v>0</v>
      </c>
      <c r="AP30" s="17">
        <v>0</v>
      </c>
      <c r="AQ30" s="17">
        <v>0</v>
      </c>
      <c r="AR30" s="17">
        <v>0</v>
      </c>
      <c r="AS30" s="17">
        <v>0</v>
      </c>
      <c r="AT30" s="17">
        <v>0</v>
      </c>
      <c r="AU30" s="17">
        <v>0</v>
      </c>
      <c r="AV30" s="17">
        <v>0</v>
      </c>
      <c r="AW30" s="17">
        <v>0</v>
      </c>
      <c r="AX30" s="17">
        <v>0</v>
      </c>
      <c r="AY30" s="17">
        <v>0</v>
      </c>
      <c r="AZ30" s="17">
        <v>0</v>
      </c>
      <c r="BA30" s="17">
        <v>0</v>
      </c>
      <c r="BB30" s="17">
        <v>0</v>
      </c>
      <c r="BC30" s="17">
        <v>0</v>
      </c>
      <c r="BD30" s="17">
        <v>0</v>
      </c>
      <c r="BE30" s="17">
        <v>0</v>
      </c>
      <c r="BF30" s="17">
        <v>0</v>
      </c>
      <c r="BG30" s="17">
        <v>0</v>
      </c>
      <c r="BH30" s="17">
        <v>0</v>
      </c>
      <c r="BI30" s="17">
        <v>0</v>
      </c>
      <c r="BJ30" s="17">
        <v>0</v>
      </c>
      <c r="BK30" s="17">
        <v>0</v>
      </c>
      <c r="BL30" s="17">
        <v>0</v>
      </c>
      <c r="BM30" s="17">
        <v>0</v>
      </c>
      <c r="BN30" s="17">
        <v>0</v>
      </c>
      <c r="BO30" s="17">
        <v>0</v>
      </c>
      <c r="BP30" s="17">
        <v>0</v>
      </c>
      <c r="BQ30" s="17">
        <v>0</v>
      </c>
      <c r="BR30" s="17">
        <v>0</v>
      </c>
      <c r="BS30" s="17">
        <v>0</v>
      </c>
      <c r="BT30" s="17">
        <v>0</v>
      </c>
      <c r="BU30" s="17">
        <v>0</v>
      </c>
      <c r="BV30" s="17">
        <v>0</v>
      </c>
      <c r="BW30" s="17">
        <v>0</v>
      </c>
      <c r="BX30" s="17">
        <v>0</v>
      </c>
      <c r="BY30" s="17">
        <v>0</v>
      </c>
      <c r="BZ30" s="17">
        <v>0</v>
      </c>
      <c r="CA30" s="17">
        <v>0</v>
      </c>
      <c r="CB30" s="17">
        <v>0</v>
      </c>
      <c r="CC30" s="17">
        <v>0</v>
      </c>
      <c r="CD30" s="17">
        <v>0</v>
      </c>
      <c r="CE30" s="17">
        <v>0</v>
      </c>
      <c r="CF30" s="17">
        <v>0</v>
      </c>
      <c r="CG30" s="17">
        <v>0</v>
      </c>
      <c r="CH30" s="17">
        <v>0</v>
      </c>
      <c r="CI30" s="17">
        <v>0</v>
      </c>
      <c r="CJ30" s="17">
        <v>0</v>
      </c>
      <c r="CK30" s="17">
        <v>0</v>
      </c>
      <c r="CL30" s="17">
        <v>0</v>
      </c>
      <c r="CM30" s="17">
        <v>0</v>
      </c>
      <c r="CN30" s="17">
        <v>0</v>
      </c>
      <c r="CO30" s="17">
        <v>0</v>
      </c>
      <c r="CP30" s="17">
        <v>0</v>
      </c>
      <c r="CQ30" s="17">
        <v>0</v>
      </c>
      <c r="CR30" s="17">
        <v>0</v>
      </c>
      <c r="CS30" s="17">
        <v>0</v>
      </c>
      <c r="CT30" s="17">
        <v>0</v>
      </c>
      <c r="CU30" s="17">
        <v>0</v>
      </c>
      <c r="CV30" s="17">
        <v>0</v>
      </c>
      <c r="CW30" s="17">
        <v>0</v>
      </c>
      <c r="CX30" s="17">
        <v>0</v>
      </c>
      <c r="CY30" s="17">
        <v>0</v>
      </c>
      <c r="CZ30" s="17">
        <v>0</v>
      </c>
      <c r="DA30" s="17">
        <v>0</v>
      </c>
      <c r="DB30" s="17">
        <v>0</v>
      </c>
      <c r="DC30" s="17">
        <v>0</v>
      </c>
      <c r="DD30" s="17">
        <v>0</v>
      </c>
      <c r="DE30" s="17">
        <v>0</v>
      </c>
      <c r="DF30" s="17">
        <v>0</v>
      </c>
      <c r="DG30" s="17">
        <v>0</v>
      </c>
      <c r="DH30" s="17">
        <v>0</v>
      </c>
      <c r="DI30" s="17">
        <v>0</v>
      </c>
      <c r="DJ30" s="17">
        <v>0</v>
      </c>
      <c r="DK30" s="17">
        <v>0</v>
      </c>
      <c r="DL30" s="17">
        <v>0</v>
      </c>
      <c r="DM30" s="17">
        <v>0</v>
      </c>
      <c r="DN30" s="17">
        <v>0</v>
      </c>
      <c r="DO30" s="17">
        <v>0</v>
      </c>
      <c r="DP30" s="17">
        <v>0</v>
      </c>
      <c r="DQ30" s="17">
        <v>0</v>
      </c>
      <c r="DR30" s="17">
        <v>0</v>
      </c>
      <c r="DS30" s="17">
        <v>0</v>
      </c>
      <c r="DT30" s="17">
        <v>0</v>
      </c>
    </row>
    <row r="31" spans="2:124" x14ac:dyDescent="0.25">
      <c r="B31" s="1" t="str">
        <f>"(-) "&amp;'Inputs &amp; Summary'!N17</f>
        <v>(-) Net Buyer's Agent Fee</v>
      </c>
      <c r="C31" s="33"/>
      <c r="D31" s="41" t="e">
        <f>-'Inputs &amp; Summary'!P17</f>
        <v>#VALUE!</v>
      </c>
      <c r="E31" s="17">
        <v>0</v>
      </c>
      <c r="F31" s="17">
        <v>0</v>
      </c>
      <c r="G31" s="17">
        <v>0</v>
      </c>
      <c r="H31" s="17">
        <v>0</v>
      </c>
      <c r="I31" s="17">
        <v>0</v>
      </c>
      <c r="J31" s="17">
        <v>0</v>
      </c>
      <c r="K31" s="17">
        <v>0</v>
      </c>
      <c r="L31" s="17">
        <v>0</v>
      </c>
      <c r="M31" s="17">
        <v>0</v>
      </c>
      <c r="N31" s="17">
        <v>0</v>
      </c>
      <c r="O31" s="17">
        <v>0</v>
      </c>
      <c r="P31" s="17">
        <v>0</v>
      </c>
      <c r="Q31" s="17">
        <v>0</v>
      </c>
      <c r="R31" s="17">
        <v>0</v>
      </c>
      <c r="S31" s="17">
        <v>0</v>
      </c>
      <c r="T31" s="17">
        <v>0</v>
      </c>
      <c r="U31" s="17">
        <v>0</v>
      </c>
      <c r="V31" s="17">
        <v>0</v>
      </c>
      <c r="W31" s="17">
        <v>0</v>
      </c>
      <c r="X31" s="17">
        <v>0</v>
      </c>
      <c r="Y31" s="17">
        <v>0</v>
      </c>
      <c r="Z31" s="17">
        <v>0</v>
      </c>
      <c r="AA31" s="17">
        <v>0</v>
      </c>
      <c r="AB31" s="17">
        <v>0</v>
      </c>
      <c r="AC31" s="17">
        <v>0</v>
      </c>
      <c r="AD31" s="17">
        <v>0</v>
      </c>
      <c r="AE31" s="17">
        <v>0</v>
      </c>
      <c r="AF31" s="17">
        <v>0</v>
      </c>
      <c r="AG31" s="17">
        <v>0</v>
      </c>
      <c r="AH31" s="17">
        <v>0</v>
      </c>
      <c r="AI31" s="17">
        <v>0</v>
      </c>
      <c r="AJ31" s="17">
        <v>0</v>
      </c>
      <c r="AK31" s="17">
        <v>0</v>
      </c>
      <c r="AL31" s="17">
        <v>0</v>
      </c>
      <c r="AM31" s="17">
        <v>0</v>
      </c>
      <c r="AN31" s="17">
        <v>0</v>
      </c>
      <c r="AO31" s="17">
        <v>0</v>
      </c>
      <c r="AP31" s="17">
        <v>0</v>
      </c>
      <c r="AQ31" s="17">
        <v>0</v>
      </c>
      <c r="AR31" s="17">
        <v>0</v>
      </c>
      <c r="AS31" s="17">
        <v>0</v>
      </c>
      <c r="AT31" s="17">
        <v>0</v>
      </c>
      <c r="AU31" s="17">
        <v>0</v>
      </c>
      <c r="AV31" s="17">
        <v>0</v>
      </c>
      <c r="AW31" s="17">
        <v>0</v>
      </c>
      <c r="AX31" s="17">
        <v>0</v>
      </c>
      <c r="AY31" s="17">
        <v>0</v>
      </c>
      <c r="AZ31" s="17">
        <v>0</v>
      </c>
      <c r="BA31" s="17">
        <v>0</v>
      </c>
      <c r="BB31" s="17">
        <v>0</v>
      </c>
      <c r="BC31" s="17">
        <v>0</v>
      </c>
      <c r="BD31" s="17">
        <v>0</v>
      </c>
      <c r="BE31" s="17">
        <v>0</v>
      </c>
      <c r="BF31" s="17">
        <v>0</v>
      </c>
      <c r="BG31" s="17">
        <v>0</v>
      </c>
      <c r="BH31" s="17">
        <v>0</v>
      </c>
      <c r="BI31" s="17">
        <v>0</v>
      </c>
      <c r="BJ31" s="17">
        <v>0</v>
      </c>
      <c r="BK31" s="17">
        <v>0</v>
      </c>
      <c r="BL31" s="17">
        <v>0</v>
      </c>
      <c r="BM31" s="17">
        <v>0</v>
      </c>
      <c r="BN31" s="17">
        <v>0</v>
      </c>
      <c r="BO31" s="17">
        <v>0</v>
      </c>
      <c r="BP31" s="17">
        <v>0</v>
      </c>
      <c r="BQ31" s="17">
        <v>0</v>
      </c>
      <c r="BR31" s="17">
        <v>0</v>
      </c>
      <c r="BS31" s="17">
        <v>0</v>
      </c>
      <c r="BT31" s="17">
        <v>0</v>
      </c>
      <c r="BU31" s="17">
        <v>0</v>
      </c>
      <c r="BV31" s="17">
        <v>0</v>
      </c>
      <c r="BW31" s="17">
        <v>0</v>
      </c>
      <c r="BX31" s="17">
        <v>0</v>
      </c>
      <c r="BY31" s="17">
        <v>0</v>
      </c>
      <c r="BZ31" s="17">
        <v>0</v>
      </c>
      <c r="CA31" s="17">
        <v>0</v>
      </c>
      <c r="CB31" s="17">
        <v>0</v>
      </c>
      <c r="CC31" s="17">
        <v>0</v>
      </c>
      <c r="CD31" s="17">
        <v>0</v>
      </c>
      <c r="CE31" s="17">
        <v>0</v>
      </c>
      <c r="CF31" s="17">
        <v>0</v>
      </c>
      <c r="CG31" s="17">
        <v>0</v>
      </c>
      <c r="CH31" s="17">
        <v>0</v>
      </c>
      <c r="CI31" s="17">
        <v>0</v>
      </c>
      <c r="CJ31" s="17">
        <v>0</v>
      </c>
      <c r="CK31" s="17">
        <v>0</v>
      </c>
      <c r="CL31" s="17">
        <v>0</v>
      </c>
      <c r="CM31" s="17">
        <v>0</v>
      </c>
      <c r="CN31" s="17">
        <v>0</v>
      </c>
      <c r="CO31" s="17">
        <v>0</v>
      </c>
      <c r="CP31" s="17">
        <v>0</v>
      </c>
      <c r="CQ31" s="17">
        <v>0</v>
      </c>
      <c r="CR31" s="17">
        <v>0</v>
      </c>
      <c r="CS31" s="17">
        <v>0</v>
      </c>
      <c r="CT31" s="17">
        <v>0</v>
      </c>
      <c r="CU31" s="17">
        <v>0</v>
      </c>
      <c r="CV31" s="17">
        <v>0</v>
      </c>
      <c r="CW31" s="17">
        <v>0</v>
      </c>
      <c r="CX31" s="17">
        <v>0</v>
      </c>
      <c r="CY31" s="17">
        <v>0</v>
      </c>
      <c r="CZ31" s="17">
        <v>0</v>
      </c>
      <c r="DA31" s="17">
        <v>0</v>
      </c>
      <c r="DB31" s="17">
        <v>0</v>
      </c>
      <c r="DC31" s="17">
        <v>0</v>
      </c>
      <c r="DD31" s="17">
        <v>0</v>
      </c>
      <c r="DE31" s="17">
        <v>0</v>
      </c>
      <c r="DF31" s="17">
        <v>0</v>
      </c>
      <c r="DG31" s="17">
        <v>0</v>
      </c>
      <c r="DH31" s="17">
        <v>0</v>
      </c>
      <c r="DI31" s="17">
        <v>0</v>
      </c>
      <c r="DJ31" s="17">
        <v>0</v>
      </c>
      <c r="DK31" s="17">
        <v>0</v>
      </c>
      <c r="DL31" s="17">
        <v>0</v>
      </c>
      <c r="DM31" s="17">
        <v>0</v>
      </c>
      <c r="DN31" s="17">
        <v>0</v>
      </c>
      <c r="DO31" s="17">
        <v>0</v>
      </c>
      <c r="DP31" s="17">
        <v>0</v>
      </c>
      <c r="DQ31" s="17">
        <v>0</v>
      </c>
      <c r="DR31" s="17">
        <v>0</v>
      </c>
      <c r="DS31" s="17">
        <v>0</v>
      </c>
      <c r="DT31" s="17">
        <v>0</v>
      </c>
    </row>
    <row r="32" spans="2:124" x14ac:dyDescent="0.25">
      <c r="B32" s="1" t="str">
        <f>"(+) "&amp;'Inputs &amp; Summary'!N18</f>
        <v>(+) Seller Concessions</v>
      </c>
      <c r="C32" s="33"/>
      <c r="D32" s="41">
        <f>-'Inputs &amp; Summary'!P18</f>
        <v>0</v>
      </c>
      <c r="E32" s="17">
        <v>0</v>
      </c>
      <c r="F32" s="17">
        <v>0</v>
      </c>
      <c r="G32" s="17">
        <v>0</v>
      </c>
      <c r="H32" s="17">
        <v>0</v>
      </c>
      <c r="I32" s="17">
        <v>0</v>
      </c>
      <c r="J32" s="17">
        <v>0</v>
      </c>
      <c r="K32" s="17">
        <v>0</v>
      </c>
      <c r="L32" s="17">
        <v>0</v>
      </c>
      <c r="M32" s="17">
        <v>0</v>
      </c>
      <c r="N32" s="17">
        <v>0</v>
      </c>
      <c r="O32" s="17">
        <v>0</v>
      </c>
      <c r="P32" s="17">
        <v>0</v>
      </c>
      <c r="Q32" s="17">
        <v>0</v>
      </c>
      <c r="R32" s="17">
        <v>0</v>
      </c>
      <c r="S32" s="17">
        <v>0</v>
      </c>
      <c r="T32" s="17">
        <v>0</v>
      </c>
      <c r="U32" s="17">
        <v>0</v>
      </c>
      <c r="V32" s="17">
        <v>0</v>
      </c>
      <c r="W32" s="17">
        <v>0</v>
      </c>
      <c r="X32" s="17">
        <v>0</v>
      </c>
      <c r="Y32" s="17">
        <v>0</v>
      </c>
      <c r="Z32" s="17">
        <v>0</v>
      </c>
      <c r="AA32" s="17">
        <v>0</v>
      </c>
      <c r="AB32" s="17">
        <v>0</v>
      </c>
      <c r="AC32" s="17">
        <v>0</v>
      </c>
      <c r="AD32" s="17">
        <v>0</v>
      </c>
      <c r="AE32" s="17">
        <v>0</v>
      </c>
      <c r="AF32" s="17">
        <v>0</v>
      </c>
      <c r="AG32" s="17">
        <v>0</v>
      </c>
      <c r="AH32" s="17">
        <v>0</v>
      </c>
      <c r="AI32" s="17">
        <v>0</v>
      </c>
      <c r="AJ32" s="17">
        <v>0</v>
      </c>
      <c r="AK32" s="17">
        <v>0</v>
      </c>
      <c r="AL32" s="17">
        <v>0</v>
      </c>
      <c r="AM32" s="17">
        <v>0</v>
      </c>
      <c r="AN32" s="17">
        <v>0</v>
      </c>
      <c r="AO32" s="17">
        <v>0</v>
      </c>
      <c r="AP32" s="17">
        <v>0</v>
      </c>
      <c r="AQ32" s="17">
        <v>0</v>
      </c>
      <c r="AR32" s="17">
        <v>0</v>
      </c>
      <c r="AS32" s="17">
        <v>0</v>
      </c>
      <c r="AT32" s="17">
        <v>0</v>
      </c>
      <c r="AU32" s="17">
        <v>0</v>
      </c>
      <c r="AV32" s="17">
        <v>0</v>
      </c>
      <c r="AW32" s="17">
        <v>0</v>
      </c>
      <c r="AX32" s="17">
        <v>0</v>
      </c>
      <c r="AY32" s="17">
        <v>0</v>
      </c>
      <c r="AZ32" s="17">
        <v>0</v>
      </c>
      <c r="BA32" s="17">
        <v>0</v>
      </c>
      <c r="BB32" s="17">
        <v>0</v>
      </c>
      <c r="BC32" s="17">
        <v>0</v>
      </c>
      <c r="BD32" s="17">
        <v>0</v>
      </c>
      <c r="BE32" s="17">
        <v>0</v>
      </c>
      <c r="BF32" s="17">
        <v>0</v>
      </c>
      <c r="BG32" s="17">
        <v>0</v>
      </c>
      <c r="BH32" s="17">
        <v>0</v>
      </c>
      <c r="BI32" s="17">
        <v>0</v>
      </c>
      <c r="BJ32" s="17">
        <v>0</v>
      </c>
      <c r="BK32" s="17">
        <v>0</v>
      </c>
      <c r="BL32" s="17">
        <v>0</v>
      </c>
      <c r="BM32" s="17">
        <v>0</v>
      </c>
      <c r="BN32" s="17">
        <v>0</v>
      </c>
      <c r="BO32" s="17">
        <v>0</v>
      </c>
      <c r="BP32" s="17">
        <v>0</v>
      </c>
      <c r="BQ32" s="17">
        <v>0</v>
      </c>
      <c r="BR32" s="17">
        <v>0</v>
      </c>
      <c r="BS32" s="17">
        <v>0</v>
      </c>
      <c r="BT32" s="17">
        <v>0</v>
      </c>
      <c r="BU32" s="17">
        <v>0</v>
      </c>
      <c r="BV32" s="17">
        <v>0</v>
      </c>
      <c r="BW32" s="17">
        <v>0</v>
      </c>
      <c r="BX32" s="17">
        <v>0</v>
      </c>
      <c r="BY32" s="17">
        <v>0</v>
      </c>
      <c r="BZ32" s="17">
        <v>0</v>
      </c>
      <c r="CA32" s="17">
        <v>0</v>
      </c>
      <c r="CB32" s="17">
        <v>0</v>
      </c>
      <c r="CC32" s="17">
        <v>0</v>
      </c>
      <c r="CD32" s="17">
        <v>0</v>
      </c>
      <c r="CE32" s="17">
        <v>0</v>
      </c>
      <c r="CF32" s="17">
        <v>0</v>
      </c>
      <c r="CG32" s="17">
        <v>0</v>
      </c>
      <c r="CH32" s="17">
        <v>0</v>
      </c>
      <c r="CI32" s="17">
        <v>0</v>
      </c>
      <c r="CJ32" s="17">
        <v>0</v>
      </c>
      <c r="CK32" s="17">
        <v>0</v>
      </c>
      <c r="CL32" s="17">
        <v>0</v>
      </c>
      <c r="CM32" s="17">
        <v>0</v>
      </c>
      <c r="CN32" s="17">
        <v>0</v>
      </c>
      <c r="CO32" s="17">
        <v>0</v>
      </c>
      <c r="CP32" s="17">
        <v>0</v>
      </c>
      <c r="CQ32" s="17">
        <v>0</v>
      </c>
      <c r="CR32" s="17">
        <v>0</v>
      </c>
      <c r="CS32" s="17">
        <v>0</v>
      </c>
      <c r="CT32" s="17">
        <v>0</v>
      </c>
      <c r="CU32" s="17">
        <v>0</v>
      </c>
      <c r="CV32" s="17">
        <v>0</v>
      </c>
      <c r="CW32" s="17">
        <v>0</v>
      </c>
      <c r="CX32" s="17">
        <v>0</v>
      </c>
      <c r="CY32" s="17">
        <v>0</v>
      </c>
      <c r="CZ32" s="17">
        <v>0</v>
      </c>
      <c r="DA32" s="17">
        <v>0</v>
      </c>
      <c r="DB32" s="17">
        <v>0</v>
      </c>
      <c r="DC32" s="17">
        <v>0</v>
      </c>
      <c r="DD32" s="17">
        <v>0</v>
      </c>
      <c r="DE32" s="17">
        <v>0</v>
      </c>
      <c r="DF32" s="17">
        <v>0</v>
      </c>
      <c r="DG32" s="17">
        <v>0</v>
      </c>
      <c r="DH32" s="17">
        <v>0</v>
      </c>
      <c r="DI32" s="17">
        <v>0</v>
      </c>
      <c r="DJ32" s="17">
        <v>0</v>
      </c>
      <c r="DK32" s="17">
        <v>0</v>
      </c>
      <c r="DL32" s="17">
        <v>0</v>
      </c>
      <c r="DM32" s="17">
        <v>0</v>
      </c>
      <c r="DN32" s="17">
        <v>0</v>
      </c>
      <c r="DO32" s="17">
        <v>0</v>
      </c>
      <c r="DP32" s="17">
        <v>0</v>
      </c>
      <c r="DQ32" s="17">
        <v>0</v>
      </c>
      <c r="DR32" s="17">
        <v>0</v>
      </c>
      <c r="DS32" s="17">
        <v>0</v>
      </c>
      <c r="DT32" s="17">
        <v>0</v>
      </c>
    </row>
    <row r="33" spans="2:124" x14ac:dyDescent="0.25">
      <c r="B33" s="8" t="str">
        <f>"(-) "&amp;'Inputs &amp; Summary'!N21</f>
        <v>(-) Net CapEx (Post-Closing)</v>
      </c>
      <c r="C33" s="124"/>
      <c r="D33" s="42">
        <f>-'Inputs &amp; Summary'!P21</f>
        <v>-250</v>
      </c>
      <c r="E33" s="70">
        <v>0</v>
      </c>
      <c r="F33" s="70">
        <v>0</v>
      </c>
      <c r="G33" s="70">
        <v>0</v>
      </c>
      <c r="H33" s="70">
        <v>0</v>
      </c>
      <c r="I33" s="70">
        <v>0</v>
      </c>
      <c r="J33" s="70">
        <v>0</v>
      </c>
      <c r="K33" s="70">
        <v>0</v>
      </c>
      <c r="L33" s="70">
        <v>0</v>
      </c>
      <c r="M33" s="70">
        <v>0</v>
      </c>
      <c r="N33" s="70">
        <v>0</v>
      </c>
      <c r="O33" s="70">
        <v>0</v>
      </c>
      <c r="P33" s="70">
        <v>0</v>
      </c>
      <c r="Q33" s="70">
        <v>0</v>
      </c>
      <c r="R33" s="70">
        <v>0</v>
      </c>
      <c r="S33" s="70">
        <v>0</v>
      </c>
      <c r="T33" s="70">
        <v>0</v>
      </c>
      <c r="U33" s="70">
        <v>0</v>
      </c>
      <c r="V33" s="70">
        <v>0</v>
      </c>
      <c r="W33" s="70">
        <v>0</v>
      </c>
      <c r="X33" s="70">
        <v>0</v>
      </c>
      <c r="Y33" s="70">
        <v>0</v>
      </c>
      <c r="Z33" s="70">
        <v>0</v>
      </c>
      <c r="AA33" s="70">
        <v>0</v>
      </c>
      <c r="AB33" s="70">
        <v>0</v>
      </c>
      <c r="AC33" s="70">
        <v>0</v>
      </c>
      <c r="AD33" s="70">
        <v>0</v>
      </c>
      <c r="AE33" s="70">
        <v>0</v>
      </c>
      <c r="AF33" s="70">
        <v>0</v>
      </c>
      <c r="AG33" s="70">
        <v>0</v>
      </c>
      <c r="AH33" s="70">
        <v>0</v>
      </c>
      <c r="AI33" s="70">
        <v>0</v>
      </c>
      <c r="AJ33" s="70">
        <v>0</v>
      </c>
      <c r="AK33" s="70">
        <v>0</v>
      </c>
      <c r="AL33" s="70">
        <v>0</v>
      </c>
      <c r="AM33" s="70">
        <v>0</v>
      </c>
      <c r="AN33" s="70">
        <v>0</v>
      </c>
      <c r="AO33" s="70">
        <v>0</v>
      </c>
      <c r="AP33" s="70">
        <v>0</v>
      </c>
      <c r="AQ33" s="70">
        <v>0</v>
      </c>
      <c r="AR33" s="70">
        <v>0</v>
      </c>
      <c r="AS33" s="70">
        <v>0</v>
      </c>
      <c r="AT33" s="70">
        <v>0</v>
      </c>
      <c r="AU33" s="70">
        <v>0</v>
      </c>
      <c r="AV33" s="70">
        <v>0</v>
      </c>
      <c r="AW33" s="70">
        <v>0</v>
      </c>
      <c r="AX33" s="70">
        <v>0</v>
      </c>
      <c r="AY33" s="70">
        <v>0</v>
      </c>
      <c r="AZ33" s="70">
        <v>0</v>
      </c>
      <c r="BA33" s="70">
        <v>0</v>
      </c>
      <c r="BB33" s="70">
        <v>0</v>
      </c>
      <c r="BC33" s="70">
        <v>0</v>
      </c>
      <c r="BD33" s="70">
        <v>0</v>
      </c>
      <c r="BE33" s="70">
        <v>0</v>
      </c>
      <c r="BF33" s="70">
        <v>0</v>
      </c>
      <c r="BG33" s="70">
        <v>0</v>
      </c>
      <c r="BH33" s="70">
        <v>0</v>
      </c>
      <c r="BI33" s="70">
        <v>0</v>
      </c>
      <c r="BJ33" s="70">
        <v>0</v>
      </c>
      <c r="BK33" s="70">
        <v>0</v>
      </c>
      <c r="BL33" s="70">
        <v>0</v>
      </c>
      <c r="BM33" s="70">
        <v>0</v>
      </c>
      <c r="BN33" s="70">
        <v>0</v>
      </c>
      <c r="BO33" s="70">
        <v>0</v>
      </c>
      <c r="BP33" s="70">
        <v>0</v>
      </c>
      <c r="BQ33" s="70">
        <v>0</v>
      </c>
      <c r="BR33" s="70">
        <v>0</v>
      </c>
      <c r="BS33" s="70">
        <v>0</v>
      </c>
      <c r="BT33" s="70">
        <v>0</v>
      </c>
      <c r="BU33" s="70">
        <v>0</v>
      </c>
      <c r="BV33" s="70">
        <v>0</v>
      </c>
      <c r="BW33" s="70">
        <v>0</v>
      </c>
      <c r="BX33" s="70">
        <v>0</v>
      </c>
      <c r="BY33" s="70">
        <v>0</v>
      </c>
      <c r="BZ33" s="70">
        <v>0</v>
      </c>
      <c r="CA33" s="70">
        <v>0</v>
      </c>
      <c r="CB33" s="70">
        <v>0</v>
      </c>
      <c r="CC33" s="70">
        <v>0</v>
      </c>
      <c r="CD33" s="70">
        <v>0</v>
      </c>
      <c r="CE33" s="70">
        <v>0</v>
      </c>
      <c r="CF33" s="70">
        <v>0</v>
      </c>
      <c r="CG33" s="70">
        <v>0</v>
      </c>
      <c r="CH33" s="70">
        <v>0</v>
      </c>
      <c r="CI33" s="70">
        <v>0</v>
      </c>
      <c r="CJ33" s="70">
        <v>0</v>
      </c>
      <c r="CK33" s="70">
        <v>0</v>
      </c>
      <c r="CL33" s="70">
        <v>0</v>
      </c>
      <c r="CM33" s="70">
        <v>0</v>
      </c>
      <c r="CN33" s="70">
        <v>0</v>
      </c>
      <c r="CO33" s="70">
        <v>0</v>
      </c>
      <c r="CP33" s="70">
        <v>0</v>
      </c>
      <c r="CQ33" s="70">
        <v>0</v>
      </c>
      <c r="CR33" s="70">
        <v>0</v>
      </c>
      <c r="CS33" s="70">
        <v>0</v>
      </c>
      <c r="CT33" s="70">
        <v>0</v>
      </c>
      <c r="CU33" s="70">
        <v>0</v>
      </c>
      <c r="CV33" s="70">
        <v>0</v>
      </c>
      <c r="CW33" s="70">
        <v>0</v>
      </c>
      <c r="CX33" s="70">
        <v>0</v>
      </c>
      <c r="CY33" s="70">
        <v>0</v>
      </c>
      <c r="CZ33" s="70">
        <v>0</v>
      </c>
      <c r="DA33" s="70">
        <v>0</v>
      </c>
      <c r="DB33" s="70">
        <v>0</v>
      </c>
      <c r="DC33" s="70">
        <v>0</v>
      </c>
      <c r="DD33" s="70">
        <v>0</v>
      </c>
      <c r="DE33" s="70">
        <v>0</v>
      </c>
      <c r="DF33" s="70">
        <v>0</v>
      </c>
      <c r="DG33" s="70">
        <v>0</v>
      </c>
      <c r="DH33" s="70">
        <v>0</v>
      </c>
      <c r="DI33" s="70">
        <v>0</v>
      </c>
      <c r="DJ33" s="70">
        <v>0</v>
      </c>
      <c r="DK33" s="70">
        <v>0</v>
      </c>
      <c r="DL33" s="70">
        <v>0</v>
      </c>
      <c r="DM33" s="70">
        <v>0</v>
      </c>
      <c r="DN33" s="70">
        <v>0</v>
      </c>
      <c r="DO33" s="70">
        <v>0</v>
      </c>
      <c r="DP33" s="70">
        <v>0</v>
      </c>
      <c r="DQ33" s="70">
        <v>0</v>
      </c>
      <c r="DR33" s="70">
        <v>0</v>
      </c>
      <c r="DS33" s="70">
        <v>0</v>
      </c>
      <c r="DT33" s="70">
        <v>0</v>
      </c>
    </row>
    <row r="34" spans="2:124" x14ac:dyDescent="0.25">
      <c r="B34" s="6" t="s">
        <v>50</v>
      </c>
      <c r="C34" s="31"/>
      <c r="D34" s="49" t="e">
        <f>SUM(D29:D33)</f>
        <v>#VALUE!</v>
      </c>
    </row>
    <row r="36" spans="2:124" x14ac:dyDescent="0.25">
      <c r="B36" s="8" t="s">
        <v>49</v>
      </c>
      <c r="C36" s="32"/>
      <c r="D36" s="32"/>
      <c r="E36" s="36" t="e">
        <f ca="1">E22*(E$8&lt;='Inputs &amp; Summary'!$D$102)</f>
        <v>#VALUE!</v>
      </c>
      <c r="F36" s="36" t="e">
        <f ca="1">F22*(F$8&lt;='Inputs &amp; Summary'!$D$102)</f>
        <v>#VALUE!</v>
      </c>
      <c r="G36" s="36" t="e">
        <f ca="1">G22*(G$8&lt;='Inputs &amp; Summary'!$D$102)</f>
        <v>#VALUE!</v>
      </c>
      <c r="H36" s="36" t="e">
        <f ca="1">H22*(H$8&lt;='Inputs &amp; Summary'!$D$102)</f>
        <v>#VALUE!</v>
      </c>
      <c r="I36" s="36" t="e">
        <f ca="1">I22*(I$8&lt;='Inputs &amp; Summary'!$D$102)</f>
        <v>#VALUE!</v>
      </c>
      <c r="J36" s="36" t="e">
        <f ca="1">J22*(J$8&lt;='Inputs &amp; Summary'!$D$102)</f>
        <v>#VALUE!</v>
      </c>
      <c r="K36" s="36" t="e">
        <f ca="1">K22*(K$8&lt;='Inputs &amp; Summary'!$D$102)</f>
        <v>#VALUE!</v>
      </c>
      <c r="L36" s="36" t="e">
        <f ca="1">L22*(L$8&lt;='Inputs &amp; Summary'!$D$102)</f>
        <v>#VALUE!</v>
      </c>
      <c r="M36" s="36" t="e">
        <f ca="1">M22*(M$8&lt;='Inputs &amp; Summary'!$D$102)</f>
        <v>#VALUE!</v>
      </c>
      <c r="N36" s="36" t="e">
        <f ca="1">N22*(N$8&lt;='Inputs &amp; Summary'!$D$102)</f>
        <v>#VALUE!</v>
      </c>
      <c r="O36" s="36" t="e">
        <f ca="1">O22*(O$8&lt;='Inputs &amp; Summary'!$D$102)</f>
        <v>#VALUE!</v>
      </c>
      <c r="P36" s="36" t="e">
        <f ca="1">P22*(P$8&lt;='Inputs &amp; Summary'!$D$102)</f>
        <v>#VALUE!</v>
      </c>
      <c r="Q36" s="36" t="e">
        <f ca="1">Q22*(Q$8&lt;='Inputs &amp; Summary'!$D$102)</f>
        <v>#VALUE!</v>
      </c>
      <c r="R36" s="36" t="e">
        <f ca="1">R22*(R$8&lt;='Inputs &amp; Summary'!$D$102)</f>
        <v>#VALUE!</v>
      </c>
      <c r="S36" s="36" t="e">
        <f ca="1">S22*(S$8&lt;='Inputs &amp; Summary'!$D$102)</f>
        <v>#VALUE!</v>
      </c>
      <c r="T36" s="36" t="e">
        <f ca="1">T22*(T$8&lt;='Inputs &amp; Summary'!$D$102)</f>
        <v>#VALUE!</v>
      </c>
      <c r="U36" s="36" t="e">
        <f ca="1">U22*(U$8&lt;='Inputs &amp; Summary'!$D$102)</f>
        <v>#VALUE!</v>
      </c>
      <c r="V36" s="36" t="e">
        <f ca="1">V22*(V$8&lt;='Inputs &amp; Summary'!$D$102)</f>
        <v>#VALUE!</v>
      </c>
      <c r="W36" s="36" t="e">
        <f ca="1">W22*(W$8&lt;='Inputs &amp; Summary'!$D$102)</f>
        <v>#VALUE!</v>
      </c>
      <c r="X36" s="36" t="e">
        <f ca="1">X22*(X$8&lt;='Inputs &amp; Summary'!$D$102)</f>
        <v>#VALUE!</v>
      </c>
      <c r="Y36" s="36" t="e">
        <f ca="1">Y22*(Y$8&lt;='Inputs &amp; Summary'!$D$102)</f>
        <v>#VALUE!</v>
      </c>
      <c r="Z36" s="36" t="e">
        <f ca="1">Z22*(Z$8&lt;='Inputs &amp; Summary'!$D$102)</f>
        <v>#VALUE!</v>
      </c>
      <c r="AA36" s="36" t="e">
        <f ca="1">AA22*(AA$8&lt;='Inputs &amp; Summary'!$D$102)</f>
        <v>#VALUE!</v>
      </c>
      <c r="AB36" s="36" t="e">
        <f ca="1">AB22*(AB$8&lt;='Inputs &amp; Summary'!$D$102)</f>
        <v>#VALUE!</v>
      </c>
      <c r="AC36" s="36" t="e">
        <f ca="1">AC22*(AC$8&lt;='Inputs &amp; Summary'!$D$102)</f>
        <v>#VALUE!</v>
      </c>
      <c r="AD36" s="36" t="e">
        <f ca="1">AD22*(AD$8&lt;='Inputs &amp; Summary'!$D$102)</f>
        <v>#VALUE!</v>
      </c>
      <c r="AE36" s="36" t="e">
        <f ca="1">AE22*(AE$8&lt;='Inputs &amp; Summary'!$D$102)</f>
        <v>#VALUE!</v>
      </c>
      <c r="AF36" s="36" t="e">
        <f ca="1">AF22*(AF$8&lt;='Inputs &amp; Summary'!$D$102)</f>
        <v>#VALUE!</v>
      </c>
      <c r="AG36" s="36" t="e">
        <f ca="1">AG22*(AG$8&lt;='Inputs &amp; Summary'!$D$102)</f>
        <v>#VALUE!</v>
      </c>
      <c r="AH36" s="36" t="e">
        <f ca="1">AH22*(AH$8&lt;='Inputs &amp; Summary'!$D$102)</f>
        <v>#VALUE!</v>
      </c>
      <c r="AI36" s="36" t="e">
        <f ca="1">AI22*(AI$8&lt;='Inputs &amp; Summary'!$D$102)</f>
        <v>#VALUE!</v>
      </c>
      <c r="AJ36" s="36" t="e">
        <f ca="1">AJ22*(AJ$8&lt;='Inputs &amp; Summary'!$D$102)</f>
        <v>#VALUE!</v>
      </c>
      <c r="AK36" s="36" t="e">
        <f ca="1">AK22*(AK$8&lt;='Inputs &amp; Summary'!$D$102)</f>
        <v>#VALUE!</v>
      </c>
      <c r="AL36" s="36" t="e">
        <f ca="1">AL22*(AL$8&lt;='Inputs &amp; Summary'!$D$102)</f>
        <v>#VALUE!</v>
      </c>
      <c r="AM36" s="36" t="e">
        <f ca="1">AM22*(AM$8&lt;='Inputs &amp; Summary'!$D$102)</f>
        <v>#VALUE!</v>
      </c>
      <c r="AN36" s="36" t="e">
        <f ca="1">AN22*(AN$8&lt;='Inputs &amp; Summary'!$D$102)</f>
        <v>#VALUE!</v>
      </c>
      <c r="AO36" s="36" t="e">
        <f ca="1">AO22*(AO$8&lt;='Inputs &amp; Summary'!$D$102)</f>
        <v>#VALUE!</v>
      </c>
      <c r="AP36" s="36" t="e">
        <f ca="1">AP22*(AP$8&lt;='Inputs &amp; Summary'!$D$102)</f>
        <v>#VALUE!</v>
      </c>
      <c r="AQ36" s="36" t="e">
        <f ca="1">AQ22*(AQ$8&lt;='Inputs &amp; Summary'!$D$102)</f>
        <v>#VALUE!</v>
      </c>
      <c r="AR36" s="36" t="e">
        <f ca="1">AR22*(AR$8&lt;='Inputs &amp; Summary'!$D$102)</f>
        <v>#VALUE!</v>
      </c>
      <c r="AS36" s="36" t="e">
        <f ca="1">AS22*(AS$8&lt;='Inputs &amp; Summary'!$D$102)</f>
        <v>#VALUE!</v>
      </c>
      <c r="AT36" s="36" t="e">
        <f ca="1">AT22*(AT$8&lt;='Inputs &amp; Summary'!$D$102)</f>
        <v>#VALUE!</v>
      </c>
      <c r="AU36" s="36" t="e">
        <f ca="1">AU22*(AU$8&lt;='Inputs &amp; Summary'!$D$102)</f>
        <v>#VALUE!</v>
      </c>
      <c r="AV36" s="36" t="e">
        <f ca="1">AV22*(AV$8&lt;='Inputs &amp; Summary'!$D$102)</f>
        <v>#VALUE!</v>
      </c>
      <c r="AW36" s="36" t="e">
        <f ca="1">AW22*(AW$8&lt;='Inputs &amp; Summary'!$D$102)</f>
        <v>#VALUE!</v>
      </c>
      <c r="AX36" s="36" t="e">
        <f ca="1">AX22*(AX$8&lt;='Inputs &amp; Summary'!$D$102)</f>
        <v>#VALUE!</v>
      </c>
      <c r="AY36" s="36" t="e">
        <f ca="1">AY22*(AY$8&lt;='Inputs &amp; Summary'!$D$102)</f>
        <v>#VALUE!</v>
      </c>
      <c r="AZ36" s="36" t="e">
        <f ca="1">AZ22*(AZ$8&lt;='Inputs &amp; Summary'!$D$102)</f>
        <v>#VALUE!</v>
      </c>
      <c r="BA36" s="36" t="e">
        <f ca="1">BA22*(BA$8&lt;='Inputs &amp; Summary'!$D$102)</f>
        <v>#VALUE!</v>
      </c>
      <c r="BB36" s="36" t="e">
        <f ca="1">BB22*(BB$8&lt;='Inputs &amp; Summary'!$D$102)</f>
        <v>#VALUE!</v>
      </c>
      <c r="BC36" s="36" t="e">
        <f ca="1">BC22*(BC$8&lt;='Inputs &amp; Summary'!$D$102)</f>
        <v>#VALUE!</v>
      </c>
      <c r="BD36" s="36" t="e">
        <f ca="1">BD22*(BD$8&lt;='Inputs &amp; Summary'!$D$102)</f>
        <v>#VALUE!</v>
      </c>
      <c r="BE36" s="36" t="e">
        <f ca="1">BE22*(BE$8&lt;='Inputs &amp; Summary'!$D$102)</f>
        <v>#VALUE!</v>
      </c>
      <c r="BF36" s="36" t="e">
        <f ca="1">BF22*(BF$8&lt;='Inputs &amp; Summary'!$D$102)</f>
        <v>#VALUE!</v>
      </c>
      <c r="BG36" s="36" t="e">
        <f ca="1">BG22*(BG$8&lt;='Inputs &amp; Summary'!$D$102)</f>
        <v>#VALUE!</v>
      </c>
      <c r="BH36" s="36" t="e">
        <f ca="1">BH22*(BH$8&lt;='Inputs &amp; Summary'!$D$102)</f>
        <v>#VALUE!</v>
      </c>
      <c r="BI36" s="36" t="e">
        <f ca="1">BI22*(BI$8&lt;='Inputs &amp; Summary'!$D$102)</f>
        <v>#VALUE!</v>
      </c>
      <c r="BJ36" s="36" t="e">
        <f ca="1">BJ22*(BJ$8&lt;='Inputs &amp; Summary'!$D$102)</f>
        <v>#VALUE!</v>
      </c>
      <c r="BK36" s="36" t="e">
        <f ca="1">BK22*(BK$8&lt;='Inputs &amp; Summary'!$D$102)</f>
        <v>#VALUE!</v>
      </c>
      <c r="BL36" s="36" t="e">
        <f ca="1">BL22*(BL$8&lt;='Inputs &amp; Summary'!$D$102)</f>
        <v>#VALUE!</v>
      </c>
      <c r="BM36" s="36" t="e">
        <f ca="1">BM22*(BM$8&lt;='Inputs &amp; Summary'!$D$102)</f>
        <v>#VALUE!</v>
      </c>
      <c r="BN36" s="36" t="e">
        <f ca="1">BN22*(BN$8&lt;='Inputs &amp; Summary'!$D$102)</f>
        <v>#VALUE!</v>
      </c>
      <c r="BO36" s="36" t="e">
        <f ca="1">BO22*(BO$8&lt;='Inputs &amp; Summary'!$D$102)</f>
        <v>#VALUE!</v>
      </c>
      <c r="BP36" s="36" t="e">
        <f ca="1">BP22*(BP$8&lt;='Inputs &amp; Summary'!$D$102)</f>
        <v>#VALUE!</v>
      </c>
      <c r="BQ36" s="36" t="e">
        <f ca="1">BQ22*(BQ$8&lt;='Inputs &amp; Summary'!$D$102)</f>
        <v>#VALUE!</v>
      </c>
      <c r="BR36" s="36" t="e">
        <f ca="1">BR22*(BR$8&lt;='Inputs &amp; Summary'!$D$102)</f>
        <v>#VALUE!</v>
      </c>
      <c r="BS36" s="36" t="e">
        <f ca="1">BS22*(BS$8&lt;='Inputs &amp; Summary'!$D$102)</f>
        <v>#VALUE!</v>
      </c>
      <c r="BT36" s="36" t="e">
        <f ca="1">BT22*(BT$8&lt;='Inputs &amp; Summary'!$D$102)</f>
        <v>#VALUE!</v>
      </c>
      <c r="BU36" s="36" t="e">
        <f ca="1">BU22*(BU$8&lt;='Inputs &amp; Summary'!$D$102)</f>
        <v>#VALUE!</v>
      </c>
      <c r="BV36" s="36" t="e">
        <f ca="1">BV22*(BV$8&lt;='Inputs &amp; Summary'!$D$102)</f>
        <v>#VALUE!</v>
      </c>
      <c r="BW36" s="36" t="e">
        <f ca="1">BW22*(BW$8&lt;='Inputs &amp; Summary'!$D$102)</f>
        <v>#VALUE!</v>
      </c>
      <c r="BX36" s="36" t="e">
        <f ca="1">BX22*(BX$8&lt;='Inputs &amp; Summary'!$D$102)</f>
        <v>#VALUE!</v>
      </c>
      <c r="BY36" s="36" t="e">
        <f ca="1">BY22*(BY$8&lt;='Inputs &amp; Summary'!$D$102)</f>
        <v>#VALUE!</v>
      </c>
      <c r="BZ36" s="36" t="e">
        <f ca="1">BZ22*(BZ$8&lt;='Inputs &amp; Summary'!$D$102)</f>
        <v>#VALUE!</v>
      </c>
      <c r="CA36" s="36" t="e">
        <f ca="1">CA22*(CA$8&lt;='Inputs &amp; Summary'!$D$102)</f>
        <v>#VALUE!</v>
      </c>
      <c r="CB36" s="36" t="e">
        <f ca="1">CB22*(CB$8&lt;='Inputs &amp; Summary'!$D$102)</f>
        <v>#VALUE!</v>
      </c>
      <c r="CC36" s="36" t="e">
        <f ca="1">CC22*(CC$8&lt;='Inputs &amp; Summary'!$D$102)</f>
        <v>#VALUE!</v>
      </c>
      <c r="CD36" s="36" t="e">
        <f ca="1">CD22*(CD$8&lt;='Inputs &amp; Summary'!$D$102)</f>
        <v>#VALUE!</v>
      </c>
      <c r="CE36" s="36" t="e">
        <f ca="1">CE22*(CE$8&lt;='Inputs &amp; Summary'!$D$102)</f>
        <v>#VALUE!</v>
      </c>
      <c r="CF36" s="36" t="e">
        <f ca="1">CF22*(CF$8&lt;='Inputs &amp; Summary'!$D$102)</f>
        <v>#VALUE!</v>
      </c>
      <c r="CG36" s="36" t="e">
        <f ca="1">CG22*(CG$8&lt;='Inputs &amp; Summary'!$D$102)</f>
        <v>#VALUE!</v>
      </c>
      <c r="CH36" s="36" t="e">
        <f ca="1">CH22*(CH$8&lt;='Inputs &amp; Summary'!$D$102)</f>
        <v>#VALUE!</v>
      </c>
      <c r="CI36" s="36" t="e">
        <f ca="1">CI22*(CI$8&lt;='Inputs &amp; Summary'!$D$102)</f>
        <v>#VALUE!</v>
      </c>
      <c r="CJ36" s="36" t="e">
        <f ca="1">CJ22*(CJ$8&lt;='Inputs &amp; Summary'!$D$102)</f>
        <v>#VALUE!</v>
      </c>
      <c r="CK36" s="36" t="e">
        <f ca="1">CK22*(CK$8&lt;='Inputs &amp; Summary'!$D$102)</f>
        <v>#VALUE!</v>
      </c>
      <c r="CL36" s="36" t="e">
        <f ca="1">CL22*(CL$8&lt;='Inputs &amp; Summary'!$D$102)</f>
        <v>#VALUE!</v>
      </c>
      <c r="CM36" s="36" t="e">
        <f ca="1">CM22*(CM$8&lt;='Inputs &amp; Summary'!$D$102)</f>
        <v>#VALUE!</v>
      </c>
      <c r="CN36" s="36" t="e">
        <f ca="1">CN22*(CN$8&lt;='Inputs &amp; Summary'!$D$102)</f>
        <v>#VALUE!</v>
      </c>
      <c r="CO36" s="36" t="e">
        <f ca="1">CO22*(CO$8&lt;='Inputs &amp; Summary'!$D$102)</f>
        <v>#VALUE!</v>
      </c>
      <c r="CP36" s="36" t="e">
        <f ca="1">CP22*(CP$8&lt;='Inputs &amp; Summary'!$D$102)</f>
        <v>#VALUE!</v>
      </c>
      <c r="CQ36" s="36" t="e">
        <f ca="1">CQ22*(CQ$8&lt;='Inputs &amp; Summary'!$D$102)</f>
        <v>#VALUE!</v>
      </c>
      <c r="CR36" s="36" t="e">
        <f ca="1">CR22*(CR$8&lt;='Inputs &amp; Summary'!$D$102)</f>
        <v>#VALUE!</v>
      </c>
      <c r="CS36" s="36" t="e">
        <f ca="1">CS22*(CS$8&lt;='Inputs &amp; Summary'!$D$102)</f>
        <v>#VALUE!</v>
      </c>
      <c r="CT36" s="36" t="e">
        <f ca="1">CT22*(CT$8&lt;='Inputs &amp; Summary'!$D$102)</f>
        <v>#VALUE!</v>
      </c>
      <c r="CU36" s="36" t="e">
        <f ca="1">CU22*(CU$8&lt;='Inputs &amp; Summary'!$D$102)</f>
        <v>#VALUE!</v>
      </c>
      <c r="CV36" s="36" t="e">
        <f ca="1">CV22*(CV$8&lt;='Inputs &amp; Summary'!$D$102)</f>
        <v>#VALUE!</v>
      </c>
      <c r="CW36" s="36" t="e">
        <f ca="1">CW22*(CW$8&lt;='Inputs &amp; Summary'!$D$102)</f>
        <v>#VALUE!</v>
      </c>
      <c r="CX36" s="36" t="e">
        <f ca="1">CX22*(CX$8&lt;='Inputs &amp; Summary'!$D$102)</f>
        <v>#VALUE!</v>
      </c>
      <c r="CY36" s="36" t="e">
        <f ca="1">CY22*(CY$8&lt;='Inputs &amp; Summary'!$D$102)</f>
        <v>#VALUE!</v>
      </c>
      <c r="CZ36" s="36" t="e">
        <f ca="1">CZ22*(CZ$8&lt;='Inputs &amp; Summary'!$D$102)</f>
        <v>#VALUE!</v>
      </c>
      <c r="DA36" s="36" t="e">
        <f ca="1">DA22*(DA$8&lt;='Inputs &amp; Summary'!$D$102)</f>
        <v>#VALUE!</v>
      </c>
      <c r="DB36" s="36" t="e">
        <f ca="1">DB22*(DB$8&lt;='Inputs &amp; Summary'!$D$102)</f>
        <v>#VALUE!</v>
      </c>
      <c r="DC36" s="36" t="e">
        <f ca="1">DC22*(DC$8&lt;='Inputs &amp; Summary'!$D$102)</f>
        <v>#VALUE!</v>
      </c>
      <c r="DD36" s="36" t="e">
        <f ca="1">DD22*(DD$8&lt;='Inputs &amp; Summary'!$D$102)</f>
        <v>#VALUE!</v>
      </c>
      <c r="DE36" s="36" t="e">
        <f ca="1">DE22*(DE$8&lt;='Inputs &amp; Summary'!$D$102)</f>
        <v>#VALUE!</v>
      </c>
      <c r="DF36" s="36" t="e">
        <f ca="1">DF22*(DF$8&lt;='Inputs &amp; Summary'!$D$102)</f>
        <v>#VALUE!</v>
      </c>
      <c r="DG36" s="36" t="e">
        <f ca="1">DG22*(DG$8&lt;='Inputs &amp; Summary'!$D$102)</f>
        <v>#VALUE!</v>
      </c>
      <c r="DH36" s="36" t="e">
        <f ca="1">DH22*(DH$8&lt;='Inputs &amp; Summary'!$D$102)</f>
        <v>#VALUE!</v>
      </c>
      <c r="DI36" s="36" t="e">
        <f ca="1">DI22*(DI$8&lt;='Inputs &amp; Summary'!$D$102)</f>
        <v>#VALUE!</v>
      </c>
      <c r="DJ36" s="36" t="e">
        <f ca="1">DJ22*(DJ$8&lt;='Inputs &amp; Summary'!$D$102)</f>
        <v>#VALUE!</v>
      </c>
      <c r="DK36" s="36" t="e">
        <f ca="1">DK22*(DK$8&lt;='Inputs &amp; Summary'!$D$102)</f>
        <v>#VALUE!</v>
      </c>
      <c r="DL36" s="36" t="e">
        <f ca="1">DL22*(DL$8&lt;='Inputs &amp; Summary'!$D$102)</f>
        <v>#VALUE!</v>
      </c>
      <c r="DM36" s="36" t="e">
        <f ca="1">DM22*(DM$8&lt;='Inputs &amp; Summary'!$D$102)</f>
        <v>#VALUE!</v>
      </c>
      <c r="DN36" s="36" t="e">
        <f ca="1">DN22*(DN$8&lt;='Inputs &amp; Summary'!$D$102)</f>
        <v>#VALUE!</v>
      </c>
      <c r="DO36" s="36" t="e">
        <f ca="1">DO22*(DO$8&lt;='Inputs &amp; Summary'!$D$102)</f>
        <v>#VALUE!</v>
      </c>
      <c r="DP36" s="36" t="e">
        <f ca="1">DP22*(DP$8&lt;='Inputs &amp; Summary'!$D$102)</f>
        <v>#VALUE!</v>
      </c>
      <c r="DQ36" s="36" t="e">
        <f ca="1">DQ22*(DQ$8&lt;='Inputs &amp; Summary'!$D$102)</f>
        <v>#VALUE!</v>
      </c>
      <c r="DR36" s="36" t="e">
        <f ca="1">DR22*(DR$8&lt;='Inputs &amp; Summary'!$D$102)</f>
        <v>#VALUE!</v>
      </c>
      <c r="DS36" s="36" t="e">
        <f ca="1">DS22*(DS$8&lt;='Inputs &amp; Summary'!$D$102)</f>
        <v>#VALUE!</v>
      </c>
      <c r="DT36" s="36" t="e">
        <f ca="1">DT22*(DT$8&lt;='Inputs &amp; Summary'!$D$102)</f>
        <v>#VALUE!</v>
      </c>
    </row>
    <row r="37" spans="2:124" x14ac:dyDescent="0.25">
      <c r="B37" s="6" t="s">
        <v>51</v>
      </c>
      <c r="C37" s="31"/>
      <c r="D37" s="31"/>
      <c r="E37" s="43" t="e">
        <f ca="1">SUM(E36)</f>
        <v>#VALUE!</v>
      </c>
      <c r="F37" s="43" t="e">
        <f t="shared" ref="F37:AJ37" ca="1" si="66">SUM(F36)</f>
        <v>#VALUE!</v>
      </c>
      <c r="G37" s="43" t="e">
        <f t="shared" ca="1" si="66"/>
        <v>#VALUE!</v>
      </c>
      <c r="H37" s="43" t="e">
        <f t="shared" ca="1" si="66"/>
        <v>#VALUE!</v>
      </c>
      <c r="I37" s="43" t="e">
        <f t="shared" ca="1" si="66"/>
        <v>#VALUE!</v>
      </c>
      <c r="J37" s="43" t="e">
        <f t="shared" ca="1" si="66"/>
        <v>#VALUE!</v>
      </c>
      <c r="K37" s="43" t="e">
        <f t="shared" ca="1" si="66"/>
        <v>#VALUE!</v>
      </c>
      <c r="L37" s="43" t="e">
        <f t="shared" ca="1" si="66"/>
        <v>#VALUE!</v>
      </c>
      <c r="M37" s="43" t="e">
        <f t="shared" ca="1" si="66"/>
        <v>#VALUE!</v>
      </c>
      <c r="N37" s="43" t="e">
        <f t="shared" ca="1" si="66"/>
        <v>#VALUE!</v>
      </c>
      <c r="O37" s="43" t="e">
        <f t="shared" ca="1" si="66"/>
        <v>#VALUE!</v>
      </c>
      <c r="P37" s="43" t="e">
        <f t="shared" ca="1" si="66"/>
        <v>#VALUE!</v>
      </c>
      <c r="Q37" s="43" t="e">
        <f t="shared" ca="1" si="66"/>
        <v>#VALUE!</v>
      </c>
      <c r="R37" s="43" t="e">
        <f t="shared" ca="1" si="66"/>
        <v>#VALUE!</v>
      </c>
      <c r="S37" s="43" t="e">
        <f t="shared" ca="1" si="66"/>
        <v>#VALUE!</v>
      </c>
      <c r="T37" s="43" t="e">
        <f t="shared" ca="1" si="66"/>
        <v>#VALUE!</v>
      </c>
      <c r="U37" s="43" t="e">
        <f t="shared" ca="1" si="66"/>
        <v>#VALUE!</v>
      </c>
      <c r="V37" s="43" t="e">
        <f t="shared" ca="1" si="66"/>
        <v>#VALUE!</v>
      </c>
      <c r="W37" s="43" t="e">
        <f t="shared" ca="1" si="66"/>
        <v>#VALUE!</v>
      </c>
      <c r="X37" s="43" t="e">
        <f t="shared" ca="1" si="66"/>
        <v>#VALUE!</v>
      </c>
      <c r="Y37" s="43" t="e">
        <f t="shared" ca="1" si="66"/>
        <v>#VALUE!</v>
      </c>
      <c r="Z37" s="43" t="e">
        <f t="shared" ca="1" si="66"/>
        <v>#VALUE!</v>
      </c>
      <c r="AA37" s="43" t="e">
        <f t="shared" ca="1" si="66"/>
        <v>#VALUE!</v>
      </c>
      <c r="AB37" s="43" t="e">
        <f t="shared" ca="1" si="66"/>
        <v>#VALUE!</v>
      </c>
      <c r="AC37" s="43" t="e">
        <f t="shared" ca="1" si="66"/>
        <v>#VALUE!</v>
      </c>
      <c r="AD37" s="43" t="e">
        <f t="shared" ca="1" si="66"/>
        <v>#VALUE!</v>
      </c>
      <c r="AE37" s="43" t="e">
        <f t="shared" ca="1" si="66"/>
        <v>#VALUE!</v>
      </c>
      <c r="AF37" s="43" t="e">
        <f t="shared" ca="1" si="66"/>
        <v>#VALUE!</v>
      </c>
      <c r="AG37" s="43" t="e">
        <f t="shared" ca="1" si="66"/>
        <v>#VALUE!</v>
      </c>
      <c r="AH37" s="43" t="e">
        <f t="shared" ca="1" si="66"/>
        <v>#VALUE!</v>
      </c>
      <c r="AI37" s="43" t="e">
        <f t="shared" ca="1" si="66"/>
        <v>#VALUE!</v>
      </c>
      <c r="AJ37" s="43" t="e">
        <f t="shared" ca="1" si="66"/>
        <v>#VALUE!</v>
      </c>
      <c r="AK37" s="43" t="e">
        <f t="shared" ref="AK37:BP37" ca="1" si="67">SUM(AK36)</f>
        <v>#VALUE!</v>
      </c>
      <c r="AL37" s="43" t="e">
        <f t="shared" ca="1" si="67"/>
        <v>#VALUE!</v>
      </c>
      <c r="AM37" s="43" t="e">
        <f t="shared" ca="1" si="67"/>
        <v>#VALUE!</v>
      </c>
      <c r="AN37" s="43" t="e">
        <f t="shared" ca="1" si="67"/>
        <v>#VALUE!</v>
      </c>
      <c r="AO37" s="43" t="e">
        <f t="shared" ca="1" si="67"/>
        <v>#VALUE!</v>
      </c>
      <c r="AP37" s="43" t="e">
        <f t="shared" ca="1" si="67"/>
        <v>#VALUE!</v>
      </c>
      <c r="AQ37" s="43" t="e">
        <f t="shared" ca="1" si="67"/>
        <v>#VALUE!</v>
      </c>
      <c r="AR37" s="43" t="e">
        <f t="shared" ca="1" si="67"/>
        <v>#VALUE!</v>
      </c>
      <c r="AS37" s="43" t="e">
        <f t="shared" ca="1" si="67"/>
        <v>#VALUE!</v>
      </c>
      <c r="AT37" s="43" t="e">
        <f t="shared" ca="1" si="67"/>
        <v>#VALUE!</v>
      </c>
      <c r="AU37" s="43" t="e">
        <f t="shared" ca="1" si="67"/>
        <v>#VALUE!</v>
      </c>
      <c r="AV37" s="43" t="e">
        <f t="shared" ca="1" si="67"/>
        <v>#VALUE!</v>
      </c>
      <c r="AW37" s="43" t="e">
        <f t="shared" ca="1" si="67"/>
        <v>#VALUE!</v>
      </c>
      <c r="AX37" s="43" t="e">
        <f t="shared" ca="1" si="67"/>
        <v>#VALUE!</v>
      </c>
      <c r="AY37" s="43" t="e">
        <f t="shared" ca="1" si="67"/>
        <v>#VALUE!</v>
      </c>
      <c r="AZ37" s="43" t="e">
        <f t="shared" ca="1" si="67"/>
        <v>#VALUE!</v>
      </c>
      <c r="BA37" s="43" t="e">
        <f t="shared" ca="1" si="67"/>
        <v>#VALUE!</v>
      </c>
      <c r="BB37" s="43" t="e">
        <f t="shared" ca="1" si="67"/>
        <v>#VALUE!</v>
      </c>
      <c r="BC37" s="43" t="e">
        <f t="shared" ca="1" si="67"/>
        <v>#VALUE!</v>
      </c>
      <c r="BD37" s="43" t="e">
        <f t="shared" ca="1" si="67"/>
        <v>#VALUE!</v>
      </c>
      <c r="BE37" s="43" t="e">
        <f t="shared" ca="1" si="67"/>
        <v>#VALUE!</v>
      </c>
      <c r="BF37" s="43" t="e">
        <f t="shared" ca="1" si="67"/>
        <v>#VALUE!</v>
      </c>
      <c r="BG37" s="43" t="e">
        <f t="shared" ca="1" si="67"/>
        <v>#VALUE!</v>
      </c>
      <c r="BH37" s="43" t="e">
        <f t="shared" ca="1" si="67"/>
        <v>#VALUE!</v>
      </c>
      <c r="BI37" s="43" t="e">
        <f t="shared" ca="1" si="67"/>
        <v>#VALUE!</v>
      </c>
      <c r="BJ37" s="43" t="e">
        <f t="shared" ca="1" si="67"/>
        <v>#VALUE!</v>
      </c>
      <c r="BK37" s="43" t="e">
        <f t="shared" ca="1" si="67"/>
        <v>#VALUE!</v>
      </c>
      <c r="BL37" s="43" t="e">
        <f t="shared" ca="1" si="67"/>
        <v>#VALUE!</v>
      </c>
      <c r="BM37" s="43" t="e">
        <f t="shared" ca="1" si="67"/>
        <v>#VALUE!</v>
      </c>
      <c r="BN37" s="43" t="e">
        <f t="shared" ca="1" si="67"/>
        <v>#VALUE!</v>
      </c>
      <c r="BO37" s="43" t="e">
        <f t="shared" ca="1" si="67"/>
        <v>#VALUE!</v>
      </c>
      <c r="BP37" s="43" t="e">
        <f t="shared" ca="1" si="67"/>
        <v>#VALUE!</v>
      </c>
      <c r="BQ37" s="43" t="e">
        <f t="shared" ref="BQ37:CV37" ca="1" si="68">SUM(BQ36)</f>
        <v>#VALUE!</v>
      </c>
      <c r="BR37" s="43" t="e">
        <f t="shared" ca="1" si="68"/>
        <v>#VALUE!</v>
      </c>
      <c r="BS37" s="43" t="e">
        <f t="shared" ca="1" si="68"/>
        <v>#VALUE!</v>
      </c>
      <c r="BT37" s="43" t="e">
        <f t="shared" ca="1" si="68"/>
        <v>#VALUE!</v>
      </c>
      <c r="BU37" s="43" t="e">
        <f t="shared" ca="1" si="68"/>
        <v>#VALUE!</v>
      </c>
      <c r="BV37" s="43" t="e">
        <f t="shared" ca="1" si="68"/>
        <v>#VALUE!</v>
      </c>
      <c r="BW37" s="43" t="e">
        <f t="shared" ca="1" si="68"/>
        <v>#VALUE!</v>
      </c>
      <c r="BX37" s="43" t="e">
        <f t="shared" ca="1" si="68"/>
        <v>#VALUE!</v>
      </c>
      <c r="BY37" s="43" t="e">
        <f t="shared" ca="1" si="68"/>
        <v>#VALUE!</v>
      </c>
      <c r="BZ37" s="43" t="e">
        <f t="shared" ca="1" si="68"/>
        <v>#VALUE!</v>
      </c>
      <c r="CA37" s="43" t="e">
        <f t="shared" ca="1" si="68"/>
        <v>#VALUE!</v>
      </c>
      <c r="CB37" s="43" t="e">
        <f t="shared" ca="1" si="68"/>
        <v>#VALUE!</v>
      </c>
      <c r="CC37" s="43" t="e">
        <f t="shared" ca="1" si="68"/>
        <v>#VALUE!</v>
      </c>
      <c r="CD37" s="43" t="e">
        <f t="shared" ca="1" si="68"/>
        <v>#VALUE!</v>
      </c>
      <c r="CE37" s="43" t="e">
        <f t="shared" ca="1" si="68"/>
        <v>#VALUE!</v>
      </c>
      <c r="CF37" s="43" t="e">
        <f t="shared" ca="1" si="68"/>
        <v>#VALUE!</v>
      </c>
      <c r="CG37" s="43" t="e">
        <f t="shared" ca="1" si="68"/>
        <v>#VALUE!</v>
      </c>
      <c r="CH37" s="43" t="e">
        <f t="shared" ca="1" si="68"/>
        <v>#VALUE!</v>
      </c>
      <c r="CI37" s="43" t="e">
        <f t="shared" ca="1" si="68"/>
        <v>#VALUE!</v>
      </c>
      <c r="CJ37" s="43" t="e">
        <f t="shared" ca="1" si="68"/>
        <v>#VALUE!</v>
      </c>
      <c r="CK37" s="43" t="e">
        <f t="shared" ca="1" si="68"/>
        <v>#VALUE!</v>
      </c>
      <c r="CL37" s="43" t="e">
        <f t="shared" ca="1" si="68"/>
        <v>#VALUE!</v>
      </c>
      <c r="CM37" s="43" t="e">
        <f t="shared" ca="1" si="68"/>
        <v>#VALUE!</v>
      </c>
      <c r="CN37" s="43" t="e">
        <f t="shared" ca="1" si="68"/>
        <v>#VALUE!</v>
      </c>
      <c r="CO37" s="43" t="e">
        <f t="shared" ca="1" si="68"/>
        <v>#VALUE!</v>
      </c>
      <c r="CP37" s="43" t="e">
        <f t="shared" ca="1" si="68"/>
        <v>#VALUE!</v>
      </c>
      <c r="CQ37" s="43" t="e">
        <f t="shared" ca="1" si="68"/>
        <v>#VALUE!</v>
      </c>
      <c r="CR37" s="43" t="e">
        <f t="shared" ca="1" si="68"/>
        <v>#VALUE!</v>
      </c>
      <c r="CS37" s="43" t="e">
        <f t="shared" ca="1" si="68"/>
        <v>#VALUE!</v>
      </c>
      <c r="CT37" s="43" t="e">
        <f t="shared" ca="1" si="68"/>
        <v>#VALUE!</v>
      </c>
      <c r="CU37" s="43" t="e">
        <f t="shared" ca="1" si="68"/>
        <v>#VALUE!</v>
      </c>
      <c r="CV37" s="43" t="e">
        <f t="shared" ca="1" si="68"/>
        <v>#VALUE!</v>
      </c>
      <c r="CW37" s="43" t="e">
        <f t="shared" ref="CW37:DT37" ca="1" si="69">SUM(CW36)</f>
        <v>#VALUE!</v>
      </c>
      <c r="CX37" s="43" t="e">
        <f t="shared" ca="1" si="69"/>
        <v>#VALUE!</v>
      </c>
      <c r="CY37" s="43" t="e">
        <f t="shared" ca="1" si="69"/>
        <v>#VALUE!</v>
      </c>
      <c r="CZ37" s="43" t="e">
        <f t="shared" ca="1" si="69"/>
        <v>#VALUE!</v>
      </c>
      <c r="DA37" s="43" t="e">
        <f t="shared" ca="1" si="69"/>
        <v>#VALUE!</v>
      </c>
      <c r="DB37" s="43" t="e">
        <f t="shared" ca="1" si="69"/>
        <v>#VALUE!</v>
      </c>
      <c r="DC37" s="43" t="e">
        <f t="shared" ca="1" si="69"/>
        <v>#VALUE!</v>
      </c>
      <c r="DD37" s="43" t="e">
        <f t="shared" ca="1" si="69"/>
        <v>#VALUE!</v>
      </c>
      <c r="DE37" s="43" t="e">
        <f t="shared" ca="1" si="69"/>
        <v>#VALUE!</v>
      </c>
      <c r="DF37" s="43" t="e">
        <f t="shared" ca="1" si="69"/>
        <v>#VALUE!</v>
      </c>
      <c r="DG37" s="43" t="e">
        <f t="shared" ca="1" si="69"/>
        <v>#VALUE!</v>
      </c>
      <c r="DH37" s="43" t="e">
        <f t="shared" ca="1" si="69"/>
        <v>#VALUE!</v>
      </c>
      <c r="DI37" s="43" t="e">
        <f t="shared" ca="1" si="69"/>
        <v>#VALUE!</v>
      </c>
      <c r="DJ37" s="43" t="e">
        <f t="shared" ca="1" si="69"/>
        <v>#VALUE!</v>
      </c>
      <c r="DK37" s="43" t="e">
        <f t="shared" ca="1" si="69"/>
        <v>#VALUE!</v>
      </c>
      <c r="DL37" s="43" t="e">
        <f t="shared" ca="1" si="69"/>
        <v>#VALUE!</v>
      </c>
      <c r="DM37" s="43" t="e">
        <f t="shared" ca="1" si="69"/>
        <v>#VALUE!</v>
      </c>
      <c r="DN37" s="43" t="e">
        <f t="shared" ca="1" si="69"/>
        <v>#VALUE!</v>
      </c>
      <c r="DO37" s="43" t="e">
        <f t="shared" ca="1" si="69"/>
        <v>#VALUE!</v>
      </c>
      <c r="DP37" s="43" t="e">
        <f t="shared" ca="1" si="69"/>
        <v>#VALUE!</v>
      </c>
      <c r="DQ37" s="43" t="e">
        <f t="shared" ca="1" si="69"/>
        <v>#VALUE!</v>
      </c>
      <c r="DR37" s="43" t="e">
        <f t="shared" ca="1" si="69"/>
        <v>#VALUE!</v>
      </c>
      <c r="DS37" s="43" t="e">
        <f t="shared" ca="1" si="69"/>
        <v>#VALUE!</v>
      </c>
      <c r="DT37" s="43" t="e">
        <f t="shared" ca="1" si="69"/>
        <v>#VALUE!</v>
      </c>
    </row>
    <row r="39" spans="2:124" x14ac:dyDescent="0.25">
      <c r="B39" s="1" t="s">
        <v>57</v>
      </c>
      <c r="C39" s="31"/>
      <c r="D39" s="31"/>
      <c r="E39" s="13">
        <f>IF(E$8='Inputs &amp; Summary'!$D$102,'Inputs &amp; Summary'!$O$5,0)</f>
        <v>0</v>
      </c>
      <c r="F39" s="13">
        <f>IF(F$8='Inputs &amp; Summary'!$D$102,'Inputs &amp; Summary'!$O$5,0)</f>
        <v>0</v>
      </c>
      <c r="G39" s="13">
        <f>IF(G$8='Inputs &amp; Summary'!$D$102,'Inputs &amp; Summary'!$O$5,0)</f>
        <v>0</v>
      </c>
      <c r="H39" s="13">
        <f>IF(H$8='Inputs &amp; Summary'!$D$102,'Inputs &amp; Summary'!$O$5,0)</f>
        <v>0</v>
      </c>
      <c r="I39" s="13">
        <f>IF(I$8='Inputs &amp; Summary'!$D$102,'Inputs &amp; Summary'!$O$5,0)</f>
        <v>0</v>
      </c>
      <c r="J39" s="13">
        <f>IF(J$8='Inputs &amp; Summary'!$D$102,'Inputs &amp; Summary'!$O$5,0)</f>
        <v>0</v>
      </c>
      <c r="K39" s="13">
        <f>IF(K$8='Inputs &amp; Summary'!$D$102,'Inputs &amp; Summary'!$O$5,0)</f>
        <v>0</v>
      </c>
      <c r="L39" s="13">
        <f>IF(L$8='Inputs &amp; Summary'!$D$102,'Inputs &amp; Summary'!$O$5,0)</f>
        <v>0</v>
      </c>
      <c r="M39" s="13">
        <f>IF(M$8='Inputs &amp; Summary'!$D$102,'Inputs &amp; Summary'!$O$5,0)</f>
        <v>0</v>
      </c>
      <c r="N39" s="13">
        <f>IF(N$8='Inputs &amp; Summary'!$D$102,'Inputs &amp; Summary'!$O$5,0)</f>
        <v>0</v>
      </c>
      <c r="O39" s="13">
        <f>IF(O$8='Inputs &amp; Summary'!$D$102,'Inputs &amp; Summary'!$O$5,0)</f>
        <v>0</v>
      </c>
      <c r="P39" s="13">
        <f>IF(P$8='Inputs &amp; Summary'!$D$102,'Inputs &amp; Summary'!$O$5,0)</f>
        <v>0</v>
      </c>
      <c r="Q39" s="13">
        <f>IF(Q$8='Inputs &amp; Summary'!$D$102,'Inputs &amp; Summary'!$O$5,0)</f>
        <v>0</v>
      </c>
      <c r="R39" s="13">
        <f>IF(R$8='Inputs &amp; Summary'!$D$102,'Inputs &amp; Summary'!$O$5,0)</f>
        <v>0</v>
      </c>
      <c r="S39" s="13">
        <f>IF(S$8='Inputs &amp; Summary'!$D$102,'Inputs &amp; Summary'!$O$5,0)</f>
        <v>0</v>
      </c>
      <c r="T39" s="13">
        <f>IF(T$8='Inputs &amp; Summary'!$D$102,'Inputs &amp; Summary'!$O$5,0)</f>
        <v>0</v>
      </c>
      <c r="U39" s="13">
        <f>IF(U$8='Inputs &amp; Summary'!$D$102,'Inputs &amp; Summary'!$O$5,0)</f>
        <v>0</v>
      </c>
      <c r="V39" s="13">
        <f>IF(V$8='Inputs &amp; Summary'!$D$102,'Inputs &amp; Summary'!$O$5,0)</f>
        <v>0</v>
      </c>
      <c r="W39" s="13">
        <f>IF(W$8='Inputs &amp; Summary'!$D$102,'Inputs &amp; Summary'!$O$5,0)</f>
        <v>0</v>
      </c>
      <c r="X39" s="13">
        <f>IF(X$8='Inputs &amp; Summary'!$D$102,'Inputs &amp; Summary'!$O$5,0)</f>
        <v>0</v>
      </c>
      <c r="Y39" s="13">
        <f>IF(Y$8='Inputs &amp; Summary'!$D$102,'Inputs &amp; Summary'!$O$5,0)</f>
        <v>0</v>
      </c>
      <c r="Z39" s="13">
        <f>IF(Z$8='Inputs &amp; Summary'!$D$102,'Inputs &amp; Summary'!$O$5,0)</f>
        <v>0</v>
      </c>
      <c r="AA39" s="13">
        <f>IF(AA$8='Inputs &amp; Summary'!$D$102,'Inputs &amp; Summary'!$O$5,0)</f>
        <v>0</v>
      </c>
      <c r="AB39" s="13">
        <f>IF(AB$8='Inputs &amp; Summary'!$D$102,'Inputs &amp; Summary'!$O$5,0)</f>
        <v>0</v>
      </c>
      <c r="AC39" s="13">
        <f>IF(AC$8='Inputs &amp; Summary'!$D$102,'Inputs &amp; Summary'!$O$5,0)</f>
        <v>0</v>
      </c>
      <c r="AD39" s="13">
        <f>IF(AD$8='Inputs &amp; Summary'!$D$102,'Inputs &amp; Summary'!$O$5,0)</f>
        <v>0</v>
      </c>
      <c r="AE39" s="13">
        <f>IF(AE$8='Inputs &amp; Summary'!$D$102,'Inputs &amp; Summary'!$O$5,0)</f>
        <v>0</v>
      </c>
      <c r="AF39" s="13">
        <f>IF(AF$8='Inputs &amp; Summary'!$D$102,'Inputs &amp; Summary'!$O$5,0)</f>
        <v>0</v>
      </c>
      <c r="AG39" s="13">
        <f>IF(AG$8='Inputs &amp; Summary'!$D$102,'Inputs &amp; Summary'!$O$5,0)</f>
        <v>0</v>
      </c>
      <c r="AH39" s="13">
        <f>IF(AH$8='Inputs &amp; Summary'!$D$102,'Inputs &amp; Summary'!$O$5,0)</f>
        <v>0</v>
      </c>
      <c r="AI39" s="13">
        <f>IF(AI$8='Inputs &amp; Summary'!$D$102,'Inputs &amp; Summary'!$O$5,0)</f>
        <v>0</v>
      </c>
      <c r="AJ39" s="13">
        <f>IF(AJ$8='Inputs &amp; Summary'!$D$102,'Inputs &amp; Summary'!$O$5,0)</f>
        <v>0</v>
      </c>
      <c r="AK39" s="13">
        <f>IF(AK$8='Inputs &amp; Summary'!$D$102,'Inputs &amp; Summary'!$O$5,0)</f>
        <v>0</v>
      </c>
      <c r="AL39" s="13">
        <f>IF(AL$8='Inputs &amp; Summary'!$D$102,'Inputs &amp; Summary'!$O$5,0)</f>
        <v>0</v>
      </c>
      <c r="AM39" s="13">
        <f>IF(AM$8='Inputs &amp; Summary'!$D$102,'Inputs &amp; Summary'!$O$5,0)</f>
        <v>0</v>
      </c>
      <c r="AN39" s="13">
        <f>IF(AN$8='Inputs &amp; Summary'!$D$102,'Inputs &amp; Summary'!$O$5,0)</f>
        <v>0</v>
      </c>
      <c r="AO39" s="13">
        <f>IF(AO$8='Inputs &amp; Summary'!$D$102,'Inputs &amp; Summary'!$O$5,0)</f>
        <v>0</v>
      </c>
      <c r="AP39" s="13">
        <f>IF(AP$8='Inputs &amp; Summary'!$D$102,'Inputs &amp; Summary'!$O$5,0)</f>
        <v>0</v>
      </c>
      <c r="AQ39" s="13">
        <f>IF(AQ$8='Inputs &amp; Summary'!$D$102,'Inputs &amp; Summary'!$O$5,0)</f>
        <v>0</v>
      </c>
      <c r="AR39" s="13">
        <f>IF(AR$8='Inputs &amp; Summary'!$D$102,'Inputs &amp; Summary'!$O$5,0)</f>
        <v>0</v>
      </c>
      <c r="AS39" s="13">
        <f>IF(AS$8='Inputs &amp; Summary'!$D$102,'Inputs &amp; Summary'!$O$5,0)</f>
        <v>0</v>
      </c>
      <c r="AT39" s="13">
        <f>IF(AT$8='Inputs &amp; Summary'!$D$102,'Inputs &amp; Summary'!$O$5,0)</f>
        <v>0</v>
      </c>
      <c r="AU39" s="13">
        <f>IF(AU$8='Inputs &amp; Summary'!$D$102,'Inputs &amp; Summary'!$O$5,0)</f>
        <v>0</v>
      </c>
      <c r="AV39" s="13">
        <f>IF(AV$8='Inputs &amp; Summary'!$D$102,'Inputs &amp; Summary'!$O$5,0)</f>
        <v>0</v>
      </c>
      <c r="AW39" s="13">
        <f>IF(AW$8='Inputs &amp; Summary'!$D$102,'Inputs &amp; Summary'!$O$5,0)</f>
        <v>0</v>
      </c>
      <c r="AX39" s="13">
        <f>IF(AX$8='Inputs &amp; Summary'!$D$102,'Inputs &amp; Summary'!$O$5,0)</f>
        <v>0</v>
      </c>
      <c r="AY39" s="13">
        <f>IF(AY$8='Inputs &amp; Summary'!$D$102,'Inputs &amp; Summary'!$O$5,0)</f>
        <v>0</v>
      </c>
      <c r="AZ39" s="13">
        <f>IF(AZ$8='Inputs &amp; Summary'!$D$102,'Inputs &amp; Summary'!$O$5,0)</f>
        <v>0</v>
      </c>
      <c r="BA39" s="13">
        <f>IF(BA$8='Inputs &amp; Summary'!$D$102,'Inputs &amp; Summary'!$O$5,0)</f>
        <v>0</v>
      </c>
      <c r="BB39" s="13">
        <f>IF(BB$8='Inputs &amp; Summary'!$D$102,'Inputs &amp; Summary'!$O$5,0)</f>
        <v>0</v>
      </c>
      <c r="BC39" s="13">
        <f>IF(BC$8='Inputs &amp; Summary'!$D$102,'Inputs &amp; Summary'!$O$5,0)</f>
        <v>0</v>
      </c>
      <c r="BD39" s="13">
        <f>IF(BD$8='Inputs &amp; Summary'!$D$102,'Inputs &amp; Summary'!$O$5,0)</f>
        <v>0</v>
      </c>
      <c r="BE39" s="13">
        <f>IF(BE$8='Inputs &amp; Summary'!$D$102,'Inputs &amp; Summary'!$O$5,0)</f>
        <v>0</v>
      </c>
      <c r="BF39" s="13">
        <f>IF(BF$8='Inputs &amp; Summary'!$D$102,'Inputs &amp; Summary'!$O$5,0)</f>
        <v>0</v>
      </c>
      <c r="BG39" s="13">
        <f>IF(BG$8='Inputs &amp; Summary'!$D$102,'Inputs &amp; Summary'!$O$5,0)</f>
        <v>0</v>
      </c>
      <c r="BH39" s="13">
        <f>IF(BH$8='Inputs &amp; Summary'!$D$102,'Inputs &amp; Summary'!$O$5,0)</f>
        <v>0</v>
      </c>
      <c r="BI39" s="13">
        <f>IF(BI$8='Inputs &amp; Summary'!$D$102,'Inputs &amp; Summary'!$O$5,0)</f>
        <v>0</v>
      </c>
      <c r="BJ39" s="13">
        <f>IF(BJ$8='Inputs &amp; Summary'!$D$102,'Inputs &amp; Summary'!$O$5,0)</f>
        <v>0</v>
      </c>
      <c r="BK39" s="13">
        <f>IF(BK$8='Inputs &amp; Summary'!$D$102,'Inputs &amp; Summary'!$O$5,0)</f>
        <v>0</v>
      </c>
      <c r="BL39" s="13">
        <f>IF(BL$8='Inputs &amp; Summary'!$D$102,'Inputs &amp; Summary'!$O$5,0)</f>
        <v>0</v>
      </c>
      <c r="BM39" s="13">
        <f>IF(BM$8='Inputs &amp; Summary'!$D$102,'Inputs &amp; Summary'!$O$5,0)</f>
        <v>0</v>
      </c>
      <c r="BN39" s="13">
        <f>IF(BN$8='Inputs &amp; Summary'!$D$102,'Inputs &amp; Summary'!$O$5,0)</f>
        <v>0</v>
      </c>
      <c r="BO39" s="13">
        <f>IF(BO$8='Inputs &amp; Summary'!$D$102,'Inputs &amp; Summary'!$O$5,0)</f>
        <v>0</v>
      </c>
      <c r="BP39" s="13">
        <f>IF(BP$8='Inputs &amp; Summary'!$D$102,'Inputs &amp; Summary'!$O$5,0)</f>
        <v>0</v>
      </c>
      <c r="BQ39" s="13">
        <f>IF(BQ$8='Inputs &amp; Summary'!$D$102,'Inputs &amp; Summary'!$O$5,0)</f>
        <v>0</v>
      </c>
      <c r="BR39" s="13">
        <f>IF(BR$8='Inputs &amp; Summary'!$D$102,'Inputs &amp; Summary'!$O$5,0)</f>
        <v>0</v>
      </c>
      <c r="BS39" s="13">
        <f>IF(BS$8='Inputs &amp; Summary'!$D$102,'Inputs &amp; Summary'!$O$5,0)</f>
        <v>0</v>
      </c>
      <c r="BT39" s="13">
        <f>IF(BT$8='Inputs &amp; Summary'!$D$102,'Inputs &amp; Summary'!$O$5,0)</f>
        <v>0</v>
      </c>
      <c r="BU39" s="13">
        <f>IF(BU$8='Inputs &amp; Summary'!$D$102,'Inputs &amp; Summary'!$O$5,0)</f>
        <v>0</v>
      </c>
      <c r="BV39" s="13">
        <f>IF(BV$8='Inputs &amp; Summary'!$D$102,'Inputs &amp; Summary'!$O$5,0)</f>
        <v>0</v>
      </c>
      <c r="BW39" s="13">
        <f>IF(BW$8='Inputs &amp; Summary'!$D$102,'Inputs &amp; Summary'!$O$5,0)</f>
        <v>0</v>
      </c>
      <c r="BX39" s="13">
        <f>IF(BX$8='Inputs &amp; Summary'!$D$102,'Inputs &amp; Summary'!$O$5,0)</f>
        <v>0</v>
      </c>
      <c r="BY39" s="13">
        <f>IF(BY$8='Inputs &amp; Summary'!$D$102,'Inputs &amp; Summary'!$O$5,0)</f>
        <v>0</v>
      </c>
      <c r="BZ39" s="13">
        <f>IF(BZ$8='Inputs &amp; Summary'!$D$102,'Inputs &amp; Summary'!$O$5,0)</f>
        <v>0</v>
      </c>
      <c r="CA39" s="13">
        <f>IF(CA$8='Inputs &amp; Summary'!$D$102,'Inputs &amp; Summary'!$O$5,0)</f>
        <v>0</v>
      </c>
      <c r="CB39" s="13">
        <f>IF(CB$8='Inputs &amp; Summary'!$D$102,'Inputs &amp; Summary'!$O$5,0)</f>
        <v>0</v>
      </c>
      <c r="CC39" s="13">
        <f>IF(CC$8='Inputs &amp; Summary'!$D$102,'Inputs &amp; Summary'!$O$5,0)</f>
        <v>0</v>
      </c>
      <c r="CD39" s="13">
        <f>IF(CD$8='Inputs &amp; Summary'!$D$102,'Inputs &amp; Summary'!$O$5,0)</f>
        <v>0</v>
      </c>
      <c r="CE39" s="13">
        <f>IF(CE$8='Inputs &amp; Summary'!$D$102,'Inputs &amp; Summary'!$O$5,0)</f>
        <v>0</v>
      </c>
      <c r="CF39" s="13">
        <f>IF(CF$8='Inputs &amp; Summary'!$D$102,'Inputs &amp; Summary'!$O$5,0)</f>
        <v>0</v>
      </c>
      <c r="CG39" s="13">
        <f>IF(CG$8='Inputs &amp; Summary'!$D$102,'Inputs &amp; Summary'!$O$5,0)</f>
        <v>0</v>
      </c>
      <c r="CH39" s="13">
        <f>IF(CH$8='Inputs &amp; Summary'!$D$102,'Inputs &amp; Summary'!$O$5,0)</f>
        <v>0</v>
      </c>
      <c r="CI39" s="13">
        <f>IF(CI$8='Inputs &amp; Summary'!$D$102,'Inputs &amp; Summary'!$O$5,0)</f>
        <v>0</v>
      </c>
      <c r="CJ39" s="13">
        <f>IF(CJ$8='Inputs &amp; Summary'!$D$102,'Inputs &amp; Summary'!$O$5,0)</f>
        <v>0</v>
      </c>
      <c r="CK39" s="13">
        <f>IF(CK$8='Inputs &amp; Summary'!$D$102,'Inputs &amp; Summary'!$O$5,0)</f>
        <v>0</v>
      </c>
      <c r="CL39" s="13">
        <f>IF(CL$8='Inputs &amp; Summary'!$D$102,'Inputs &amp; Summary'!$O$5,0)</f>
        <v>0</v>
      </c>
      <c r="CM39" s="13">
        <f>IF(CM$8='Inputs &amp; Summary'!$D$102,'Inputs &amp; Summary'!$O$5,0)</f>
        <v>0</v>
      </c>
      <c r="CN39" s="13">
        <f>IF(CN$8='Inputs &amp; Summary'!$D$102,'Inputs &amp; Summary'!$O$5,0)</f>
        <v>0</v>
      </c>
      <c r="CO39" s="13">
        <f>IF(CO$8='Inputs &amp; Summary'!$D$102,'Inputs &amp; Summary'!$O$5,0)</f>
        <v>0</v>
      </c>
      <c r="CP39" s="13">
        <f>IF(CP$8='Inputs &amp; Summary'!$D$102,'Inputs &amp; Summary'!$O$5,0)</f>
        <v>0</v>
      </c>
      <c r="CQ39" s="13">
        <f>IF(CQ$8='Inputs &amp; Summary'!$D$102,'Inputs &amp; Summary'!$O$5,0)</f>
        <v>0</v>
      </c>
      <c r="CR39" s="13">
        <f>IF(CR$8='Inputs &amp; Summary'!$D$102,'Inputs &amp; Summary'!$O$5,0)</f>
        <v>0</v>
      </c>
      <c r="CS39" s="13">
        <f>IF(CS$8='Inputs &amp; Summary'!$D$102,'Inputs &amp; Summary'!$O$5,0)</f>
        <v>0</v>
      </c>
      <c r="CT39" s="13">
        <f>IF(CT$8='Inputs &amp; Summary'!$D$102,'Inputs &amp; Summary'!$O$5,0)</f>
        <v>0</v>
      </c>
      <c r="CU39" s="13">
        <f>IF(CU$8='Inputs &amp; Summary'!$D$102,'Inputs &amp; Summary'!$O$5,0)</f>
        <v>0</v>
      </c>
      <c r="CV39" s="13" t="str">
        <f>IF(CV$8='Inputs &amp; Summary'!$D$102,'Inputs &amp; Summary'!$O$5,0)</f>
        <v>n/a</v>
      </c>
      <c r="CW39" s="13">
        <f>IF(CW$8='Inputs &amp; Summary'!$D$102,'Inputs &amp; Summary'!$O$5,0)</f>
        <v>0</v>
      </c>
      <c r="CX39" s="13">
        <f>IF(CX$8='Inputs &amp; Summary'!$D$102,'Inputs &amp; Summary'!$O$5,0)</f>
        <v>0</v>
      </c>
      <c r="CY39" s="13">
        <f>IF(CY$8='Inputs &amp; Summary'!$D$102,'Inputs &amp; Summary'!$O$5,0)</f>
        <v>0</v>
      </c>
      <c r="CZ39" s="13">
        <f>IF(CZ$8='Inputs &amp; Summary'!$D$102,'Inputs &amp; Summary'!$O$5,0)</f>
        <v>0</v>
      </c>
      <c r="DA39" s="13">
        <f>IF(DA$8='Inputs &amp; Summary'!$D$102,'Inputs &amp; Summary'!$O$5,0)</f>
        <v>0</v>
      </c>
      <c r="DB39" s="13">
        <f>IF(DB$8='Inputs &amp; Summary'!$D$102,'Inputs &amp; Summary'!$O$5,0)</f>
        <v>0</v>
      </c>
      <c r="DC39" s="13">
        <f>IF(DC$8='Inputs &amp; Summary'!$D$102,'Inputs &amp; Summary'!$O$5,0)</f>
        <v>0</v>
      </c>
      <c r="DD39" s="13">
        <f>IF(DD$8='Inputs &amp; Summary'!$D$102,'Inputs &amp; Summary'!$O$5,0)</f>
        <v>0</v>
      </c>
      <c r="DE39" s="13">
        <f>IF(DE$8='Inputs &amp; Summary'!$D$102,'Inputs &amp; Summary'!$O$5,0)</f>
        <v>0</v>
      </c>
      <c r="DF39" s="13">
        <f>IF(DF$8='Inputs &amp; Summary'!$D$102,'Inputs &amp; Summary'!$O$5,0)</f>
        <v>0</v>
      </c>
      <c r="DG39" s="13">
        <f>IF(DG$8='Inputs &amp; Summary'!$D$102,'Inputs &amp; Summary'!$O$5,0)</f>
        <v>0</v>
      </c>
      <c r="DH39" s="13">
        <f>IF(DH$8='Inputs &amp; Summary'!$D$102,'Inputs &amp; Summary'!$O$5,0)</f>
        <v>0</v>
      </c>
      <c r="DI39" s="13">
        <f>IF(DI$8='Inputs &amp; Summary'!$D$102,'Inputs &amp; Summary'!$O$5,0)</f>
        <v>0</v>
      </c>
      <c r="DJ39" s="13">
        <f>IF(DJ$8='Inputs &amp; Summary'!$D$102,'Inputs &amp; Summary'!$O$5,0)</f>
        <v>0</v>
      </c>
      <c r="DK39" s="13">
        <f>IF(DK$8='Inputs &amp; Summary'!$D$102,'Inputs &amp; Summary'!$O$5,0)</f>
        <v>0</v>
      </c>
      <c r="DL39" s="13">
        <f>IF(DL$8='Inputs &amp; Summary'!$D$102,'Inputs &amp; Summary'!$O$5,0)</f>
        <v>0</v>
      </c>
      <c r="DM39" s="13">
        <f>IF(DM$8='Inputs &amp; Summary'!$D$102,'Inputs &amp; Summary'!$O$5,0)</f>
        <v>0</v>
      </c>
      <c r="DN39" s="13">
        <f>IF(DN$8='Inputs &amp; Summary'!$D$102,'Inputs &amp; Summary'!$O$5,0)</f>
        <v>0</v>
      </c>
      <c r="DO39" s="13">
        <f>IF(DO$8='Inputs &amp; Summary'!$D$102,'Inputs &amp; Summary'!$O$5,0)</f>
        <v>0</v>
      </c>
      <c r="DP39" s="13">
        <f>IF(DP$8='Inputs &amp; Summary'!$D$102,'Inputs &amp; Summary'!$O$5,0)</f>
        <v>0</v>
      </c>
      <c r="DQ39" s="13">
        <f>IF(DQ$8='Inputs &amp; Summary'!$D$102,'Inputs &amp; Summary'!$O$5,0)</f>
        <v>0</v>
      </c>
      <c r="DR39" s="13">
        <f>IF(DR$8='Inputs &amp; Summary'!$D$102,'Inputs &amp; Summary'!$O$5,0)</f>
        <v>0</v>
      </c>
      <c r="DS39" s="13">
        <f>IF(DS$8='Inputs &amp; Summary'!$D$102,'Inputs &amp; Summary'!$O$5,0)</f>
        <v>0</v>
      </c>
      <c r="DT39" s="13">
        <f>IF(DT$8='Inputs &amp; Summary'!$D$102,'Inputs &amp; Summary'!$O$5,0)</f>
        <v>0</v>
      </c>
    </row>
    <row r="40" spans="2:124" x14ac:dyDescent="0.25">
      <c r="B40" s="8" t="s">
        <v>58</v>
      </c>
      <c r="C40" s="32"/>
      <c r="D40" s="32"/>
      <c r="E40" s="36">
        <f>-IF(E$8='Inputs &amp; Summary'!$D$102,'Inputs &amp; Summary'!$D$105*E39,0)</f>
        <v>0</v>
      </c>
      <c r="F40" s="36">
        <f>-IF(F$8='Inputs &amp; Summary'!$D$102,'Inputs &amp; Summary'!$D$105*F39,0)</f>
        <v>0</v>
      </c>
      <c r="G40" s="36">
        <f>-IF(G$8='Inputs &amp; Summary'!$D$102,'Inputs &amp; Summary'!$D$105*G39,0)</f>
        <v>0</v>
      </c>
      <c r="H40" s="36">
        <f>-IF(H$8='Inputs &amp; Summary'!$D$102,'Inputs &amp; Summary'!$D$105*H39,0)</f>
        <v>0</v>
      </c>
      <c r="I40" s="36">
        <f>-IF(I$8='Inputs &amp; Summary'!$D$102,'Inputs &amp; Summary'!$D$105*I39,0)</f>
        <v>0</v>
      </c>
      <c r="J40" s="36">
        <f>-IF(J$8='Inputs &amp; Summary'!$D$102,'Inputs &amp; Summary'!$D$105*J39,0)</f>
        <v>0</v>
      </c>
      <c r="K40" s="36">
        <f>-IF(K$8='Inputs &amp; Summary'!$D$102,'Inputs &amp; Summary'!$D$105*K39,0)</f>
        <v>0</v>
      </c>
      <c r="L40" s="36">
        <f>-IF(L$8='Inputs &amp; Summary'!$D$102,'Inputs &amp; Summary'!$D$105*L39,0)</f>
        <v>0</v>
      </c>
      <c r="M40" s="36">
        <f>-IF(M$8='Inputs &amp; Summary'!$D$102,'Inputs &amp; Summary'!$D$105*M39,0)</f>
        <v>0</v>
      </c>
      <c r="N40" s="36">
        <f>-IF(N$8='Inputs &amp; Summary'!$D$102,'Inputs &amp; Summary'!$D$105*N39,0)</f>
        <v>0</v>
      </c>
      <c r="O40" s="36">
        <f>-IF(O$8='Inputs &amp; Summary'!$D$102,'Inputs &amp; Summary'!$D$105*O39,0)</f>
        <v>0</v>
      </c>
      <c r="P40" s="36">
        <f>-IF(P$8='Inputs &amp; Summary'!$D$102,'Inputs &amp; Summary'!$D$105*P39,0)</f>
        <v>0</v>
      </c>
      <c r="Q40" s="36">
        <f>-IF(Q$8='Inputs &amp; Summary'!$D$102,'Inputs &amp; Summary'!$D$105*Q39,0)</f>
        <v>0</v>
      </c>
      <c r="R40" s="36">
        <f>-IF(R$8='Inputs &amp; Summary'!$D$102,'Inputs &amp; Summary'!$D$105*R39,0)</f>
        <v>0</v>
      </c>
      <c r="S40" s="36">
        <f>-IF(S$8='Inputs &amp; Summary'!$D$102,'Inputs &amp; Summary'!$D$105*S39,0)</f>
        <v>0</v>
      </c>
      <c r="T40" s="36">
        <f>-IF(T$8='Inputs &amp; Summary'!$D$102,'Inputs &amp; Summary'!$D$105*T39,0)</f>
        <v>0</v>
      </c>
      <c r="U40" s="36">
        <f>-IF(U$8='Inputs &amp; Summary'!$D$102,'Inputs &amp; Summary'!$D$105*U39,0)</f>
        <v>0</v>
      </c>
      <c r="V40" s="36">
        <f>-IF(V$8='Inputs &amp; Summary'!$D$102,'Inputs &amp; Summary'!$D$105*V39,0)</f>
        <v>0</v>
      </c>
      <c r="W40" s="36">
        <f>-IF(W$8='Inputs &amp; Summary'!$D$102,'Inputs &amp; Summary'!$D$105*W39,0)</f>
        <v>0</v>
      </c>
      <c r="X40" s="36">
        <f>-IF(X$8='Inputs &amp; Summary'!$D$102,'Inputs &amp; Summary'!$D$105*X39,0)</f>
        <v>0</v>
      </c>
      <c r="Y40" s="36">
        <f>-IF(Y$8='Inputs &amp; Summary'!$D$102,'Inputs &amp; Summary'!$D$105*Y39,0)</f>
        <v>0</v>
      </c>
      <c r="Z40" s="36">
        <f>-IF(Z$8='Inputs &amp; Summary'!$D$102,'Inputs &amp; Summary'!$D$105*Z39,0)</f>
        <v>0</v>
      </c>
      <c r="AA40" s="36">
        <f>-IF(AA$8='Inputs &amp; Summary'!$D$102,'Inputs &amp; Summary'!$D$105*AA39,0)</f>
        <v>0</v>
      </c>
      <c r="AB40" s="36">
        <f>-IF(AB$8='Inputs &amp; Summary'!$D$102,'Inputs &amp; Summary'!$D$105*AB39,0)</f>
        <v>0</v>
      </c>
      <c r="AC40" s="36">
        <f>-IF(AC$8='Inputs &amp; Summary'!$D$102,'Inputs &amp; Summary'!$D$105*AC39,0)</f>
        <v>0</v>
      </c>
      <c r="AD40" s="36">
        <f>-IF(AD$8='Inputs &amp; Summary'!$D$102,'Inputs &amp; Summary'!$D$105*AD39,0)</f>
        <v>0</v>
      </c>
      <c r="AE40" s="36">
        <f>-IF(AE$8='Inputs &amp; Summary'!$D$102,'Inputs &amp; Summary'!$D$105*AE39,0)</f>
        <v>0</v>
      </c>
      <c r="AF40" s="36">
        <f>-IF(AF$8='Inputs &amp; Summary'!$D$102,'Inputs &amp; Summary'!$D$105*AF39,0)</f>
        <v>0</v>
      </c>
      <c r="AG40" s="36">
        <f>-IF(AG$8='Inputs &amp; Summary'!$D$102,'Inputs &amp; Summary'!$D$105*AG39,0)</f>
        <v>0</v>
      </c>
      <c r="AH40" s="36">
        <f>-IF(AH$8='Inputs &amp; Summary'!$D$102,'Inputs &amp; Summary'!$D$105*AH39,0)</f>
        <v>0</v>
      </c>
      <c r="AI40" s="36">
        <f>-IF(AI$8='Inputs &amp; Summary'!$D$102,'Inputs &amp; Summary'!$D$105*AI39,0)</f>
        <v>0</v>
      </c>
      <c r="AJ40" s="36">
        <f>-IF(AJ$8='Inputs &amp; Summary'!$D$102,'Inputs &amp; Summary'!$D$105*AJ39,0)</f>
        <v>0</v>
      </c>
      <c r="AK40" s="36">
        <f>-IF(AK$8='Inputs &amp; Summary'!$D$102,'Inputs &amp; Summary'!$D$105*AK39,0)</f>
        <v>0</v>
      </c>
      <c r="AL40" s="36">
        <f>-IF(AL$8='Inputs &amp; Summary'!$D$102,'Inputs &amp; Summary'!$D$105*AL39,0)</f>
        <v>0</v>
      </c>
      <c r="AM40" s="36">
        <f>-IF(AM$8='Inputs &amp; Summary'!$D$102,'Inputs &amp; Summary'!$D$105*AM39,0)</f>
        <v>0</v>
      </c>
      <c r="AN40" s="36">
        <f>-IF(AN$8='Inputs &amp; Summary'!$D$102,'Inputs &amp; Summary'!$D$105*AN39,0)</f>
        <v>0</v>
      </c>
      <c r="AO40" s="36">
        <f>-IF(AO$8='Inputs &amp; Summary'!$D$102,'Inputs &amp; Summary'!$D$105*AO39,0)</f>
        <v>0</v>
      </c>
      <c r="AP40" s="36">
        <f>-IF(AP$8='Inputs &amp; Summary'!$D$102,'Inputs &amp; Summary'!$D$105*AP39,0)</f>
        <v>0</v>
      </c>
      <c r="AQ40" s="36">
        <f>-IF(AQ$8='Inputs &amp; Summary'!$D$102,'Inputs &amp; Summary'!$D$105*AQ39,0)</f>
        <v>0</v>
      </c>
      <c r="AR40" s="36">
        <f>-IF(AR$8='Inputs &amp; Summary'!$D$102,'Inputs &amp; Summary'!$D$105*AR39,0)</f>
        <v>0</v>
      </c>
      <c r="AS40" s="36">
        <f>-IF(AS$8='Inputs &amp; Summary'!$D$102,'Inputs &amp; Summary'!$D$105*AS39,0)</f>
        <v>0</v>
      </c>
      <c r="AT40" s="36">
        <f>-IF(AT$8='Inputs &amp; Summary'!$D$102,'Inputs &amp; Summary'!$D$105*AT39,0)</f>
        <v>0</v>
      </c>
      <c r="AU40" s="36">
        <f>-IF(AU$8='Inputs &amp; Summary'!$D$102,'Inputs &amp; Summary'!$D$105*AU39,0)</f>
        <v>0</v>
      </c>
      <c r="AV40" s="36">
        <f>-IF(AV$8='Inputs &amp; Summary'!$D$102,'Inputs &amp; Summary'!$D$105*AV39,0)</f>
        <v>0</v>
      </c>
      <c r="AW40" s="36">
        <f>-IF(AW$8='Inputs &amp; Summary'!$D$102,'Inputs &amp; Summary'!$D$105*AW39,0)</f>
        <v>0</v>
      </c>
      <c r="AX40" s="36">
        <f>-IF(AX$8='Inputs &amp; Summary'!$D$102,'Inputs &amp; Summary'!$D$105*AX39,0)</f>
        <v>0</v>
      </c>
      <c r="AY40" s="36">
        <f>-IF(AY$8='Inputs &amp; Summary'!$D$102,'Inputs &amp; Summary'!$D$105*AY39,0)</f>
        <v>0</v>
      </c>
      <c r="AZ40" s="36">
        <f>-IF(AZ$8='Inputs &amp; Summary'!$D$102,'Inputs &amp; Summary'!$D$105*AZ39,0)</f>
        <v>0</v>
      </c>
      <c r="BA40" s="36">
        <f>-IF(BA$8='Inputs &amp; Summary'!$D$102,'Inputs &amp; Summary'!$D$105*BA39,0)</f>
        <v>0</v>
      </c>
      <c r="BB40" s="36">
        <f>-IF(BB$8='Inputs &amp; Summary'!$D$102,'Inputs &amp; Summary'!$D$105*BB39,0)</f>
        <v>0</v>
      </c>
      <c r="BC40" s="36">
        <f>-IF(BC$8='Inputs &amp; Summary'!$D$102,'Inputs &amp; Summary'!$D$105*BC39,0)</f>
        <v>0</v>
      </c>
      <c r="BD40" s="36">
        <f>-IF(BD$8='Inputs &amp; Summary'!$D$102,'Inputs &amp; Summary'!$D$105*BD39,0)</f>
        <v>0</v>
      </c>
      <c r="BE40" s="36">
        <f>-IF(BE$8='Inputs &amp; Summary'!$D$102,'Inputs &amp; Summary'!$D$105*BE39,0)</f>
        <v>0</v>
      </c>
      <c r="BF40" s="36">
        <f>-IF(BF$8='Inputs &amp; Summary'!$D$102,'Inputs &amp; Summary'!$D$105*BF39,0)</f>
        <v>0</v>
      </c>
      <c r="BG40" s="36">
        <f>-IF(BG$8='Inputs &amp; Summary'!$D$102,'Inputs &amp; Summary'!$D$105*BG39,0)</f>
        <v>0</v>
      </c>
      <c r="BH40" s="36">
        <f>-IF(BH$8='Inputs &amp; Summary'!$D$102,'Inputs &amp; Summary'!$D$105*BH39,0)</f>
        <v>0</v>
      </c>
      <c r="BI40" s="36">
        <f>-IF(BI$8='Inputs &amp; Summary'!$D$102,'Inputs &amp; Summary'!$D$105*BI39,0)</f>
        <v>0</v>
      </c>
      <c r="BJ40" s="36">
        <f>-IF(BJ$8='Inputs &amp; Summary'!$D$102,'Inputs &amp; Summary'!$D$105*BJ39,0)</f>
        <v>0</v>
      </c>
      <c r="BK40" s="36">
        <f>-IF(BK$8='Inputs &amp; Summary'!$D$102,'Inputs &amp; Summary'!$D$105*BK39,0)</f>
        <v>0</v>
      </c>
      <c r="BL40" s="36">
        <f>-IF(BL$8='Inputs &amp; Summary'!$D$102,'Inputs &amp; Summary'!$D$105*BL39,0)</f>
        <v>0</v>
      </c>
      <c r="BM40" s="36">
        <f>-IF(BM$8='Inputs &amp; Summary'!$D$102,'Inputs &amp; Summary'!$D$105*BM39,0)</f>
        <v>0</v>
      </c>
      <c r="BN40" s="36">
        <f>-IF(BN$8='Inputs &amp; Summary'!$D$102,'Inputs &amp; Summary'!$D$105*BN39,0)</f>
        <v>0</v>
      </c>
      <c r="BO40" s="36">
        <f>-IF(BO$8='Inputs &amp; Summary'!$D$102,'Inputs &amp; Summary'!$D$105*BO39,0)</f>
        <v>0</v>
      </c>
      <c r="BP40" s="36">
        <f>-IF(BP$8='Inputs &amp; Summary'!$D$102,'Inputs &amp; Summary'!$D$105*BP39,0)</f>
        <v>0</v>
      </c>
      <c r="BQ40" s="36">
        <f>-IF(BQ$8='Inputs &amp; Summary'!$D$102,'Inputs &amp; Summary'!$D$105*BQ39,0)</f>
        <v>0</v>
      </c>
      <c r="BR40" s="36">
        <f>-IF(BR$8='Inputs &amp; Summary'!$D$102,'Inputs &amp; Summary'!$D$105*BR39,0)</f>
        <v>0</v>
      </c>
      <c r="BS40" s="36">
        <f>-IF(BS$8='Inputs &amp; Summary'!$D$102,'Inputs &amp; Summary'!$D$105*BS39,0)</f>
        <v>0</v>
      </c>
      <c r="BT40" s="36">
        <f>-IF(BT$8='Inputs &amp; Summary'!$D$102,'Inputs &amp; Summary'!$D$105*BT39,0)</f>
        <v>0</v>
      </c>
      <c r="BU40" s="36">
        <f>-IF(BU$8='Inputs &amp; Summary'!$D$102,'Inputs &amp; Summary'!$D$105*BU39,0)</f>
        <v>0</v>
      </c>
      <c r="BV40" s="36">
        <f>-IF(BV$8='Inputs &amp; Summary'!$D$102,'Inputs &amp; Summary'!$D$105*BV39,0)</f>
        <v>0</v>
      </c>
      <c r="BW40" s="36">
        <f>-IF(BW$8='Inputs &amp; Summary'!$D$102,'Inputs &amp; Summary'!$D$105*BW39,0)</f>
        <v>0</v>
      </c>
      <c r="BX40" s="36">
        <f>-IF(BX$8='Inputs &amp; Summary'!$D$102,'Inputs &amp; Summary'!$D$105*BX39,0)</f>
        <v>0</v>
      </c>
      <c r="BY40" s="36">
        <f>-IF(BY$8='Inputs &amp; Summary'!$D$102,'Inputs &amp; Summary'!$D$105*BY39,0)</f>
        <v>0</v>
      </c>
      <c r="BZ40" s="36">
        <f>-IF(BZ$8='Inputs &amp; Summary'!$D$102,'Inputs &amp; Summary'!$D$105*BZ39,0)</f>
        <v>0</v>
      </c>
      <c r="CA40" s="36">
        <f>-IF(CA$8='Inputs &amp; Summary'!$D$102,'Inputs &amp; Summary'!$D$105*CA39,0)</f>
        <v>0</v>
      </c>
      <c r="CB40" s="36">
        <f>-IF(CB$8='Inputs &amp; Summary'!$D$102,'Inputs &amp; Summary'!$D$105*CB39,0)</f>
        <v>0</v>
      </c>
      <c r="CC40" s="36">
        <f>-IF(CC$8='Inputs &amp; Summary'!$D$102,'Inputs &amp; Summary'!$D$105*CC39,0)</f>
        <v>0</v>
      </c>
      <c r="CD40" s="36">
        <f>-IF(CD$8='Inputs &amp; Summary'!$D$102,'Inputs &amp; Summary'!$D$105*CD39,0)</f>
        <v>0</v>
      </c>
      <c r="CE40" s="36">
        <f>-IF(CE$8='Inputs &amp; Summary'!$D$102,'Inputs &amp; Summary'!$D$105*CE39,0)</f>
        <v>0</v>
      </c>
      <c r="CF40" s="36">
        <f>-IF(CF$8='Inputs &amp; Summary'!$D$102,'Inputs &amp; Summary'!$D$105*CF39,0)</f>
        <v>0</v>
      </c>
      <c r="CG40" s="36">
        <f>-IF(CG$8='Inputs &amp; Summary'!$D$102,'Inputs &amp; Summary'!$D$105*CG39,0)</f>
        <v>0</v>
      </c>
      <c r="CH40" s="36">
        <f>-IF(CH$8='Inputs &amp; Summary'!$D$102,'Inputs &amp; Summary'!$D$105*CH39,0)</f>
        <v>0</v>
      </c>
      <c r="CI40" s="36">
        <f>-IF(CI$8='Inputs &amp; Summary'!$D$102,'Inputs &amp; Summary'!$D$105*CI39,0)</f>
        <v>0</v>
      </c>
      <c r="CJ40" s="36">
        <f>-IF(CJ$8='Inputs &amp; Summary'!$D$102,'Inputs &amp; Summary'!$D$105*CJ39,0)</f>
        <v>0</v>
      </c>
      <c r="CK40" s="36">
        <f>-IF(CK$8='Inputs &amp; Summary'!$D$102,'Inputs &amp; Summary'!$D$105*CK39,0)</f>
        <v>0</v>
      </c>
      <c r="CL40" s="36">
        <f>-IF(CL$8='Inputs &amp; Summary'!$D$102,'Inputs &amp; Summary'!$D$105*CL39,0)</f>
        <v>0</v>
      </c>
      <c r="CM40" s="36">
        <f>-IF(CM$8='Inputs &amp; Summary'!$D$102,'Inputs &amp; Summary'!$D$105*CM39,0)</f>
        <v>0</v>
      </c>
      <c r="CN40" s="36">
        <f>-IF(CN$8='Inputs &amp; Summary'!$D$102,'Inputs &amp; Summary'!$D$105*CN39,0)</f>
        <v>0</v>
      </c>
      <c r="CO40" s="36">
        <f>-IF(CO$8='Inputs &amp; Summary'!$D$102,'Inputs &amp; Summary'!$D$105*CO39,0)</f>
        <v>0</v>
      </c>
      <c r="CP40" s="36">
        <f>-IF(CP$8='Inputs &amp; Summary'!$D$102,'Inputs &amp; Summary'!$D$105*CP39,0)</f>
        <v>0</v>
      </c>
      <c r="CQ40" s="36">
        <f>-IF(CQ$8='Inputs &amp; Summary'!$D$102,'Inputs &amp; Summary'!$D$105*CQ39,0)</f>
        <v>0</v>
      </c>
      <c r="CR40" s="36">
        <f>-IF(CR$8='Inputs &amp; Summary'!$D$102,'Inputs &amp; Summary'!$D$105*CR39,0)</f>
        <v>0</v>
      </c>
      <c r="CS40" s="36">
        <f>-IF(CS$8='Inputs &amp; Summary'!$D$102,'Inputs &amp; Summary'!$D$105*CS39,0)</f>
        <v>0</v>
      </c>
      <c r="CT40" s="36">
        <f>-IF(CT$8='Inputs &amp; Summary'!$D$102,'Inputs &amp; Summary'!$D$105*CT39,0)</f>
        <v>0</v>
      </c>
      <c r="CU40" s="36">
        <f>-IF(CU$8='Inputs &amp; Summary'!$D$102,'Inputs &amp; Summary'!$D$105*CU39,0)</f>
        <v>0</v>
      </c>
      <c r="CV40" s="36" t="e">
        <f>-IF(CV$8='Inputs &amp; Summary'!$D$102,'Inputs &amp; Summary'!$D$105*CV39,0)</f>
        <v>#VALUE!</v>
      </c>
      <c r="CW40" s="36">
        <f>-IF(CW$8='Inputs &amp; Summary'!$D$102,'Inputs &amp; Summary'!$D$105*CW39,0)</f>
        <v>0</v>
      </c>
      <c r="CX40" s="36">
        <f>-IF(CX$8='Inputs &amp; Summary'!$D$102,'Inputs &amp; Summary'!$D$105*CX39,0)</f>
        <v>0</v>
      </c>
      <c r="CY40" s="36">
        <f>-IF(CY$8='Inputs &amp; Summary'!$D$102,'Inputs &amp; Summary'!$D$105*CY39,0)</f>
        <v>0</v>
      </c>
      <c r="CZ40" s="36">
        <f>-IF(CZ$8='Inputs &amp; Summary'!$D$102,'Inputs &amp; Summary'!$D$105*CZ39,0)</f>
        <v>0</v>
      </c>
      <c r="DA40" s="36">
        <f>-IF(DA$8='Inputs &amp; Summary'!$D$102,'Inputs &amp; Summary'!$D$105*DA39,0)</f>
        <v>0</v>
      </c>
      <c r="DB40" s="36">
        <f>-IF(DB$8='Inputs &amp; Summary'!$D$102,'Inputs &amp; Summary'!$D$105*DB39,0)</f>
        <v>0</v>
      </c>
      <c r="DC40" s="36">
        <f>-IF(DC$8='Inputs &amp; Summary'!$D$102,'Inputs &amp; Summary'!$D$105*DC39,0)</f>
        <v>0</v>
      </c>
      <c r="DD40" s="36">
        <f>-IF(DD$8='Inputs &amp; Summary'!$D$102,'Inputs &amp; Summary'!$D$105*DD39,0)</f>
        <v>0</v>
      </c>
      <c r="DE40" s="36">
        <f>-IF(DE$8='Inputs &amp; Summary'!$D$102,'Inputs &amp; Summary'!$D$105*DE39,0)</f>
        <v>0</v>
      </c>
      <c r="DF40" s="36">
        <f>-IF(DF$8='Inputs &amp; Summary'!$D$102,'Inputs &amp; Summary'!$D$105*DF39,0)</f>
        <v>0</v>
      </c>
      <c r="DG40" s="36">
        <f>-IF(DG$8='Inputs &amp; Summary'!$D$102,'Inputs &amp; Summary'!$D$105*DG39,0)</f>
        <v>0</v>
      </c>
      <c r="DH40" s="36">
        <f>-IF(DH$8='Inputs &amp; Summary'!$D$102,'Inputs &amp; Summary'!$D$105*DH39,0)</f>
        <v>0</v>
      </c>
      <c r="DI40" s="36">
        <f>-IF(DI$8='Inputs &amp; Summary'!$D$102,'Inputs &amp; Summary'!$D$105*DI39,0)</f>
        <v>0</v>
      </c>
      <c r="DJ40" s="36">
        <f>-IF(DJ$8='Inputs &amp; Summary'!$D$102,'Inputs &amp; Summary'!$D$105*DJ39,0)</f>
        <v>0</v>
      </c>
      <c r="DK40" s="36">
        <f>-IF(DK$8='Inputs &amp; Summary'!$D$102,'Inputs &amp; Summary'!$D$105*DK39,0)</f>
        <v>0</v>
      </c>
      <c r="DL40" s="36">
        <f>-IF(DL$8='Inputs &amp; Summary'!$D$102,'Inputs &amp; Summary'!$D$105*DL39,0)</f>
        <v>0</v>
      </c>
      <c r="DM40" s="36">
        <f>-IF(DM$8='Inputs &amp; Summary'!$D$102,'Inputs &amp; Summary'!$D$105*DM39,0)</f>
        <v>0</v>
      </c>
      <c r="DN40" s="36">
        <f>-IF(DN$8='Inputs &amp; Summary'!$D$102,'Inputs &amp; Summary'!$D$105*DN39,0)</f>
        <v>0</v>
      </c>
      <c r="DO40" s="36">
        <f>-IF(DO$8='Inputs &amp; Summary'!$D$102,'Inputs &amp; Summary'!$D$105*DO39,0)</f>
        <v>0</v>
      </c>
      <c r="DP40" s="36">
        <f>-IF(DP$8='Inputs &amp; Summary'!$D$102,'Inputs &amp; Summary'!$D$105*DP39,0)</f>
        <v>0</v>
      </c>
      <c r="DQ40" s="36">
        <f>-IF(DQ$8='Inputs &amp; Summary'!$D$102,'Inputs &amp; Summary'!$D$105*DQ39,0)</f>
        <v>0</v>
      </c>
      <c r="DR40" s="36">
        <f>-IF(DR$8='Inputs &amp; Summary'!$D$102,'Inputs &amp; Summary'!$D$105*DR39,0)</f>
        <v>0</v>
      </c>
      <c r="DS40" s="36">
        <f>-IF(DS$8='Inputs &amp; Summary'!$D$102,'Inputs &amp; Summary'!$D$105*DS39,0)</f>
        <v>0</v>
      </c>
      <c r="DT40" s="36">
        <f>-IF(DT$8='Inputs &amp; Summary'!$D$102,'Inputs &amp; Summary'!$D$105*DT39,0)</f>
        <v>0</v>
      </c>
    </row>
    <row r="41" spans="2:124" x14ac:dyDescent="0.25">
      <c r="B41" s="6" t="s">
        <v>55</v>
      </c>
      <c r="C41" s="31"/>
      <c r="D41" s="49" t="e">
        <f>SUM(D34,D37,D39:D40)</f>
        <v>#VALUE!</v>
      </c>
      <c r="E41" s="43" t="e">
        <f t="shared" ref="E41:AI41" ca="1" si="70">SUM(E34,E37,E39:E40)</f>
        <v>#VALUE!</v>
      </c>
      <c r="F41" s="43" t="e">
        <f t="shared" ca="1" si="70"/>
        <v>#VALUE!</v>
      </c>
      <c r="G41" s="43" t="e">
        <f t="shared" ca="1" si="70"/>
        <v>#VALUE!</v>
      </c>
      <c r="H41" s="43" t="e">
        <f t="shared" ca="1" si="70"/>
        <v>#VALUE!</v>
      </c>
      <c r="I41" s="43" t="e">
        <f t="shared" ca="1" si="70"/>
        <v>#VALUE!</v>
      </c>
      <c r="J41" s="43" t="e">
        <f t="shared" ca="1" si="70"/>
        <v>#VALUE!</v>
      </c>
      <c r="K41" s="43" t="e">
        <f t="shared" ca="1" si="70"/>
        <v>#VALUE!</v>
      </c>
      <c r="L41" s="43" t="e">
        <f t="shared" ca="1" si="70"/>
        <v>#VALUE!</v>
      </c>
      <c r="M41" s="43" t="e">
        <f t="shared" ca="1" si="70"/>
        <v>#VALUE!</v>
      </c>
      <c r="N41" s="43" t="e">
        <f t="shared" ca="1" si="70"/>
        <v>#VALUE!</v>
      </c>
      <c r="O41" s="43" t="e">
        <f t="shared" ca="1" si="70"/>
        <v>#VALUE!</v>
      </c>
      <c r="P41" s="43" t="e">
        <f t="shared" ca="1" si="70"/>
        <v>#VALUE!</v>
      </c>
      <c r="Q41" s="43" t="e">
        <f t="shared" ca="1" si="70"/>
        <v>#VALUE!</v>
      </c>
      <c r="R41" s="43" t="e">
        <f t="shared" ca="1" si="70"/>
        <v>#VALUE!</v>
      </c>
      <c r="S41" s="43" t="e">
        <f t="shared" ca="1" si="70"/>
        <v>#VALUE!</v>
      </c>
      <c r="T41" s="43" t="e">
        <f t="shared" ca="1" si="70"/>
        <v>#VALUE!</v>
      </c>
      <c r="U41" s="43" t="e">
        <f t="shared" ca="1" si="70"/>
        <v>#VALUE!</v>
      </c>
      <c r="V41" s="43" t="e">
        <f t="shared" ca="1" si="70"/>
        <v>#VALUE!</v>
      </c>
      <c r="W41" s="43" t="e">
        <f t="shared" ca="1" si="70"/>
        <v>#VALUE!</v>
      </c>
      <c r="X41" s="43" t="e">
        <f t="shared" ca="1" si="70"/>
        <v>#VALUE!</v>
      </c>
      <c r="Y41" s="43" t="e">
        <f t="shared" ca="1" si="70"/>
        <v>#VALUE!</v>
      </c>
      <c r="Z41" s="43" t="e">
        <f t="shared" ca="1" si="70"/>
        <v>#VALUE!</v>
      </c>
      <c r="AA41" s="43" t="e">
        <f t="shared" ca="1" si="70"/>
        <v>#VALUE!</v>
      </c>
      <c r="AB41" s="43" t="e">
        <f t="shared" ca="1" si="70"/>
        <v>#VALUE!</v>
      </c>
      <c r="AC41" s="43" t="e">
        <f t="shared" ca="1" si="70"/>
        <v>#VALUE!</v>
      </c>
      <c r="AD41" s="43" t="e">
        <f t="shared" ca="1" si="70"/>
        <v>#VALUE!</v>
      </c>
      <c r="AE41" s="43" t="e">
        <f t="shared" ca="1" si="70"/>
        <v>#VALUE!</v>
      </c>
      <c r="AF41" s="43" t="e">
        <f t="shared" ca="1" si="70"/>
        <v>#VALUE!</v>
      </c>
      <c r="AG41" s="43" t="e">
        <f t="shared" ca="1" si="70"/>
        <v>#VALUE!</v>
      </c>
      <c r="AH41" s="43" t="e">
        <f t="shared" ca="1" si="70"/>
        <v>#VALUE!</v>
      </c>
      <c r="AI41" s="43" t="e">
        <f t="shared" ca="1" si="70"/>
        <v>#VALUE!</v>
      </c>
      <c r="AJ41" s="43" t="e">
        <f t="shared" ref="AJ41:BO41" ca="1" si="71">SUM(AJ34,AJ37,AJ39:AJ40)</f>
        <v>#VALUE!</v>
      </c>
      <c r="AK41" s="43" t="e">
        <f t="shared" ca="1" si="71"/>
        <v>#VALUE!</v>
      </c>
      <c r="AL41" s="43" t="e">
        <f t="shared" ca="1" si="71"/>
        <v>#VALUE!</v>
      </c>
      <c r="AM41" s="43" t="e">
        <f t="shared" ca="1" si="71"/>
        <v>#VALUE!</v>
      </c>
      <c r="AN41" s="43" t="e">
        <f t="shared" ca="1" si="71"/>
        <v>#VALUE!</v>
      </c>
      <c r="AO41" s="43" t="e">
        <f t="shared" ca="1" si="71"/>
        <v>#VALUE!</v>
      </c>
      <c r="AP41" s="43" t="e">
        <f t="shared" ca="1" si="71"/>
        <v>#VALUE!</v>
      </c>
      <c r="AQ41" s="43" t="e">
        <f t="shared" ca="1" si="71"/>
        <v>#VALUE!</v>
      </c>
      <c r="AR41" s="43" t="e">
        <f t="shared" ca="1" si="71"/>
        <v>#VALUE!</v>
      </c>
      <c r="AS41" s="43" t="e">
        <f t="shared" ca="1" si="71"/>
        <v>#VALUE!</v>
      </c>
      <c r="AT41" s="43" t="e">
        <f t="shared" ca="1" si="71"/>
        <v>#VALUE!</v>
      </c>
      <c r="AU41" s="43" t="e">
        <f t="shared" ca="1" si="71"/>
        <v>#VALUE!</v>
      </c>
      <c r="AV41" s="43" t="e">
        <f t="shared" ca="1" si="71"/>
        <v>#VALUE!</v>
      </c>
      <c r="AW41" s="43" t="e">
        <f t="shared" ca="1" si="71"/>
        <v>#VALUE!</v>
      </c>
      <c r="AX41" s="43" t="e">
        <f t="shared" ca="1" si="71"/>
        <v>#VALUE!</v>
      </c>
      <c r="AY41" s="43" t="e">
        <f t="shared" ca="1" si="71"/>
        <v>#VALUE!</v>
      </c>
      <c r="AZ41" s="43" t="e">
        <f t="shared" ca="1" si="71"/>
        <v>#VALUE!</v>
      </c>
      <c r="BA41" s="43" t="e">
        <f t="shared" ca="1" si="71"/>
        <v>#VALUE!</v>
      </c>
      <c r="BB41" s="43" t="e">
        <f t="shared" ca="1" si="71"/>
        <v>#VALUE!</v>
      </c>
      <c r="BC41" s="43" t="e">
        <f t="shared" ca="1" si="71"/>
        <v>#VALUE!</v>
      </c>
      <c r="BD41" s="43" t="e">
        <f t="shared" ca="1" si="71"/>
        <v>#VALUE!</v>
      </c>
      <c r="BE41" s="43" t="e">
        <f t="shared" ca="1" si="71"/>
        <v>#VALUE!</v>
      </c>
      <c r="BF41" s="43" t="e">
        <f t="shared" ca="1" si="71"/>
        <v>#VALUE!</v>
      </c>
      <c r="BG41" s="43" t="e">
        <f t="shared" ca="1" si="71"/>
        <v>#VALUE!</v>
      </c>
      <c r="BH41" s="43" t="e">
        <f t="shared" ca="1" si="71"/>
        <v>#VALUE!</v>
      </c>
      <c r="BI41" s="43" t="e">
        <f t="shared" ca="1" si="71"/>
        <v>#VALUE!</v>
      </c>
      <c r="BJ41" s="43" t="e">
        <f t="shared" ca="1" si="71"/>
        <v>#VALUE!</v>
      </c>
      <c r="BK41" s="43" t="e">
        <f t="shared" ca="1" si="71"/>
        <v>#VALUE!</v>
      </c>
      <c r="BL41" s="43" t="e">
        <f t="shared" ca="1" si="71"/>
        <v>#VALUE!</v>
      </c>
      <c r="BM41" s="43" t="e">
        <f t="shared" ca="1" si="71"/>
        <v>#VALUE!</v>
      </c>
      <c r="BN41" s="43" t="e">
        <f t="shared" ca="1" si="71"/>
        <v>#VALUE!</v>
      </c>
      <c r="BO41" s="43" t="e">
        <f t="shared" ca="1" si="71"/>
        <v>#VALUE!</v>
      </c>
      <c r="BP41" s="43" t="e">
        <f t="shared" ref="BP41:CU41" ca="1" si="72">SUM(BP34,BP37,BP39:BP40)</f>
        <v>#VALUE!</v>
      </c>
      <c r="BQ41" s="43" t="e">
        <f t="shared" ca="1" si="72"/>
        <v>#VALUE!</v>
      </c>
      <c r="BR41" s="43" t="e">
        <f t="shared" ca="1" si="72"/>
        <v>#VALUE!</v>
      </c>
      <c r="BS41" s="43" t="e">
        <f t="shared" ca="1" si="72"/>
        <v>#VALUE!</v>
      </c>
      <c r="BT41" s="43" t="e">
        <f t="shared" ca="1" si="72"/>
        <v>#VALUE!</v>
      </c>
      <c r="BU41" s="43" t="e">
        <f t="shared" ca="1" si="72"/>
        <v>#VALUE!</v>
      </c>
      <c r="BV41" s="43" t="e">
        <f t="shared" ca="1" si="72"/>
        <v>#VALUE!</v>
      </c>
      <c r="BW41" s="43" t="e">
        <f t="shared" ca="1" si="72"/>
        <v>#VALUE!</v>
      </c>
      <c r="BX41" s="43" t="e">
        <f t="shared" ca="1" si="72"/>
        <v>#VALUE!</v>
      </c>
      <c r="BY41" s="43" t="e">
        <f t="shared" ca="1" si="72"/>
        <v>#VALUE!</v>
      </c>
      <c r="BZ41" s="43" t="e">
        <f t="shared" ca="1" si="72"/>
        <v>#VALUE!</v>
      </c>
      <c r="CA41" s="43" t="e">
        <f t="shared" ca="1" si="72"/>
        <v>#VALUE!</v>
      </c>
      <c r="CB41" s="43" t="e">
        <f t="shared" ca="1" si="72"/>
        <v>#VALUE!</v>
      </c>
      <c r="CC41" s="43" t="e">
        <f t="shared" ca="1" si="72"/>
        <v>#VALUE!</v>
      </c>
      <c r="CD41" s="43" t="e">
        <f t="shared" ca="1" si="72"/>
        <v>#VALUE!</v>
      </c>
      <c r="CE41" s="43" t="e">
        <f t="shared" ca="1" si="72"/>
        <v>#VALUE!</v>
      </c>
      <c r="CF41" s="43" t="e">
        <f t="shared" ca="1" si="72"/>
        <v>#VALUE!</v>
      </c>
      <c r="CG41" s="43" t="e">
        <f t="shared" ca="1" si="72"/>
        <v>#VALUE!</v>
      </c>
      <c r="CH41" s="43" t="e">
        <f t="shared" ca="1" si="72"/>
        <v>#VALUE!</v>
      </c>
      <c r="CI41" s="43" t="e">
        <f t="shared" ca="1" si="72"/>
        <v>#VALUE!</v>
      </c>
      <c r="CJ41" s="43" t="e">
        <f t="shared" ca="1" si="72"/>
        <v>#VALUE!</v>
      </c>
      <c r="CK41" s="43" t="e">
        <f t="shared" ca="1" si="72"/>
        <v>#VALUE!</v>
      </c>
      <c r="CL41" s="43" t="e">
        <f t="shared" ca="1" si="72"/>
        <v>#VALUE!</v>
      </c>
      <c r="CM41" s="43" t="e">
        <f t="shared" ca="1" si="72"/>
        <v>#VALUE!</v>
      </c>
      <c r="CN41" s="43" t="e">
        <f t="shared" ca="1" si="72"/>
        <v>#VALUE!</v>
      </c>
      <c r="CO41" s="43" t="e">
        <f t="shared" ca="1" si="72"/>
        <v>#VALUE!</v>
      </c>
      <c r="CP41" s="43" t="e">
        <f t="shared" ca="1" si="72"/>
        <v>#VALUE!</v>
      </c>
      <c r="CQ41" s="43" t="e">
        <f t="shared" ca="1" si="72"/>
        <v>#VALUE!</v>
      </c>
      <c r="CR41" s="43" t="e">
        <f t="shared" ca="1" si="72"/>
        <v>#VALUE!</v>
      </c>
      <c r="CS41" s="43" t="e">
        <f t="shared" ca="1" si="72"/>
        <v>#VALUE!</v>
      </c>
      <c r="CT41" s="43" t="e">
        <f t="shared" ca="1" si="72"/>
        <v>#VALUE!</v>
      </c>
      <c r="CU41" s="43" t="e">
        <f t="shared" ca="1" si="72"/>
        <v>#VALUE!</v>
      </c>
      <c r="CV41" s="43" t="e">
        <f t="shared" ref="CV41:DT41" ca="1" si="73">SUM(CV34,CV37,CV39:CV40)</f>
        <v>#VALUE!</v>
      </c>
      <c r="CW41" s="43" t="e">
        <f t="shared" ca="1" si="73"/>
        <v>#VALUE!</v>
      </c>
      <c r="CX41" s="43" t="e">
        <f t="shared" ca="1" si="73"/>
        <v>#VALUE!</v>
      </c>
      <c r="CY41" s="43" t="e">
        <f t="shared" ca="1" si="73"/>
        <v>#VALUE!</v>
      </c>
      <c r="CZ41" s="43" t="e">
        <f t="shared" ca="1" si="73"/>
        <v>#VALUE!</v>
      </c>
      <c r="DA41" s="43" t="e">
        <f t="shared" ca="1" si="73"/>
        <v>#VALUE!</v>
      </c>
      <c r="DB41" s="43" t="e">
        <f t="shared" ca="1" si="73"/>
        <v>#VALUE!</v>
      </c>
      <c r="DC41" s="43" t="e">
        <f t="shared" ca="1" si="73"/>
        <v>#VALUE!</v>
      </c>
      <c r="DD41" s="43" t="e">
        <f t="shared" ca="1" si="73"/>
        <v>#VALUE!</v>
      </c>
      <c r="DE41" s="43" t="e">
        <f t="shared" ca="1" si="73"/>
        <v>#VALUE!</v>
      </c>
      <c r="DF41" s="43" t="e">
        <f t="shared" ca="1" si="73"/>
        <v>#VALUE!</v>
      </c>
      <c r="DG41" s="43" t="e">
        <f t="shared" ca="1" si="73"/>
        <v>#VALUE!</v>
      </c>
      <c r="DH41" s="43" t="e">
        <f t="shared" ca="1" si="73"/>
        <v>#VALUE!</v>
      </c>
      <c r="DI41" s="43" t="e">
        <f t="shared" ca="1" si="73"/>
        <v>#VALUE!</v>
      </c>
      <c r="DJ41" s="43" t="e">
        <f t="shared" ca="1" si="73"/>
        <v>#VALUE!</v>
      </c>
      <c r="DK41" s="43" t="e">
        <f t="shared" ca="1" si="73"/>
        <v>#VALUE!</v>
      </c>
      <c r="DL41" s="43" t="e">
        <f t="shared" ca="1" si="73"/>
        <v>#VALUE!</v>
      </c>
      <c r="DM41" s="43" t="e">
        <f t="shared" ca="1" si="73"/>
        <v>#VALUE!</v>
      </c>
      <c r="DN41" s="43" t="e">
        <f t="shared" ca="1" si="73"/>
        <v>#VALUE!</v>
      </c>
      <c r="DO41" s="43" t="e">
        <f t="shared" ca="1" si="73"/>
        <v>#VALUE!</v>
      </c>
      <c r="DP41" s="43" t="e">
        <f t="shared" ca="1" si="73"/>
        <v>#VALUE!</v>
      </c>
      <c r="DQ41" s="43" t="e">
        <f t="shared" ca="1" si="73"/>
        <v>#VALUE!</v>
      </c>
      <c r="DR41" s="43" t="e">
        <f t="shared" ca="1" si="73"/>
        <v>#VALUE!</v>
      </c>
      <c r="DS41" s="43" t="e">
        <f t="shared" ca="1" si="73"/>
        <v>#VALUE!</v>
      </c>
      <c r="DT41" s="43" t="e">
        <f t="shared" ca="1" si="73"/>
        <v>#VALUE!</v>
      </c>
    </row>
    <row r="42" spans="2:124" x14ac:dyDescent="0.25">
      <c r="B42" s="58" t="s">
        <v>66</v>
      </c>
      <c r="D42" s="59" t="e">
        <f>SUM($D$41:D41)</f>
        <v>#VALUE!</v>
      </c>
      <c r="E42" s="59" t="e">
        <f>SUM($D$41:E41)</f>
        <v>#VALUE!</v>
      </c>
      <c r="F42" s="59" t="e">
        <f>SUM($D$41:F41)</f>
        <v>#VALUE!</v>
      </c>
      <c r="G42" s="59" t="e">
        <f>SUM($D$41:G41)</f>
        <v>#VALUE!</v>
      </c>
      <c r="H42" s="59" t="e">
        <f>SUM($D$41:H41)</f>
        <v>#VALUE!</v>
      </c>
      <c r="I42" s="59" t="e">
        <f>SUM($D$41:I41)</f>
        <v>#VALUE!</v>
      </c>
      <c r="J42" s="59" t="e">
        <f>SUM($D$41:J41)</f>
        <v>#VALUE!</v>
      </c>
      <c r="K42" s="59" t="e">
        <f>SUM($D$41:K41)</f>
        <v>#VALUE!</v>
      </c>
      <c r="L42" s="59" t="e">
        <f>SUM($D$41:L41)</f>
        <v>#VALUE!</v>
      </c>
      <c r="M42" s="59" t="e">
        <f>SUM($D$41:M41)</f>
        <v>#VALUE!</v>
      </c>
      <c r="N42" s="59" t="e">
        <f>SUM($D$41:N41)</f>
        <v>#VALUE!</v>
      </c>
      <c r="O42" s="59" t="e">
        <f>SUM($D$41:O41)</f>
        <v>#VALUE!</v>
      </c>
      <c r="P42" s="59" t="e">
        <f>SUM($D$41:P41)</f>
        <v>#VALUE!</v>
      </c>
      <c r="Q42" s="59" t="e">
        <f>SUM($D$41:Q41)</f>
        <v>#VALUE!</v>
      </c>
      <c r="R42" s="59" t="e">
        <f>SUM($D$41:R41)</f>
        <v>#VALUE!</v>
      </c>
      <c r="S42" s="59" t="e">
        <f>SUM($D$41:S41)</f>
        <v>#VALUE!</v>
      </c>
      <c r="T42" s="59" t="e">
        <f>SUM($D$41:T41)</f>
        <v>#VALUE!</v>
      </c>
      <c r="U42" s="59" t="e">
        <f>SUM($D$41:U41)</f>
        <v>#VALUE!</v>
      </c>
      <c r="V42" s="59" t="e">
        <f>SUM($D$41:V41)</f>
        <v>#VALUE!</v>
      </c>
      <c r="W42" s="59" t="e">
        <f>SUM($D$41:W41)</f>
        <v>#VALUE!</v>
      </c>
      <c r="X42" s="59" t="e">
        <f>SUM($D$41:X41)</f>
        <v>#VALUE!</v>
      </c>
      <c r="Y42" s="59" t="e">
        <f>SUM($D$41:Y41)</f>
        <v>#VALUE!</v>
      </c>
      <c r="Z42" s="59" t="e">
        <f>SUM($D$41:Z41)</f>
        <v>#VALUE!</v>
      </c>
      <c r="AA42" s="59" t="e">
        <f>SUM($D$41:AA41)</f>
        <v>#VALUE!</v>
      </c>
      <c r="AB42" s="59" t="e">
        <f>SUM($D$41:AB41)</f>
        <v>#VALUE!</v>
      </c>
      <c r="AC42" s="59" t="e">
        <f>SUM($D$41:AC41)</f>
        <v>#VALUE!</v>
      </c>
      <c r="AD42" s="59" t="e">
        <f>SUM($D$41:AD41)</f>
        <v>#VALUE!</v>
      </c>
      <c r="AE42" s="59" t="e">
        <f>SUM($D$41:AE41)</f>
        <v>#VALUE!</v>
      </c>
      <c r="AF42" s="59" t="e">
        <f>SUM($D$41:AF41)</f>
        <v>#VALUE!</v>
      </c>
      <c r="AG42" s="59" t="e">
        <f>SUM($D$41:AG41)</f>
        <v>#VALUE!</v>
      </c>
      <c r="AH42" s="59" t="e">
        <f>SUM($D$41:AH41)</f>
        <v>#VALUE!</v>
      </c>
      <c r="AI42" s="59" t="e">
        <f>SUM($D$41:AI41)</f>
        <v>#VALUE!</v>
      </c>
      <c r="AJ42" s="59" t="e">
        <f>SUM($D$41:AJ41)</f>
        <v>#VALUE!</v>
      </c>
      <c r="AK42" s="59" t="e">
        <f>SUM($D$41:AK41)</f>
        <v>#VALUE!</v>
      </c>
      <c r="AL42" s="59" t="e">
        <f>SUM($D$41:AL41)</f>
        <v>#VALUE!</v>
      </c>
      <c r="AM42" s="59" t="e">
        <f>SUM($D$41:AM41)</f>
        <v>#VALUE!</v>
      </c>
      <c r="AN42" s="59" t="e">
        <f>SUM($D$41:AN41)</f>
        <v>#VALUE!</v>
      </c>
      <c r="AO42" s="59" t="e">
        <f>SUM($D$41:AO41)</f>
        <v>#VALUE!</v>
      </c>
      <c r="AP42" s="59" t="e">
        <f>SUM($D$41:AP41)</f>
        <v>#VALUE!</v>
      </c>
      <c r="AQ42" s="59" t="e">
        <f>SUM($D$41:AQ41)</f>
        <v>#VALUE!</v>
      </c>
      <c r="AR42" s="59" t="e">
        <f>SUM($D$41:AR41)</f>
        <v>#VALUE!</v>
      </c>
      <c r="AS42" s="59" t="e">
        <f>SUM($D$41:AS41)</f>
        <v>#VALUE!</v>
      </c>
      <c r="AT42" s="59" t="e">
        <f>SUM($D$41:AT41)</f>
        <v>#VALUE!</v>
      </c>
      <c r="AU42" s="59" t="e">
        <f>SUM($D$41:AU41)</f>
        <v>#VALUE!</v>
      </c>
      <c r="AV42" s="59" t="e">
        <f>SUM($D$41:AV41)</f>
        <v>#VALUE!</v>
      </c>
      <c r="AW42" s="59" t="e">
        <f>SUM($D$41:AW41)</f>
        <v>#VALUE!</v>
      </c>
      <c r="AX42" s="59" t="e">
        <f>SUM($D$41:AX41)</f>
        <v>#VALUE!</v>
      </c>
      <c r="AY42" s="59" t="e">
        <f>SUM($D$41:AY41)</f>
        <v>#VALUE!</v>
      </c>
      <c r="AZ42" s="59" t="e">
        <f>SUM($D$41:AZ41)</f>
        <v>#VALUE!</v>
      </c>
      <c r="BA42" s="59" t="e">
        <f>SUM($D$41:BA41)</f>
        <v>#VALUE!</v>
      </c>
      <c r="BB42" s="59" t="e">
        <f>SUM($D$41:BB41)</f>
        <v>#VALUE!</v>
      </c>
      <c r="BC42" s="59" t="e">
        <f>SUM($D$41:BC41)</f>
        <v>#VALUE!</v>
      </c>
      <c r="BD42" s="59" t="e">
        <f>SUM($D$41:BD41)</f>
        <v>#VALUE!</v>
      </c>
      <c r="BE42" s="59" t="e">
        <f>SUM($D$41:BE41)</f>
        <v>#VALUE!</v>
      </c>
      <c r="BF42" s="59" t="e">
        <f>SUM($D$41:BF41)</f>
        <v>#VALUE!</v>
      </c>
      <c r="BG42" s="59" t="e">
        <f>SUM($D$41:BG41)</f>
        <v>#VALUE!</v>
      </c>
      <c r="BH42" s="59" t="e">
        <f>SUM($D$41:BH41)</f>
        <v>#VALUE!</v>
      </c>
      <c r="BI42" s="59" t="e">
        <f>SUM($D$41:BI41)</f>
        <v>#VALUE!</v>
      </c>
      <c r="BJ42" s="59" t="e">
        <f>SUM($D$41:BJ41)</f>
        <v>#VALUE!</v>
      </c>
      <c r="BK42" s="59" t="e">
        <f>SUM($D$41:BK41)</f>
        <v>#VALUE!</v>
      </c>
      <c r="BL42" s="59" t="e">
        <f>SUM($D$41:BL41)</f>
        <v>#VALUE!</v>
      </c>
      <c r="BM42" s="59" t="e">
        <f>SUM($D$41:BM41)</f>
        <v>#VALUE!</v>
      </c>
      <c r="BN42" s="59" t="e">
        <f>SUM($D$41:BN41)</f>
        <v>#VALUE!</v>
      </c>
      <c r="BO42" s="59" t="e">
        <f>SUM($D$41:BO41)</f>
        <v>#VALUE!</v>
      </c>
      <c r="BP42" s="59" t="e">
        <f>SUM($D$41:BP41)</f>
        <v>#VALUE!</v>
      </c>
      <c r="BQ42" s="59" t="e">
        <f>SUM($D$41:BQ41)</f>
        <v>#VALUE!</v>
      </c>
      <c r="BR42" s="59" t="e">
        <f>SUM($D$41:BR41)</f>
        <v>#VALUE!</v>
      </c>
      <c r="BS42" s="59" t="e">
        <f>SUM($D$41:BS41)</f>
        <v>#VALUE!</v>
      </c>
      <c r="BT42" s="59" t="e">
        <f>SUM($D$41:BT41)</f>
        <v>#VALUE!</v>
      </c>
      <c r="BU42" s="59" t="e">
        <f>SUM($D$41:BU41)</f>
        <v>#VALUE!</v>
      </c>
      <c r="BV42" s="59" t="e">
        <f>SUM($D$41:BV41)</f>
        <v>#VALUE!</v>
      </c>
      <c r="BW42" s="59" t="e">
        <f>SUM($D$41:BW41)</f>
        <v>#VALUE!</v>
      </c>
      <c r="BX42" s="59" t="e">
        <f>SUM($D$41:BX41)</f>
        <v>#VALUE!</v>
      </c>
      <c r="BY42" s="59" t="e">
        <f>SUM($D$41:BY41)</f>
        <v>#VALUE!</v>
      </c>
      <c r="BZ42" s="59" t="e">
        <f>SUM($D$41:BZ41)</f>
        <v>#VALUE!</v>
      </c>
      <c r="CA42" s="59" t="e">
        <f>SUM($D$41:CA41)</f>
        <v>#VALUE!</v>
      </c>
      <c r="CB42" s="59" t="e">
        <f>SUM($D$41:CB41)</f>
        <v>#VALUE!</v>
      </c>
      <c r="CC42" s="59" t="e">
        <f>SUM($D$41:CC41)</f>
        <v>#VALUE!</v>
      </c>
      <c r="CD42" s="59" t="e">
        <f>SUM($D$41:CD41)</f>
        <v>#VALUE!</v>
      </c>
      <c r="CE42" s="59" t="e">
        <f>SUM($D$41:CE41)</f>
        <v>#VALUE!</v>
      </c>
      <c r="CF42" s="59" t="e">
        <f>SUM($D$41:CF41)</f>
        <v>#VALUE!</v>
      </c>
      <c r="CG42" s="59" t="e">
        <f>SUM($D$41:CG41)</f>
        <v>#VALUE!</v>
      </c>
      <c r="CH42" s="59" t="e">
        <f>SUM($D$41:CH41)</f>
        <v>#VALUE!</v>
      </c>
      <c r="CI42" s="59" t="e">
        <f>SUM($D$41:CI41)</f>
        <v>#VALUE!</v>
      </c>
      <c r="CJ42" s="59" t="e">
        <f>SUM($D$41:CJ41)</f>
        <v>#VALUE!</v>
      </c>
      <c r="CK42" s="59" t="e">
        <f>SUM($D$41:CK41)</f>
        <v>#VALUE!</v>
      </c>
      <c r="CL42" s="59" t="e">
        <f>SUM($D$41:CL41)</f>
        <v>#VALUE!</v>
      </c>
      <c r="CM42" s="59" t="e">
        <f>SUM($D$41:CM41)</f>
        <v>#VALUE!</v>
      </c>
      <c r="CN42" s="59" t="e">
        <f>SUM($D$41:CN41)</f>
        <v>#VALUE!</v>
      </c>
      <c r="CO42" s="59" t="e">
        <f>SUM($D$41:CO41)</f>
        <v>#VALUE!</v>
      </c>
      <c r="CP42" s="59" t="e">
        <f>SUM($D$41:CP41)</f>
        <v>#VALUE!</v>
      </c>
      <c r="CQ42" s="59" t="e">
        <f>SUM($D$41:CQ41)</f>
        <v>#VALUE!</v>
      </c>
      <c r="CR42" s="59" t="e">
        <f>SUM($D$41:CR41)</f>
        <v>#VALUE!</v>
      </c>
      <c r="CS42" s="59" t="e">
        <f>SUM($D$41:CS41)</f>
        <v>#VALUE!</v>
      </c>
      <c r="CT42" s="59" t="e">
        <f>SUM($D$41:CT41)</f>
        <v>#VALUE!</v>
      </c>
      <c r="CU42" s="59" t="e">
        <f>SUM($D$41:CU41)</f>
        <v>#VALUE!</v>
      </c>
      <c r="CV42" s="59" t="e">
        <f>SUM($D$41:CV41)</f>
        <v>#VALUE!</v>
      </c>
      <c r="CW42" s="59" t="e">
        <f>SUM($D$41:CW41)</f>
        <v>#VALUE!</v>
      </c>
      <c r="CX42" s="59" t="e">
        <f>SUM($D$41:CX41)</f>
        <v>#VALUE!</v>
      </c>
      <c r="CY42" s="59" t="e">
        <f>SUM($D$41:CY41)</f>
        <v>#VALUE!</v>
      </c>
      <c r="CZ42" s="59" t="e">
        <f>SUM($D$41:CZ41)</f>
        <v>#VALUE!</v>
      </c>
      <c r="DA42" s="59" t="e">
        <f>SUM($D$41:DA41)</f>
        <v>#VALUE!</v>
      </c>
      <c r="DB42" s="59" t="e">
        <f>SUM($D$41:DB41)</f>
        <v>#VALUE!</v>
      </c>
      <c r="DC42" s="59" t="e">
        <f>SUM($D$41:DC41)</f>
        <v>#VALUE!</v>
      </c>
      <c r="DD42" s="59" t="e">
        <f>SUM($D$41:DD41)</f>
        <v>#VALUE!</v>
      </c>
      <c r="DE42" s="59" t="e">
        <f>SUM($D$41:DE41)</f>
        <v>#VALUE!</v>
      </c>
      <c r="DF42" s="59" t="e">
        <f>SUM($D$41:DF41)</f>
        <v>#VALUE!</v>
      </c>
      <c r="DG42" s="59" t="e">
        <f>SUM($D$41:DG41)</f>
        <v>#VALUE!</v>
      </c>
      <c r="DH42" s="59" t="e">
        <f>SUM($D$41:DH41)</f>
        <v>#VALUE!</v>
      </c>
      <c r="DI42" s="59" t="e">
        <f>SUM($D$41:DI41)</f>
        <v>#VALUE!</v>
      </c>
      <c r="DJ42" s="59" t="e">
        <f>SUM($D$41:DJ41)</f>
        <v>#VALUE!</v>
      </c>
      <c r="DK42" s="59" t="e">
        <f>SUM($D$41:DK41)</f>
        <v>#VALUE!</v>
      </c>
      <c r="DL42" s="59" t="e">
        <f>SUM($D$41:DL41)</f>
        <v>#VALUE!</v>
      </c>
      <c r="DM42" s="59" t="e">
        <f>SUM($D$41:DM41)</f>
        <v>#VALUE!</v>
      </c>
      <c r="DN42" s="59" t="e">
        <f>SUM($D$41:DN41)</f>
        <v>#VALUE!</v>
      </c>
      <c r="DO42" s="59" t="e">
        <f>SUM($D$41:DO41)</f>
        <v>#VALUE!</v>
      </c>
      <c r="DP42" s="59" t="e">
        <f>SUM($D$41:DP41)</f>
        <v>#VALUE!</v>
      </c>
      <c r="DQ42" s="59" t="e">
        <f>SUM($D$41:DQ41)</f>
        <v>#VALUE!</v>
      </c>
      <c r="DR42" s="59" t="e">
        <f>SUM($D$41:DR41)</f>
        <v>#VALUE!</v>
      </c>
      <c r="DS42" s="59" t="e">
        <f>SUM($D$41:DS41)</f>
        <v>#VALUE!</v>
      </c>
      <c r="DT42" s="59" t="e">
        <f>SUM($D$41:DT41)</f>
        <v>#VALUE!</v>
      </c>
    </row>
    <row r="44" spans="2:124" x14ac:dyDescent="0.25">
      <c r="B44" s="50" t="s">
        <v>60</v>
      </c>
      <c r="C44" s="51"/>
    </row>
    <row r="45" spans="2:124" x14ac:dyDescent="0.25">
      <c r="B45" s="52" t="s">
        <v>61</v>
      </c>
      <c r="C45" s="53" t="e">
        <f ca="1">XIRR(D41:EF41,D6:EF6)</f>
        <v>#VALUE!</v>
      </c>
    </row>
    <row r="46" spans="2:124" x14ac:dyDescent="0.25">
      <c r="B46" s="52" t="s">
        <v>62</v>
      </c>
      <c r="C46" s="54" t="e">
        <f ca="1">+-SUMIF(D41:EF41,"&gt;0")/SUMIF(D41:EF41,"&lt;0")</f>
        <v>#DIV/0!</v>
      </c>
    </row>
    <row r="47" spans="2:124" x14ac:dyDescent="0.25">
      <c r="B47" s="52" t="s">
        <v>63</v>
      </c>
      <c r="C47" s="55" t="e">
        <f>SUM(D41:EF41)</f>
        <v>#VALUE!</v>
      </c>
    </row>
    <row r="48" spans="2:124" x14ac:dyDescent="0.25">
      <c r="B48" s="56" t="s">
        <v>64</v>
      </c>
      <c r="C48" s="57" t="e">
        <f>-MIN(D42:EF42)</f>
        <v>#VALUE!</v>
      </c>
    </row>
    <row r="50" spans="2:124" x14ac:dyDescent="0.25">
      <c r="B50" s="63" t="s">
        <v>65</v>
      </c>
      <c r="C50" s="64"/>
      <c r="D50" s="64"/>
      <c r="E50" s="64"/>
      <c r="F50" s="64"/>
      <c r="G50" s="64"/>
      <c r="H50" s="64"/>
      <c r="I50" s="64"/>
      <c r="J50" s="64"/>
      <c r="K50" s="64"/>
      <c r="L50" s="64"/>
      <c r="M50" s="64"/>
      <c r="N50" s="64"/>
      <c r="O50" s="64"/>
      <c r="P50" s="64"/>
      <c r="Q50" s="64"/>
      <c r="R50" s="64"/>
      <c r="S50" s="64"/>
      <c r="T50" s="64"/>
      <c r="U50" s="64"/>
      <c r="V50" s="64"/>
      <c r="W50" s="64"/>
      <c r="X50" s="64"/>
      <c r="Y50" s="64"/>
      <c r="Z50" s="64"/>
      <c r="AA50" s="64"/>
      <c r="AB50" s="64"/>
      <c r="AC50" s="64"/>
      <c r="AD50" s="64"/>
      <c r="AE50" s="64"/>
      <c r="AF50" s="64"/>
      <c r="AG50" s="64"/>
      <c r="AH50" s="64"/>
      <c r="AI50" s="64"/>
      <c r="AJ50" s="64"/>
      <c r="AK50" s="64"/>
      <c r="AL50" s="64"/>
      <c r="AM50" s="64"/>
      <c r="AN50" s="64"/>
      <c r="AO50" s="64"/>
      <c r="AP50" s="64"/>
      <c r="AQ50" s="64"/>
      <c r="AR50" s="64"/>
      <c r="AS50" s="64"/>
      <c r="AT50" s="64"/>
      <c r="AU50" s="64"/>
      <c r="AV50" s="64"/>
      <c r="AW50" s="64"/>
      <c r="AX50" s="64"/>
      <c r="AY50" s="64"/>
      <c r="AZ50" s="64"/>
      <c r="BA50" s="64"/>
      <c r="BB50" s="64"/>
      <c r="BC50" s="64"/>
      <c r="BD50" s="64"/>
      <c r="BE50" s="64"/>
      <c r="BF50" s="64"/>
      <c r="BG50" s="64"/>
      <c r="BH50" s="64"/>
      <c r="BI50" s="64"/>
      <c r="BJ50" s="64"/>
      <c r="BK50" s="64"/>
      <c r="BL50" s="64"/>
      <c r="BM50" s="64"/>
      <c r="BN50" s="64"/>
      <c r="BO50" s="64"/>
      <c r="BP50" s="64"/>
      <c r="BQ50" s="64"/>
      <c r="BR50" s="64"/>
      <c r="BS50" s="64"/>
      <c r="BT50" s="64"/>
      <c r="BU50" s="64"/>
      <c r="BV50" s="64"/>
      <c r="BW50" s="64"/>
      <c r="BX50" s="64"/>
      <c r="BY50" s="64"/>
      <c r="BZ50" s="64"/>
      <c r="CA50" s="64"/>
      <c r="CB50" s="64"/>
      <c r="CC50" s="64"/>
      <c r="CD50" s="64"/>
      <c r="CE50" s="64"/>
      <c r="CF50" s="64"/>
      <c r="CG50" s="64"/>
      <c r="CH50" s="64"/>
      <c r="CI50" s="64"/>
      <c r="CJ50" s="64"/>
      <c r="CK50" s="64"/>
      <c r="CL50" s="64"/>
      <c r="CM50" s="64"/>
      <c r="CN50" s="64"/>
      <c r="CO50" s="64"/>
      <c r="CP50" s="64"/>
      <c r="CQ50" s="64"/>
      <c r="CR50" s="64"/>
      <c r="CS50" s="64"/>
      <c r="CT50" s="64"/>
      <c r="CU50" s="64"/>
      <c r="CV50" s="64"/>
      <c r="CW50" s="64"/>
      <c r="CX50" s="64"/>
      <c r="CY50" s="64"/>
      <c r="CZ50" s="64"/>
      <c r="DA50" s="64"/>
      <c r="DB50" s="64"/>
      <c r="DC50" s="64"/>
      <c r="DD50" s="64"/>
      <c r="DE50" s="64"/>
      <c r="DF50" s="64"/>
      <c r="DG50" s="64"/>
      <c r="DH50" s="64"/>
      <c r="DI50" s="64"/>
      <c r="DJ50" s="64"/>
      <c r="DK50" s="64"/>
      <c r="DL50" s="64"/>
      <c r="DM50" s="64"/>
      <c r="DN50" s="64"/>
      <c r="DO50" s="64"/>
      <c r="DP50" s="64"/>
      <c r="DQ50" s="64"/>
      <c r="DR50" s="64"/>
      <c r="DS50" s="64"/>
      <c r="DT50" s="64"/>
    </row>
    <row r="51" spans="2:124" x14ac:dyDescent="0.25">
      <c r="B51" s="65" t="s">
        <v>67</v>
      </c>
      <c r="C51" s="66"/>
      <c r="D51" s="48" t="e">
        <f>D34+D37</f>
        <v>#VALUE!</v>
      </c>
      <c r="E51" s="13" t="e">
        <f ca="1">E34+E37</f>
        <v>#VALUE!</v>
      </c>
      <c r="F51" s="13" t="e">
        <f t="shared" ref="F51:AI51" ca="1" si="74">F34+F37</f>
        <v>#VALUE!</v>
      </c>
      <c r="G51" s="13" t="e">
        <f t="shared" ca="1" si="74"/>
        <v>#VALUE!</v>
      </c>
      <c r="H51" s="13" t="e">
        <f t="shared" ca="1" si="74"/>
        <v>#VALUE!</v>
      </c>
      <c r="I51" s="13" t="e">
        <f t="shared" ca="1" si="74"/>
        <v>#VALUE!</v>
      </c>
      <c r="J51" s="13" t="e">
        <f t="shared" ca="1" si="74"/>
        <v>#VALUE!</v>
      </c>
      <c r="K51" s="13" t="e">
        <f t="shared" ca="1" si="74"/>
        <v>#VALUE!</v>
      </c>
      <c r="L51" s="13" t="e">
        <f t="shared" ca="1" si="74"/>
        <v>#VALUE!</v>
      </c>
      <c r="M51" s="13" t="e">
        <f t="shared" ca="1" si="74"/>
        <v>#VALUE!</v>
      </c>
      <c r="N51" s="13" t="e">
        <f t="shared" ca="1" si="74"/>
        <v>#VALUE!</v>
      </c>
      <c r="O51" s="13" t="e">
        <f t="shared" ca="1" si="74"/>
        <v>#VALUE!</v>
      </c>
      <c r="P51" s="13" t="e">
        <f t="shared" ca="1" si="74"/>
        <v>#VALUE!</v>
      </c>
      <c r="Q51" s="13" t="e">
        <f t="shared" ca="1" si="74"/>
        <v>#VALUE!</v>
      </c>
      <c r="R51" s="13" t="e">
        <f t="shared" ca="1" si="74"/>
        <v>#VALUE!</v>
      </c>
      <c r="S51" s="13" t="e">
        <f t="shared" ca="1" si="74"/>
        <v>#VALUE!</v>
      </c>
      <c r="T51" s="13" t="e">
        <f t="shared" ca="1" si="74"/>
        <v>#VALUE!</v>
      </c>
      <c r="U51" s="13" t="e">
        <f t="shared" ca="1" si="74"/>
        <v>#VALUE!</v>
      </c>
      <c r="V51" s="13" t="e">
        <f t="shared" ca="1" si="74"/>
        <v>#VALUE!</v>
      </c>
      <c r="W51" s="13" t="e">
        <f t="shared" ca="1" si="74"/>
        <v>#VALUE!</v>
      </c>
      <c r="X51" s="13" t="e">
        <f t="shared" ca="1" si="74"/>
        <v>#VALUE!</v>
      </c>
      <c r="Y51" s="13" t="e">
        <f t="shared" ca="1" si="74"/>
        <v>#VALUE!</v>
      </c>
      <c r="Z51" s="13" t="e">
        <f t="shared" ca="1" si="74"/>
        <v>#VALUE!</v>
      </c>
      <c r="AA51" s="13" t="e">
        <f t="shared" ca="1" si="74"/>
        <v>#VALUE!</v>
      </c>
      <c r="AB51" s="13" t="e">
        <f t="shared" ca="1" si="74"/>
        <v>#VALUE!</v>
      </c>
      <c r="AC51" s="13" t="e">
        <f t="shared" ca="1" si="74"/>
        <v>#VALUE!</v>
      </c>
      <c r="AD51" s="13" t="e">
        <f t="shared" ca="1" si="74"/>
        <v>#VALUE!</v>
      </c>
      <c r="AE51" s="13" t="e">
        <f t="shared" ca="1" si="74"/>
        <v>#VALUE!</v>
      </c>
      <c r="AF51" s="13" t="e">
        <f t="shared" ca="1" si="74"/>
        <v>#VALUE!</v>
      </c>
      <c r="AG51" s="13" t="e">
        <f t="shared" ca="1" si="74"/>
        <v>#VALUE!</v>
      </c>
      <c r="AH51" s="13" t="e">
        <f t="shared" ca="1" si="74"/>
        <v>#VALUE!</v>
      </c>
      <c r="AI51" s="13" t="e">
        <f t="shared" ca="1" si="74"/>
        <v>#VALUE!</v>
      </c>
      <c r="AJ51" s="13" t="e">
        <f t="shared" ref="AJ51:BO51" ca="1" si="75">AJ34+AJ37</f>
        <v>#VALUE!</v>
      </c>
      <c r="AK51" s="13" t="e">
        <f t="shared" ca="1" si="75"/>
        <v>#VALUE!</v>
      </c>
      <c r="AL51" s="13" t="e">
        <f t="shared" ca="1" si="75"/>
        <v>#VALUE!</v>
      </c>
      <c r="AM51" s="13" t="e">
        <f t="shared" ca="1" si="75"/>
        <v>#VALUE!</v>
      </c>
      <c r="AN51" s="13" t="e">
        <f t="shared" ca="1" si="75"/>
        <v>#VALUE!</v>
      </c>
      <c r="AO51" s="13" t="e">
        <f t="shared" ca="1" si="75"/>
        <v>#VALUE!</v>
      </c>
      <c r="AP51" s="13" t="e">
        <f t="shared" ca="1" si="75"/>
        <v>#VALUE!</v>
      </c>
      <c r="AQ51" s="13" t="e">
        <f t="shared" ca="1" si="75"/>
        <v>#VALUE!</v>
      </c>
      <c r="AR51" s="13" t="e">
        <f t="shared" ca="1" si="75"/>
        <v>#VALUE!</v>
      </c>
      <c r="AS51" s="13" t="e">
        <f t="shared" ca="1" si="75"/>
        <v>#VALUE!</v>
      </c>
      <c r="AT51" s="13" t="e">
        <f t="shared" ca="1" si="75"/>
        <v>#VALUE!</v>
      </c>
      <c r="AU51" s="13" t="e">
        <f t="shared" ca="1" si="75"/>
        <v>#VALUE!</v>
      </c>
      <c r="AV51" s="13" t="e">
        <f t="shared" ca="1" si="75"/>
        <v>#VALUE!</v>
      </c>
      <c r="AW51" s="13" t="e">
        <f t="shared" ca="1" si="75"/>
        <v>#VALUE!</v>
      </c>
      <c r="AX51" s="13" t="e">
        <f t="shared" ca="1" si="75"/>
        <v>#VALUE!</v>
      </c>
      <c r="AY51" s="13" t="e">
        <f t="shared" ca="1" si="75"/>
        <v>#VALUE!</v>
      </c>
      <c r="AZ51" s="13" t="e">
        <f t="shared" ca="1" si="75"/>
        <v>#VALUE!</v>
      </c>
      <c r="BA51" s="13" t="e">
        <f t="shared" ca="1" si="75"/>
        <v>#VALUE!</v>
      </c>
      <c r="BB51" s="13" t="e">
        <f t="shared" ca="1" si="75"/>
        <v>#VALUE!</v>
      </c>
      <c r="BC51" s="13" t="e">
        <f t="shared" ca="1" si="75"/>
        <v>#VALUE!</v>
      </c>
      <c r="BD51" s="13" t="e">
        <f t="shared" ca="1" si="75"/>
        <v>#VALUE!</v>
      </c>
      <c r="BE51" s="13" t="e">
        <f t="shared" ca="1" si="75"/>
        <v>#VALUE!</v>
      </c>
      <c r="BF51" s="13" t="e">
        <f t="shared" ca="1" si="75"/>
        <v>#VALUE!</v>
      </c>
      <c r="BG51" s="13" t="e">
        <f t="shared" ca="1" si="75"/>
        <v>#VALUE!</v>
      </c>
      <c r="BH51" s="13" t="e">
        <f t="shared" ca="1" si="75"/>
        <v>#VALUE!</v>
      </c>
      <c r="BI51" s="13" t="e">
        <f t="shared" ca="1" si="75"/>
        <v>#VALUE!</v>
      </c>
      <c r="BJ51" s="13" t="e">
        <f t="shared" ca="1" si="75"/>
        <v>#VALUE!</v>
      </c>
      <c r="BK51" s="13" t="e">
        <f t="shared" ca="1" si="75"/>
        <v>#VALUE!</v>
      </c>
      <c r="BL51" s="13" t="e">
        <f t="shared" ca="1" si="75"/>
        <v>#VALUE!</v>
      </c>
      <c r="BM51" s="13" t="e">
        <f t="shared" ca="1" si="75"/>
        <v>#VALUE!</v>
      </c>
      <c r="BN51" s="13" t="e">
        <f t="shared" ca="1" si="75"/>
        <v>#VALUE!</v>
      </c>
      <c r="BO51" s="13" t="e">
        <f t="shared" ca="1" si="75"/>
        <v>#VALUE!</v>
      </c>
      <c r="BP51" s="13" t="e">
        <f t="shared" ref="BP51:CU51" ca="1" si="76">BP34+BP37</f>
        <v>#VALUE!</v>
      </c>
      <c r="BQ51" s="13" t="e">
        <f t="shared" ca="1" si="76"/>
        <v>#VALUE!</v>
      </c>
      <c r="BR51" s="13" t="e">
        <f t="shared" ca="1" si="76"/>
        <v>#VALUE!</v>
      </c>
      <c r="BS51" s="13" t="e">
        <f t="shared" ca="1" si="76"/>
        <v>#VALUE!</v>
      </c>
      <c r="BT51" s="13" t="e">
        <f t="shared" ca="1" si="76"/>
        <v>#VALUE!</v>
      </c>
      <c r="BU51" s="13" t="e">
        <f t="shared" ca="1" si="76"/>
        <v>#VALUE!</v>
      </c>
      <c r="BV51" s="13" t="e">
        <f t="shared" ca="1" si="76"/>
        <v>#VALUE!</v>
      </c>
      <c r="BW51" s="13" t="e">
        <f t="shared" ca="1" si="76"/>
        <v>#VALUE!</v>
      </c>
      <c r="BX51" s="13" t="e">
        <f t="shared" ca="1" si="76"/>
        <v>#VALUE!</v>
      </c>
      <c r="BY51" s="13" t="e">
        <f t="shared" ca="1" si="76"/>
        <v>#VALUE!</v>
      </c>
      <c r="BZ51" s="13" t="e">
        <f t="shared" ca="1" si="76"/>
        <v>#VALUE!</v>
      </c>
      <c r="CA51" s="13" t="e">
        <f t="shared" ca="1" si="76"/>
        <v>#VALUE!</v>
      </c>
      <c r="CB51" s="13" t="e">
        <f t="shared" ca="1" si="76"/>
        <v>#VALUE!</v>
      </c>
      <c r="CC51" s="13" t="e">
        <f t="shared" ca="1" si="76"/>
        <v>#VALUE!</v>
      </c>
      <c r="CD51" s="13" t="e">
        <f t="shared" ca="1" si="76"/>
        <v>#VALUE!</v>
      </c>
      <c r="CE51" s="13" t="e">
        <f t="shared" ca="1" si="76"/>
        <v>#VALUE!</v>
      </c>
      <c r="CF51" s="13" t="e">
        <f t="shared" ca="1" si="76"/>
        <v>#VALUE!</v>
      </c>
      <c r="CG51" s="13" t="e">
        <f t="shared" ca="1" si="76"/>
        <v>#VALUE!</v>
      </c>
      <c r="CH51" s="13" t="e">
        <f t="shared" ca="1" si="76"/>
        <v>#VALUE!</v>
      </c>
      <c r="CI51" s="13" t="e">
        <f t="shared" ca="1" si="76"/>
        <v>#VALUE!</v>
      </c>
      <c r="CJ51" s="13" t="e">
        <f t="shared" ca="1" si="76"/>
        <v>#VALUE!</v>
      </c>
      <c r="CK51" s="13" t="e">
        <f t="shared" ca="1" si="76"/>
        <v>#VALUE!</v>
      </c>
      <c r="CL51" s="13" t="e">
        <f t="shared" ca="1" si="76"/>
        <v>#VALUE!</v>
      </c>
      <c r="CM51" s="13" t="e">
        <f t="shared" ca="1" si="76"/>
        <v>#VALUE!</v>
      </c>
      <c r="CN51" s="13" t="e">
        <f t="shared" ca="1" si="76"/>
        <v>#VALUE!</v>
      </c>
      <c r="CO51" s="13" t="e">
        <f t="shared" ca="1" si="76"/>
        <v>#VALUE!</v>
      </c>
      <c r="CP51" s="13" t="e">
        <f t="shared" ca="1" si="76"/>
        <v>#VALUE!</v>
      </c>
      <c r="CQ51" s="13" t="e">
        <f t="shared" ca="1" si="76"/>
        <v>#VALUE!</v>
      </c>
      <c r="CR51" s="13" t="e">
        <f t="shared" ca="1" si="76"/>
        <v>#VALUE!</v>
      </c>
      <c r="CS51" s="13" t="e">
        <f t="shared" ca="1" si="76"/>
        <v>#VALUE!</v>
      </c>
      <c r="CT51" s="13" t="e">
        <f t="shared" ca="1" si="76"/>
        <v>#VALUE!</v>
      </c>
      <c r="CU51" s="13" t="e">
        <f t="shared" ca="1" si="76"/>
        <v>#VALUE!</v>
      </c>
      <c r="CV51" s="13" t="e">
        <f t="shared" ref="CV51:DT51" ca="1" si="77">CV34+CV37</f>
        <v>#VALUE!</v>
      </c>
      <c r="CW51" s="13" t="e">
        <f t="shared" ca="1" si="77"/>
        <v>#VALUE!</v>
      </c>
      <c r="CX51" s="13" t="e">
        <f t="shared" ca="1" si="77"/>
        <v>#VALUE!</v>
      </c>
      <c r="CY51" s="13" t="e">
        <f t="shared" ca="1" si="77"/>
        <v>#VALUE!</v>
      </c>
      <c r="CZ51" s="13" t="e">
        <f t="shared" ca="1" si="77"/>
        <v>#VALUE!</v>
      </c>
      <c r="DA51" s="13" t="e">
        <f t="shared" ca="1" si="77"/>
        <v>#VALUE!</v>
      </c>
      <c r="DB51" s="13" t="e">
        <f t="shared" ca="1" si="77"/>
        <v>#VALUE!</v>
      </c>
      <c r="DC51" s="13" t="e">
        <f t="shared" ca="1" si="77"/>
        <v>#VALUE!</v>
      </c>
      <c r="DD51" s="13" t="e">
        <f t="shared" ca="1" si="77"/>
        <v>#VALUE!</v>
      </c>
      <c r="DE51" s="13" t="e">
        <f t="shared" ca="1" si="77"/>
        <v>#VALUE!</v>
      </c>
      <c r="DF51" s="13" t="e">
        <f t="shared" ca="1" si="77"/>
        <v>#VALUE!</v>
      </c>
      <c r="DG51" s="13" t="e">
        <f t="shared" ca="1" si="77"/>
        <v>#VALUE!</v>
      </c>
      <c r="DH51" s="13" t="e">
        <f t="shared" ca="1" si="77"/>
        <v>#VALUE!</v>
      </c>
      <c r="DI51" s="13" t="e">
        <f t="shared" ca="1" si="77"/>
        <v>#VALUE!</v>
      </c>
      <c r="DJ51" s="13" t="e">
        <f t="shared" ca="1" si="77"/>
        <v>#VALUE!</v>
      </c>
      <c r="DK51" s="13" t="e">
        <f t="shared" ca="1" si="77"/>
        <v>#VALUE!</v>
      </c>
      <c r="DL51" s="13" t="e">
        <f t="shared" ca="1" si="77"/>
        <v>#VALUE!</v>
      </c>
      <c r="DM51" s="13" t="e">
        <f t="shared" ca="1" si="77"/>
        <v>#VALUE!</v>
      </c>
      <c r="DN51" s="13" t="e">
        <f t="shared" ca="1" si="77"/>
        <v>#VALUE!</v>
      </c>
      <c r="DO51" s="13" t="e">
        <f t="shared" ca="1" si="77"/>
        <v>#VALUE!</v>
      </c>
      <c r="DP51" s="13" t="e">
        <f t="shared" ca="1" si="77"/>
        <v>#VALUE!</v>
      </c>
      <c r="DQ51" s="13" t="e">
        <f t="shared" ca="1" si="77"/>
        <v>#VALUE!</v>
      </c>
      <c r="DR51" s="13" t="e">
        <f t="shared" ca="1" si="77"/>
        <v>#VALUE!</v>
      </c>
      <c r="DS51" s="13" t="e">
        <f t="shared" ca="1" si="77"/>
        <v>#VALUE!</v>
      </c>
      <c r="DT51" s="13" t="e">
        <f t="shared" ca="1" si="77"/>
        <v>#VALUE!</v>
      </c>
    </row>
    <row r="52" spans="2:124" x14ac:dyDescent="0.25">
      <c r="B52" s="65" t="s">
        <v>68</v>
      </c>
      <c r="C52" s="66"/>
      <c r="D52" s="31"/>
      <c r="E52" s="13" t="e">
        <f>-INDEX(Am_Sched_Mnthly,MATCH(E$8,Am_Sched_Mnthly_Mnths,0),4)*(E$8&lt;='Inputs &amp; Summary'!$D$102)</f>
        <v>#VALUE!</v>
      </c>
      <c r="F52" s="13" t="e">
        <f>-INDEX(Am_Sched_Mnthly,MATCH(F$8,Am_Sched_Mnthly_Mnths,0),4)*(F$8&lt;='Inputs &amp; Summary'!$D$102)</f>
        <v>#VALUE!</v>
      </c>
      <c r="G52" s="13" t="e">
        <f>-INDEX(Am_Sched_Mnthly,MATCH(G$8,Am_Sched_Mnthly_Mnths,0),4)*(G$8&lt;='Inputs &amp; Summary'!$D$102)</f>
        <v>#VALUE!</v>
      </c>
      <c r="H52" s="13" t="e">
        <f>-INDEX(Am_Sched_Mnthly,MATCH(H$8,Am_Sched_Mnthly_Mnths,0),4)*(H$8&lt;='Inputs &amp; Summary'!$D$102)</f>
        <v>#VALUE!</v>
      </c>
      <c r="I52" s="13" t="e">
        <f>-INDEX(Am_Sched_Mnthly,MATCH(I$8,Am_Sched_Mnthly_Mnths,0),4)*(I$8&lt;='Inputs &amp; Summary'!$D$102)</f>
        <v>#VALUE!</v>
      </c>
      <c r="J52" s="13" t="e">
        <f>-INDEX(Am_Sched_Mnthly,MATCH(J$8,Am_Sched_Mnthly_Mnths,0),4)*(J$8&lt;='Inputs &amp; Summary'!$D$102)</f>
        <v>#VALUE!</v>
      </c>
      <c r="K52" s="13" t="e">
        <f>-INDEX(Am_Sched_Mnthly,MATCH(K$8,Am_Sched_Mnthly_Mnths,0),4)*(K$8&lt;='Inputs &amp; Summary'!$D$102)</f>
        <v>#VALUE!</v>
      </c>
      <c r="L52" s="13" t="e">
        <f>-INDEX(Am_Sched_Mnthly,MATCH(L$8,Am_Sched_Mnthly_Mnths,0),4)*(L$8&lt;='Inputs &amp; Summary'!$D$102)</f>
        <v>#VALUE!</v>
      </c>
      <c r="M52" s="13" t="e">
        <f>-INDEX(Am_Sched_Mnthly,MATCH(M$8,Am_Sched_Mnthly_Mnths,0),4)*(M$8&lt;='Inputs &amp; Summary'!$D$102)</f>
        <v>#VALUE!</v>
      </c>
      <c r="N52" s="13" t="e">
        <f>-INDEX(Am_Sched_Mnthly,MATCH(N$8,Am_Sched_Mnthly_Mnths,0),4)*(N$8&lt;='Inputs &amp; Summary'!$D$102)</f>
        <v>#VALUE!</v>
      </c>
      <c r="O52" s="13" t="e">
        <f>-INDEX(Am_Sched_Mnthly,MATCH(O$8,Am_Sched_Mnthly_Mnths,0),4)*(O$8&lt;='Inputs &amp; Summary'!$D$102)</f>
        <v>#VALUE!</v>
      </c>
      <c r="P52" s="13" t="e">
        <f>-INDEX(Am_Sched_Mnthly,MATCH(P$8,Am_Sched_Mnthly_Mnths,0),4)*(P$8&lt;='Inputs &amp; Summary'!$D$102)</f>
        <v>#VALUE!</v>
      </c>
      <c r="Q52" s="13" t="e">
        <f>-INDEX(Am_Sched_Mnthly,MATCH(Q$8,Am_Sched_Mnthly_Mnths,0),4)*(Q$8&lt;='Inputs &amp; Summary'!$D$102)</f>
        <v>#VALUE!</v>
      </c>
      <c r="R52" s="13" t="e">
        <f>-INDEX(Am_Sched_Mnthly,MATCH(R$8,Am_Sched_Mnthly_Mnths,0),4)*(R$8&lt;='Inputs &amp; Summary'!$D$102)</f>
        <v>#VALUE!</v>
      </c>
      <c r="S52" s="13" t="e">
        <f>-INDEX(Am_Sched_Mnthly,MATCH(S$8,Am_Sched_Mnthly_Mnths,0),4)*(S$8&lt;='Inputs &amp; Summary'!$D$102)</f>
        <v>#VALUE!</v>
      </c>
      <c r="T52" s="13" t="e">
        <f>-INDEX(Am_Sched_Mnthly,MATCH(T$8,Am_Sched_Mnthly_Mnths,0),4)*(T$8&lt;='Inputs &amp; Summary'!$D$102)</f>
        <v>#VALUE!</v>
      </c>
      <c r="U52" s="13" t="e">
        <f>-INDEX(Am_Sched_Mnthly,MATCH(U$8,Am_Sched_Mnthly_Mnths,0),4)*(U$8&lt;='Inputs &amp; Summary'!$D$102)</f>
        <v>#VALUE!</v>
      </c>
      <c r="V52" s="13" t="e">
        <f>-INDEX(Am_Sched_Mnthly,MATCH(V$8,Am_Sched_Mnthly_Mnths,0),4)*(V$8&lt;='Inputs &amp; Summary'!$D$102)</f>
        <v>#VALUE!</v>
      </c>
      <c r="W52" s="13" t="e">
        <f>-INDEX(Am_Sched_Mnthly,MATCH(W$8,Am_Sched_Mnthly_Mnths,0),4)*(W$8&lt;='Inputs &amp; Summary'!$D$102)</f>
        <v>#VALUE!</v>
      </c>
      <c r="X52" s="13" t="e">
        <f>-INDEX(Am_Sched_Mnthly,MATCH(X$8,Am_Sched_Mnthly_Mnths,0),4)*(X$8&lt;='Inputs &amp; Summary'!$D$102)</f>
        <v>#VALUE!</v>
      </c>
      <c r="Y52" s="13" t="e">
        <f>-INDEX(Am_Sched_Mnthly,MATCH(Y$8,Am_Sched_Mnthly_Mnths,0),4)*(Y$8&lt;='Inputs &amp; Summary'!$D$102)</f>
        <v>#VALUE!</v>
      </c>
      <c r="Z52" s="13" t="e">
        <f>-INDEX(Am_Sched_Mnthly,MATCH(Z$8,Am_Sched_Mnthly_Mnths,0),4)*(Z$8&lt;='Inputs &amp; Summary'!$D$102)</f>
        <v>#VALUE!</v>
      </c>
      <c r="AA52" s="13" t="e">
        <f>-INDEX(Am_Sched_Mnthly,MATCH(AA$8,Am_Sched_Mnthly_Mnths,0),4)*(AA$8&lt;='Inputs &amp; Summary'!$D$102)</f>
        <v>#VALUE!</v>
      </c>
      <c r="AB52" s="13" t="e">
        <f>-INDEX(Am_Sched_Mnthly,MATCH(AB$8,Am_Sched_Mnthly_Mnths,0),4)*(AB$8&lt;='Inputs &amp; Summary'!$D$102)</f>
        <v>#VALUE!</v>
      </c>
      <c r="AC52" s="13" t="e">
        <f>-INDEX(Am_Sched_Mnthly,MATCH(AC$8,Am_Sched_Mnthly_Mnths,0),4)*(AC$8&lt;='Inputs &amp; Summary'!$D$102)</f>
        <v>#VALUE!</v>
      </c>
      <c r="AD52" s="13" t="e">
        <f>-INDEX(Am_Sched_Mnthly,MATCH(AD$8,Am_Sched_Mnthly_Mnths,0),4)*(AD$8&lt;='Inputs &amp; Summary'!$D$102)</f>
        <v>#VALUE!</v>
      </c>
      <c r="AE52" s="13" t="e">
        <f>-INDEX(Am_Sched_Mnthly,MATCH(AE$8,Am_Sched_Mnthly_Mnths,0),4)*(AE$8&lt;='Inputs &amp; Summary'!$D$102)</f>
        <v>#VALUE!</v>
      </c>
      <c r="AF52" s="13" t="e">
        <f>-INDEX(Am_Sched_Mnthly,MATCH(AF$8,Am_Sched_Mnthly_Mnths,0),4)*(AF$8&lt;='Inputs &amp; Summary'!$D$102)</f>
        <v>#VALUE!</v>
      </c>
      <c r="AG52" s="13" t="e">
        <f>-INDEX(Am_Sched_Mnthly,MATCH(AG$8,Am_Sched_Mnthly_Mnths,0),4)*(AG$8&lt;='Inputs &amp; Summary'!$D$102)</f>
        <v>#VALUE!</v>
      </c>
      <c r="AH52" s="13" t="e">
        <f>-INDEX(Am_Sched_Mnthly,MATCH(AH$8,Am_Sched_Mnthly_Mnths,0),4)*(AH$8&lt;='Inputs &amp; Summary'!$D$102)</f>
        <v>#VALUE!</v>
      </c>
      <c r="AI52" s="13" t="e">
        <f>-INDEX(Am_Sched_Mnthly,MATCH(AI$8,Am_Sched_Mnthly_Mnths,0),4)*(AI$8&lt;='Inputs &amp; Summary'!$D$102)</f>
        <v>#VALUE!</v>
      </c>
      <c r="AJ52" s="13" t="e">
        <f>-INDEX(Am_Sched_Mnthly,MATCH(AJ$8,Am_Sched_Mnthly_Mnths,0),4)*(AJ$8&lt;='Inputs &amp; Summary'!$D$102)</f>
        <v>#VALUE!</v>
      </c>
      <c r="AK52" s="13" t="e">
        <f>-INDEX(Am_Sched_Mnthly,MATCH(AK$8,Am_Sched_Mnthly_Mnths,0),4)*(AK$8&lt;='Inputs &amp; Summary'!$D$102)</f>
        <v>#VALUE!</v>
      </c>
      <c r="AL52" s="13" t="e">
        <f>-INDEX(Am_Sched_Mnthly,MATCH(AL$8,Am_Sched_Mnthly_Mnths,0),4)*(AL$8&lt;='Inputs &amp; Summary'!$D$102)</f>
        <v>#VALUE!</v>
      </c>
      <c r="AM52" s="13" t="e">
        <f>-INDEX(Am_Sched_Mnthly,MATCH(AM$8,Am_Sched_Mnthly_Mnths,0),4)*(AM$8&lt;='Inputs &amp; Summary'!$D$102)</f>
        <v>#VALUE!</v>
      </c>
      <c r="AN52" s="13" t="e">
        <f>-INDEX(Am_Sched_Mnthly,MATCH(AN$8,Am_Sched_Mnthly_Mnths,0),4)*(AN$8&lt;='Inputs &amp; Summary'!$D$102)</f>
        <v>#VALUE!</v>
      </c>
      <c r="AO52" s="13" t="e">
        <f>-INDEX(Am_Sched_Mnthly,MATCH(AO$8,Am_Sched_Mnthly_Mnths,0),4)*(AO$8&lt;='Inputs &amp; Summary'!$D$102)</f>
        <v>#VALUE!</v>
      </c>
      <c r="AP52" s="13" t="e">
        <f>-INDEX(Am_Sched_Mnthly,MATCH(AP$8,Am_Sched_Mnthly_Mnths,0),4)*(AP$8&lt;='Inputs &amp; Summary'!$D$102)</f>
        <v>#VALUE!</v>
      </c>
      <c r="AQ52" s="13" t="e">
        <f>-INDEX(Am_Sched_Mnthly,MATCH(AQ$8,Am_Sched_Mnthly_Mnths,0),4)*(AQ$8&lt;='Inputs &amp; Summary'!$D$102)</f>
        <v>#VALUE!</v>
      </c>
      <c r="AR52" s="13" t="e">
        <f>-INDEX(Am_Sched_Mnthly,MATCH(AR$8,Am_Sched_Mnthly_Mnths,0),4)*(AR$8&lt;='Inputs &amp; Summary'!$D$102)</f>
        <v>#VALUE!</v>
      </c>
      <c r="AS52" s="13" t="e">
        <f>-INDEX(Am_Sched_Mnthly,MATCH(AS$8,Am_Sched_Mnthly_Mnths,0),4)*(AS$8&lt;='Inputs &amp; Summary'!$D$102)</f>
        <v>#VALUE!</v>
      </c>
      <c r="AT52" s="13" t="e">
        <f>-INDEX(Am_Sched_Mnthly,MATCH(AT$8,Am_Sched_Mnthly_Mnths,0),4)*(AT$8&lt;='Inputs &amp; Summary'!$D$102)</f>
        <v>#VALUE!</v>
      </c>
      <c r="AU52" s="13" t="e">
        <f>-INDEX(Am_Sched_Mnthly,MATCH(AU$8,Am_Sched_Mnthly_Mnths,0),4)*(AU$8&lt;='Inputs &amp; Summary'!$D$102)</f>
        <v>#VALUE!</v>
      </c>
      <c r="AV52" s="13" t="e">
        <f>-INDEX(Am_Sched_Mnthly,MATCH(AV$8,Am_Sched_Mnthly_Mnths,0),4)*(AV$8&lt;='Inputs &amp; Summary'!$D$102)</f>
        <v>#VALUE!</v>
      </c>
      <c r="AW52" s="13" t="e">
        <f>-INDEX(Am_Sched_Mnthly,MATCH(AW$8,Am_Sched_Mnthly_Mnths,0),4)*(AW$8&lt;='Inputs &amp; Summary'!$D$102)</f>
        <v>#VALUE!</v>
      </c>
      <c r="AX52" s="13" t="e">
        <f>-INDEX(Am_Sched_Mnthly,MATCH(AX$8,Am_Sched_Mnthly_Mnths,0),4)*(AX$8&lt;='Inputs &amp; Summary'!$D$102)</f>
        <v>#VALUE!</v>
      </c>
      <c r="AY52" s="13" t="e">
        <f>-INDEX(Am_Sched_Mnthly,MATCH(AY$8,Am_Sched_Mnthly_Mnths,0),4)*(AY$8&lt;='Inputs &amp; Summary'!$D$102)</f>
        <v>#VALUE!</v>
      </c>
      <c r="AZ52" s="13" t="e">
        <f>-INDEX(Am_Sched_Mnthly,MATCH(AZ$8,Am_Sched_Mnthly_Mnths,0),4)*(AZ$8&lt;='Inputs &amp; Summary'!$D$102)</f>
        <v>#VALUE!</v>
      </c>
      <c r="BA52" s="13" t="e">
        <f>-INDEX(Am_Sched_Mnthly,MATCH(BA$8,Am_Sched_Mnthly_Mnths,0),4)*(BA$8&lt;='Inputs &amp; Summary'!$D$102)</f>
        <v>#VALUE!</v>
      </c>
      <c r="BB52" s="13" t="e">
        <f>-INDEX(Am_Sched_Mnthly,MATCH(BB$8,Am_Sched_Mnthly_Mnths,0),4)*(BB$8&lt;='Inputs &amp; Summary'!$D$102)</f>
        <v>#VALUE!</v>
      </c>
      <c r="BC52" s="13" t="e">
        <f>-INDEX(Am_Sched_Mnthly,MATCH(BC$8,Am_Sched_Mnthly_Mnths,0),4)*(BC$8&lt;='Inputs &amp; Summary'!$D$102)</f>
        <v>#VALUE!</v>
      </c>
      <c r="BD52" s="13" t="e">
        <f>-INDEX(Am_Sched_Mnthly,MATCH(BD$8,Am_Sched_Mnthly_Mnths,0),4)*(BD$8&lt;='Inputs &amp; Summary'!$D$102)</f>
        <v>#VALUE!</v>
      </c>
      <c r="BE52" s="13" t="e">
        <f>-INDEX(Am_Sched_Mnthly,MATCH(BE$8,Am_Sched_Mnthly_Mnths,0),4)*(BE$8&lt;='Inputs &amp; Summary'!$D$102)</f>
        <v>#VALUE!</v>
      </c>
      <c r="BF52" s="13" t="e">
        <f>-INDEX(Am_Sched_Mnthly,MATCH(BF$8,Am_Sched_Mnthly_Mnths,0),4)*(BF$8&lt;='Inputs &amp; Summary'!$D$102)</f>
        <v>#VALUE!</v>
      </c>
      <c r="BG52" s="13" t="e">
        <f>-INDEX(Am_Sched_Mnthly,MATCH(BG$8,Am_Sched_Mnthly_Mnths,0),4)*(BG$8&lt;='Inputs &amp; Summary'!$D$102)</f>
        <v>#VALUE!</v>
      </c>
      <c r="BH52" s="13" t="e">
        <f>-INDEX(Am_Sched_Mnthly,MATCH(BH$8,Am_Sched_Mnthly_Mnths,0),4)*(BH$8&lt;='Inputs &amp; Summary'!$D$102)</f>
        <v>#VALUE!</v>
      </c>
      <c r="BI52" s="13" t="e">
        <f>-INDEX(Am_Sched_Mnthly,MATCH(BI$8,Am_Sched_Mnthly_Mnths,0),4)*(BI$8&lt;='Inputs &amp; Summary'!$D$102)</f>
        <v>#VALUE!</v>
      </c>
      <c r="BJ52" s="13" t="e">
        <f>-INDEX(Am_Sched_Mnthly,MATCH(BJ$8,Am_Sched_Mnthly_Mnths,0),4)*(BJ$8&lt;='Inputs &amp; Summary'!$D$102)</f>
        <v>#VALUE!</v>
      </c>
      <c r="BK52" s="13" t="e">
        <f>-INDEX(Am_Sched_Mnthly,MATCH(BK$8,Am_Sched_Mnthly_Mnths,0),4)*(BK$8&lt;='Inputs &amp; Summary'!$D$102)</f>
        <v>#VALUE!</v>
      </c>
      <c r="BL52" s="13" t="e">
        <f>-INDEX(Am_Sched_Mnthly,MATCH(BL$8,Am_Sched_Mnthly_Mnths,0),4)*(BL$8&lt;='Inputs &amp; Summary'!$D$102)</f>
        <v>#VALUE!</v>
      </c>
      <c r="BM52" s="13" t="e">
        <f>-INDEX(Am_Sched_Mnthly,MATCH(BM$8,Am_Sched_Mnthly_Mnths,0),4)*(BM$8&lt;='Inputs &amp; Summary'!$D$102)</f>
        <v>#VALUE!</v>
      </c>
      <c r="BN52" s="13" t="e">
        <f>-INDEX(Am_Sched_Mnthly,MATCH(BN$8,Am_Sched_Mnthly_Mnths,0),4)*(BN$8&lt;='Inputs &amp; Summary'!$D$102)</f>
        <v>#VALUE!</v>
      </c>
      <c r="BO52" s="13" t="e">
        <f>-INDEX(Am_Sched_Mnthly,MATCH(BO$8,Am_Sched_Mnthly_Mnths,0),4)*(BO$8&lt;='Inputs &amp; Summary'!$D$102)</f>
        <v>#VALUE!</v>
      </c>
      <c r="BP52" s="13" t="e">
        <f>-INDEX(Am_Sched_Mnthly,MATCH(BP$8,Am_Sched_Mnthly_Mnths,0),4)*(BP$8&lt;='Inputs &amp; Summary'!$D$102)</f>
        <v>#VALUE!</v>
      </c>
      <c r="BQ52" s="13" t="e">
        <f>-INDEX(Am_Sched_Mnthly,MATCH(BQ$8,Am_Sched_Mnthly_Mnths,0),4)*(BQ$8&lt;='Inputs &amp; Summary'!$D$102)</f>
        <v>#VALUE!</v>
      </c>
      <c r="BR52" s="13" t="e">
        <f>-INDEX(Am_Sched_Mnthly,MATCH(BR$8,Am_Sched_Mnthly_Mnths,0),4)*(BR$8&lt;='Inputs &amp; Summary'!$D$102)</f>
        <v>#VALUE!</v>
      </c>
      <c r="BS52" s="13" t="e">
        <f>-INDEX(Am_Sched_Mnthly,MATCH(BS$8,Am_Sched_Mnthly_Mnths,0),4)*(BS$8&lt;='Inputs &amp; Summary'!$D$102)</f>
        <v>#VALUE!</v>
      </c>
      <c r="BT52" s="13" t="e">
        <f>-INDEX(Am_Sched_Mnthly,MATCH(BT$8,Am_Sched_Mnthly_Mnths,0),4)*(BT$8&lt;='Inputs &amp; Summary'!$D$102)</f>
        <v>#VALUE!</v>
      </c>
      <c r="BU52" s="13" t="e">
        <f>-INDEX(Am_Sched_Mnthly,MATCH(BU$8,Am_Sched_Mnthly_Mnths,0),4)*(BU$8&lt;='Inputs &amp; Summary'!$D$102)</f>
        <v>#VALUE!</v>
      </c>
      <c r="BV52" s="13" t="e">
        <f>-INDEX(Am_Sched_Mnthly,MATCH(BV$8,Am_Sched_Mnthly_Mnths,0),4)*(BV$8&lt;='Inputs &amp; Summary'!$D$102)</f>
        <v>#VALUE!</v>
      </c>
      <c r="BW52" s="13" t="e">
        <f>-INDEX(Am_Sched_Mnthly,MATCH(BW$8,Am_Sched_Mnthly_Mnths,0),4)*(BW$8&lt;='Inputs &amp; Summary'!$D$102)</f>
        <v>#VALUE!</v>
      </c>
      <c r="BX52" s="13" t="e">
        <f>-INDEX(Am_Sched_Mnthly,MATCH(BX$8,Am_Sched_Mnthly_Mnths,0),4)*(BX$8&lt;='Inputs &amp; Summary'!$D$102)</f>
        <v>#VALUE!</v>
      </c>
      <c r="BY52" s="13" t="e">
        <f>-INDEX(Am_Sched_Mnthly,MATCH(BY$8,Am_Sched_Mnthly_Mnths,0),4)*(BY$8&lt;='Inputs &amp; Summary'!$D$102)</f>
        <v>#VALUE!</v>
      </c>
      <c r="BZ52" s="13" t="e">
        <f>-INDEX(Am_Sched_Mnthly,MATCH(BZ$8,Am_Sched_Mnthly_Mnths,0),4)*(BZ$8&lt;='Inputs &amp; Summary'!$D$102)</f>
        <v>#VALUE!</v>
      </c>
      <c r="CA52" s="13" t="e">
        <f>-INDEX(Am_Sched_Mnthly,MATCH(CA$8,Am_Sched_Mnthly_Mnths,0),4)*(CA$8&lt;='Inputs &amp; Summary'!$D$102)</f>
        <v>#VALUE!</v>
      </c>
      <c r="CB52" s="13" t="e">
        <f>-INDEX(Am_Sched_Mnthly,MATCH(CB$8,Am_Sched_Mnthly_Mnths,0),4)*(CB$8&lt;='Inputs &amp; Summary'!$D$102)</f>
        <v>#VALUE!</v>
      </c>
      <c r="CC52" s="13" t="e">
        <f>-INDEX(Am_Sched_Mnthly,MATCH(CC$8,Am_Sched_Mnthly_Mnths,0),4)*(CC$8&lt;='Inputs &amp; Summary'!$D$102)</f>
        <v>#VALUE!</v>
      </c>
      <c r="CD52" s="13" t="e">
        <f>-INDEX(Am_Sched_Mnthly,MATCH(CD$8,Am_Sched_Mnthly_Mnths,0),4)*(CD$8&lt;='Inputs &amp; Summary'!$D$102)</f>
        <v>#VALUE!</v>
      </c>
      <c r="CE52" s="13" t="e">
        <f>-INDEX(Am_Sched_Mnthly,MATCH(CE$8,Am_Sched_Mnthly_Mnths,0),4)*(CE$8&lt;='Inputs &amp; Summary'!$D$102)</f>
        <v>#VALUE!</v>
      </c>
      <c r="CF52" s="13" t="e">
        <f>-INDEX(Am_Sched_Mnthly,MATCH(CF$8,Am_Sched_Mnthly_Mnths,0),4)*(CF$8&lt;='Inputs &amp; Summary'!$D$102)</f>
        <v>#VALUE!</v>
      </c>
      <c r="CG52" s="13" t="e">
        <f>-INDEX(Am_Sched_Mnthly,MATCH(CG$8,Am_Sched_Mnthly_Mnths,0),4)*(CG$8&lt;='Inputs &amp; Summary'!$D$102)</f>
        <v>#VALUE!</v>
      </c>
      <c r="CH52" s="13" t="e">
        <f>-INDEX(Am_Sched_Mnthly,MATCH(CH$8,Am_Sched_Mnthly_Mnths,0),4)*(CH$8&lt;='Inputs &amp; Summary'!$D$102)</f>
        <v>#VALUE!</v>
      </c>
      <c r="CI52" s="13" t="e">
        <f>-INDEX(Am_Sched_Mnthly,MATCH(CI$8,Am_Sched_Mnthly_Mnths,0),4)*(CI$8&lt;='Inputs &amp; Summary'!$D$102)</f>
        <v>#VALUE!</v>
      </c>
      <c r="CJ52" s="13" t="e">
        <f>-INDEX(Am_Sched_Mnthly,MATCH(CJ$8,Am_Sched_Mnthly_Mnths,0),4)*(CJ$8&lt;='Inputs &amp; Summary'!$D$102)</f>
        <v>#VALUE!</v>
      </c>
      <c r="CK52" s="13" t="e">
        <f>-INDEX(Am_Sched_Mnthly,MATCH(CK$8,Am_Sched_Mnthly_Mnths,0),4)*(CK$8&lt;='Inputs &amp; Summary'!$D$102)</f>
        <v>#VALUE!</v>
      </c>
      <c r="CL52" s="13" t="e">
        <f>-INDEX(Am_Sched_Mnthly,MATCH(CL$8,Am_Sched_Mnthly_Mnths,0),4)*(CL$8&lt;='Inputs &amp; Summary'!$D$102)</f>
        <v>#VALUE!</v>
      </c>
      <c r="CM52" s="13" t="e">
        <f>-INDEX(Am_Sched_Mnthly,MATCH(CM$8,Am_Sched_Mnthly_Mnths,0),4)*(CM$8&lt;='Inputs &amp; Summary'!$D$102)</f>
        <v>#VALUE!</v>
      </c>
      <c r="CN52" s="13" t="e">
        <f>-INDEX(Am_Sched_Mnthly,MATCH(CN$8,Am_Sched_Mnthly_Mnths,0),4)*(CN$8&lt;='Inputs &amp; Summary'!$D$102)</f>
        <v>#VALUE!</v>
      </c>
      <c r="CO52" s="13" t="e">
        <f>-INDEX(Am_Sched_Mnthly,MATCH(CO$8,Am_Sched_Mnthly_Mnths,0),4)*(CO$8&lt;='Inputs &amp; Summary'!$D$102)</f>
        <v>#VALUE!</v>
      </c>
      <c r="CP52" s="13" t="e">
        <f>-INDEX(Am_Sched_Mnthly,MATCH(CP$8,Am_Sched_Mnthly_Mnths,0),4)*(CP$8&lt;='Inputs &amp; Summary'!$D$102)</f>
        <v>#VALUE!</v>
      </c>
      <c r="CQ52" s="13" t="e">
        <f>-INDEX(Am_Sched_Mnthly,MATCH(CQ$8,Am_Sched_Mnthly_Mnths,0),4)*(CQ$8&lt;='Inputs &amp; Summary'!$D$102)</f>
        <v>#VALUE!</v>
      </c>
      <c r="CR52" s="13" t="e">
        <f>-INDEX(Am_Sched_Mnthly,MATCH(CR$8,Am_Sched_Mnthly_Mnths,0),4)*(CR$8&lt;='Inputs &amp; Summary'!$D$102)</f>
        <v>#VALUE!</v>
      </c>
      <c r="CS52" s="13" t="e">
        <f>-INDEX(Am_Sched_Mnthly,MATCH(CS$8,Am_Sched_Mnthly_Mnths,0),4)*(CS$8&lt;='Inputs &amp; Summary'!$D$102)</f>
        <v>#VALUE!</v>
      </c>
      <c r="CT52" s="13" t="e">
        <f>-INDEX(Am_Sched_Mnthly,MATCH(CT$8,Am_Sched_Mnthly_Mnths,0),4)*(CT$8&lt;='Inputs &amp; Summary'!$D$102)</f>
        <v>#VALUE!</v>
      </c>
      <c r="CU52" s="13" t="e">
        <f>-INDEX(Am_Sched_Mnthly,MATCH(CU$8,Am_Sched_Mnthly_Mnths,0),4)*(CU$8&lt;='Inputs &amp; Summary'!$D$102)</f>
        <v>#VALUE!</v>
      </c>
      <c r="CV52" s="13" t="e">
        <f>-INDEX(Am_Sched_Mnthly,MATCH(CV$8,Am_Sched_Mnthly_Mnths,0),4)*(CV$8&lt;='Inputs &amp; Summary'!$D$102)</f>
        <v>#VALUE!</v>
      </c>
      <c r="CW52" s="13" t="e">
        <f>-INDEX(Am_Sched_Mnthly,MATCH(CW$8,Am_Sched_Mnthly_Mnths,0),4)*(CW$8&lt;='Inputs &amp; Summary'!$D$102)</f>
        <v>#VALUE!</v>
      </c>
      <c r="CX52" s="13" t="e">
        <f>-INDEX(Am_Sched_Mnthly,MATCH(CX$8,Am_Sched_Mnthly_Mnths,0),4)*(CX$8&lt;='Inputs &amp; Summary'!$D$102)</f>
        <v>#VALUE!</v>
      </c>
      <c r="CY52" s="13" t="e">
        <f>-INDEX(Am_Sched_Mnthly,MATCH(CY$8,Am_Sched_Mnthly_Mnths,0),4)*(CY$8&lt;='Inputs &amp; Summary'!$D$102)</f>
        <v>#VALUE!</v>
      </c>
      <c r="CZ52" s="13" t="e">
        <f>-INDEX(Am_Sched_Mnthly,MATCH(CZ$8,Am_Sched_Mnthly_Mnths,0),4)*(CZ$8&lt;='Inputs &amp; Summary'!$D$102)</f>
        <v>#VALUE!</v>
      </c>
      <c r="DA52" s="13" t="e">
        <f>-INDEX(Am_Sched_Mnthly,MATCH(DA$8,Am_Sched_Mnthly_Mnths,0),4)*(DA$8&lt;='Inputs &amp; Summary'!$D$102)</f>
        <v>#VALUE!</v>
      </c>
      <c r="DB52" s="13" t="e">
        <f>-INDEX(Am_Sched_Mnthly,MATCH(DB$8,Am_Sched_Mnthly_Mnths,0),4)*(DB$8&lt;='Inputs &amp; Summary'!$D$102)</f>
        <v>#VALUE!</v>
      </c>
      <c r="DC52" s="13" t="e">
        <f>-INDEX(Am_Sched_Mnthly,MATCH(DC$8,Am_Sched_Mnthly_Mnths,0),4)*(DC$8&lt;='Inputs &amp; Summary'!$D$102)</f>
        <v>#VALUE!</v>
      </c>
      <c r="DD52" s="13" t="e">
        <f>-INDEX(Am_Sched_Mnthly,MATCH(DD$8,Am_Sched_Mnthly_Mnths,0),4)*(DD$8&lt;='Inputs &amp; Summary'!$D$102)</f>
        <v>#VALUE!</v>
      </c>
      <c r="DE52" s="13" t="e">
        <f>-INDEX(Am_Sched_Mnthly,MATCH(DE$8,Am_Sched_Mnthly_Mnths,0),4)*(DE$8&lt;='Inputs &amp; Summary'!$D$102)</f>
        <v>#VALUE!</v>
      </c>
      <c r="DF52" s="13" t="e">
        <f>-INDEX(Am_Sched_Mnthly,MATCH(DF$8,Am_Sched_Mnthly_Mnths,0),4)*(DF$8&lt;='Inputs &amp; Summary'!$D$102)</f>
        <v>#VALUE!</v>
      </c>
      <c r="DG52" s="13" t="e">
        <f>-INDEX(Am_Sched_Mnthly,MATCH(DG$8,Am_Sched_Mnthly_Mnths,0),4)*(DG$8&lt;='Inputs &amp; Summary'!$D$102)</f>
        <v>#VALUE!</v>
      </c>
      <c r="DH52" s="13" t="e">
        <f>-INDEX(Am_Sched_Mnthly,MATCH(DH$8,Am_Sched_Mnthly_Mnths,0),4)*(DH$8&lt;='Inputs &amp; Summary'!$D$102)</f>
        <v>#VALUE!</v>
      </c>
      <c r="DI52" s="13" t="e">
        <f>-INDEX(Am_Sched_Mnthly,MATCH(DI$8,Am_Sched_Mnthly_Mnths,0),4)*(DI$8&lt;='Inputs &amp; Summary'!$D$102)</f>
        <v>#VALUE!</v>
      </c>
      <c r="DJ52" s="13" t="e">
        <f>-INDEX(Am_Sched_Mnthly,MATCH(DJ$8,Am_Sched_Mnthly_Mnths,0),4)*(DJ$8&lt;='Inputs &amp; Summary'!$D$102)</f>
        <v>#VALUE!</v>
      </c>
      <c r="DK52" s="13" t="e">
        <f>-INDEX(Am_Sched_Mnthly,MATCH(DK$8,Am_Sched_Mnthly_Mnths,0),4)*(DK$8&lt;='Inputs &amp; Summary'!$D$102)</f>
        <v>#VALUE!</v>
      </c>
      <c r="DL52" s="13" t="e">
        <f>-INDEX(Am_Sched_Mnthly,MATCH(DL$8,Am_Sched_Mnthly_Mnths,0),4)*(DL$8&lt;='Inputs &amp; Summary'!$D$102)</f>
        <v>#VALUE!</v>
      </c>
      <c r="DM52" s="13" t="e">
        <f>-INDEX(Am_Sched_Mnthly,MATCH(DM$8,Am_Sched_Mnthly_Mnths,0),4)*(DM$8&lt;='Inputs &amp; Summary'!$D$102)</f>
        <v>#VALUE!</v>
      </c>
      <c r="DN52" s="13" t="e">
        <f>-INDEX(Am_Sched_Mnthly,MATCH(DN$8,Am_Sched_Mnthly_Mnths,0),4)*(DN$8&lt;='Inputs &amp; Summary'!$D$102)</f>
        <v>#VALUE!</v>
      </c>
      <c r="DO52" s="13" t="e">
        <f>-INDEX(Am_Sched_Mnthly,MATCH(DO$8,Am_Sched_Mnthly_Mnths,0),4)*(DO$8&lt;='Inputs &amp; Summary'!$D$102)</f>
        <v>#VALUE!</v>
      </c>
      <c r="DP52" s="13" t="e">
        <f>-INDEX(Am_Sched_Mnthly,MATCH(DP$8,Am_Sched_Mnthly_Mnths,0),4)*(DP$8&lt;='Inputs &amp; Summary'!$D$102)</f>
        <v>#VALUE!</v>
      </c>
      <c r="DQ52" s="13" t="e">
        <f>-INDEX(Am_Sched_Mnthly,MATCH(DQ$8,Am_Sched_Mnthly_Mnths,0),4)*(DQ$8&lt;='Inputs &amp; Summary'!$D$102)</f>
        <v>#VALUE!</v>
      </c>
      <c r="DR52" s="13" t="e">
        <f>-INDEX(Am_Sched_Mnthly,MATCH(DR$8,Am_Sched_Mnthly_Mnths,0),4)*(DR$8&lt;='Inputs &amp; Summary'!$D$102)</f>
        <v>#VALUE!</v>
      </c>
      <c r="DS52" s="13" t="e">
        <f>-INDEX(Am_Sched_Mnthly,MATCH(DS$8,Am_Sched_Mnthly_Mnths,0),4)*(DS$8&lt;='Inputs &amp; Summary'!$D$102)</f>
        <v>#VALUE!</v>
      </c>
      <c r="DT52" s="13" t="e">
        <f>-INDEX(Am_Sched_Mnthly,MATCH(DT$8,Am_Sched_Mnthly_Mnths,0),4)*(DT$8&lt;='Inputs &amp; Summary'!$D$102)</f>
        <v>#VALUE!</v>
      </c>
    </row>
    <row r="53" spans="2:124" x14ac:dyDescent="0.25">
      <c r="B53" s="67" t="s">
        <v>69</v>
      </c>
      <c r="C53" s="68"/>
      <c r="D53" s="32"/>
      <c r="E53" s="36" t="e">
        <f>-INDEX(Am_Sched_Mnthly,MATCH(E$8,Am_Sched_Mnthly_Mnths,0),3)*(E$8&lt;='Inputs &amp; Summary'!$D$102)</f>
        <v>#VALUE!</v>
      </c>
      <c r="F53" s="36" t="e">
        <f>-INDEX(Am_Sched_Mnthly,MATCH(F$8,Am_Sched_Mnthly_Mnths,0),3)*(F$8&lt;='Inputs &amp; Summary'!$D$102)</f>
        <v>#VALUE!</v>
      </c>
      <c r="G53" s="36" t="e">
        <f>-INDEX(Am_Sched_Mnthly,MATCH(G$8,Am_Sched_Mnthly_Mnths,0),3)*(G$8&lt;='Inputs &amp; Summary'!$D$102)</f>
        <v>#VALUE!</v>
      </c>
      <c r="H53" s="36" t="e">
        <f>-INDEX(Am_Sched_Mnthly,MATCH(H$8,Am_Sched_Mnthly_Mnths,0),3)*(H$8&lt;='Inputs &amp; Summary'!$D$102)</f>
        <v>#VALUE!</v>
      </c>
      <c r="I53" s="36" t="e">
        <f>-INDEX(Am_Sched_Mnthly,MATCH(I$8,Am_Sched_Mnthly_Mnths,0),3)*(I$8&lt;='Inputs &amp; Summary'!$D$102)</f>
        <v>#VALUE!</v>
      </c>
      <c r="J53" s="36" t="e">
        <f>-INDEX(Am_Sched_Mnthly,MATCH(J$8,Am_Sched_Mnthly_Mnths,0),3)*(J$8&lt;='Inputs &amp; Summary'!$D$102)</f>
        <v>#VALUE!</v>
      </c>
      <c r="K53" s="36" t="e">
        <f>-INDEX(Am_Sched_Mnthly,MATCH(K$8,Am_Sched_Mnthly_Mnths,0),3)*(K$8&lt;='Inputs &amp; Summary'!$D$102)</f>
        <v>#VALUE!</v>
      </c>
      <c r="L53" s="36" t="e">
        <f>-INDEX(Am_Sched_Mnthly,MATCH(L$8,Am_Sched_Mnthly_Mnths,0),3)*(L$8&lt;='Inputs &amp; Summary'!$D$102)</f>
        <v>#VALUE!</v>
      </c>
      <c r="M53" s="36" t="e">
        <f>-INDEX(Am_Sched_Mnthly,MATCH(M$8,Am_Sched_Mnthly_Mnths,0),3)*(M$8&lt;='Inputs &amp; Summary'!$D$102)</f>
        <v>#VALUE!</v>
      </c>
      <c r="N53" s="36" t="e">
        <f>-INDEX(Am_Sched_Mnthly,MATCH(N$8,Am_Sched_Mnthly_Mnths,0),3)*(N$8&lt;='Inputs &amp; Summary'!$D$102)</f>
        <v>#VALUE!</v>
      </c>
      <c r="O53" s="36" t="e">
        <f>-INDEX(Am_Sched_Mnthly,MATCH(O$8,Am_Sched_Mnthly_Mnths,0),3)*(O$8&lt;='Inputs &amp; Summary'!$D$102)</f>
        <v>#VALUE!</v>
      </c>
      <c r="P53" s="36" t="e">
        <f>-INDEX(Am_Sched_Mnthly,MATCH(P$8,Am_Sched_Mnthly_Mnths,0),3)*(P$8&lt;='Inputs &amp; Summary'!$D$102)</f>
        <v>#VALUE!</v>
      </c>
      <c r="Q53" s="36" t="e">
        <f>-INDEX(Am_Sched_Mnthly,MATCH(Q$8,Am_Sched_Mnthly_Mnths,0),3)*(Q$8&lt;='Inputs &amp; Summary'!$D$102)</f>
        <v>#VALUE!</v>
      </c>
      <c r="R53" s="36" t="e">
        <f>-INDEX(Am_Sched_Mnthly,MATCH(R$8,Am_Sched_Mnthly_Mnths,0),3)*(R$8&lt;='Inputs &amp; Summary'!$D$102)</f>
        <v>#VALUE!</v>
      </c>
      <c r="S53" s="36" t="e">
        <f>-INDEX(Am_Sched_Mnthly,MATCH(S$8,Am_Sched_Mnthly_Mnths,0),3)*(S$8&lt;='Inputs &amp; Summary'!$D$102)</f>
        <v>#VALUE!</v>
      </c>
      <c r="T53" s="36" t="e">
        <f>-INDEX(Am_Sched_Mnthly,MATCH(T$8,Am_Sched_Mnthly_Mnths,0),3)*(T$8&lt;='Inputs &amp; Summary'!$D$102)</f>
        <v>#VALUE!</v>
      </c>
      <c r="U53" s="36" t="e">
        <f>-INDEX(Am_Sched_Mnthly,MATCH(U$8,Am_Sched_Mnthly_Mnths,0),3)*(U$8&lt;='Inputs &amp; Summary'!$D$102)</f>
        <v>#VALUE!</v>
      </c>
      <c r="V53" s="36" t="e">
        <f>-INDEX(Am_Sched_Mnthly,MATCH(V$8,Am_Sched_Mnthly_Mnths,0),3)*(V$8&lt;='Inputs &amp; Summary'!$D$102)</f>
        <v>#VALUE!</v>
      </c>
      <c r="W53" s="36" t="e">
        <f>-INDEX(Am_Sched_Mnthly,MATCH(W$8,Am_Sched_Mnthly_Mnths,0),3)*(W$8&lt;='Inputs &amp; Summary'!$D$102)</f>
        <v>#VALUE!</v>
      </c>
      <c r="X53" s="36" t="e">
        <f>-INDEX(Am_Sched_Mnthly,MATCH(X$8,Am_Sched_Mnthly_Mnths,0),3)*(X$8&lt;='Inputs &amp; Summary'!$D$102)</f>
        <v>#VALUE!</v>
      </c>
      <c r="Y53" s="36" t="e">
        <f>-INDEX(Am_Sched_Mnthly,MATCH(Y$8,Am_Sched_Mnthly_Mnths,0),3)*(Y$8&lt;='Inputs &amp; Summary'!$D$102)</f>
        <v>#VALUE!</v>
      </c>
      <c r="Z53" s="36" t="e">
        <f>-INDEX(Am_Sched_Mnthly,MATCH(Z$8,Am_Sched_Mnthly_Mnths,0),3)*(Z$8&lt;='Inputs &amp; Summary'!$D$102)</f>
        <v>#VALUE!</v>
      </c>
      <c r="AA53" s="36" t="e">
        <f>-INDEX(Am_Sched_Mnthly,MATCH(AA$8,Am_Sched_Mnthly_Mnths,0),3)*(AA$8&lt;='Inputs &amp; Summary'!$D$102)</f>
        <v>#VALUE!</v>
      </c>
      <c r="AB53" s="36" t="e">
        <f>-INDEX(Am_Sched_Mnthly,MATCH(AB$8,Am_Sched_Mnthly_Mnths,0),3)*(AB$8&lt;='Inputs &amp; Summary'!$D$102)</f>
        <v>#VALUE!</v>
      </c>
      <c r="AC53" s="36" t="e">
        <f>-INDEX(Am_Sched_Mnthly,MATCH(AC$8,Am_Sched_Mnthly_Mnths,0),3)*(AC$8&lt;='Inputs &amp; Summary'!$D$102)</f>
        <v>#VALUE!</v>
      </c>
      <c r="AD53" s="36" t="e">
        <f>-INDEX(Am_Sched_Mnthly,MATCH(AD$8,Am_Sched_Mnthly_Mnths,0),3)*(AD$8&lt;='Inputs &amp; Summary'!$D$102)</f>
        <v>#VALUE!</v>
      </c>
      <c r="AE53" s="36" t="e">
        <f>-INDEX(Am_Sched_Mnthly,MATCH(AE$8,Am_Sched_Mnthly_Mnths,0),3)*(AE$8&lt;='Inputs &amp; Summary'!$D$102)</f>
        <v>#VALUE!</v>
      </c>
      <c r="AF53" s="36" t="e">
        <f>-INDEX(Am_Sched_Mnthly,MATCH(AF$8,Am_Sched_Mnthly_Mnths,0),3)*(AF$8&lt;='Inputs &amp; Summary'!$D$102)</f>
        <v>#VALUE!</v>
      </c>
      <c r="AG53" s="36" t="e">
        <f>-INDEX(Am_Sched_Mnthly,MATCH(AG$8,Am_Sched_Mnthly_Mnths,0),3)*(AG$8&lt;='Inputs &amp; Summary'!$D$102)</f>
        <v>#VALUE!</v>
      </c>
      <c r="AH53" s="36" t="e">
        <f>-INDEX(Am_Sched_Mnthly,MATCH(AH$8,Am_Sched_Mnthly_Mnths,0),3)*(AH$8&lt;='Inputs &amp; Summary'!$D$102)</f>
        <v>#VALUE!</v>
      </c>
      <c r="AI53" s="36" t="e">
        <f>-INDEX(Am_Sched_Mnthly,MATCH(AI$8,Am_Sched_Mnthly_Mnths,0),3)*(AI$8&lt;='Inputs &amp; Summary'!$D$102)</f>
        <v>#VALUE!</v>
      </c>
      <c r="AJ53" s="36" t="e">
        <f>-INDEX(Am_Sched_Mnthly,MATCH(AJ$8,Am_Sched_Mnthly_Mnths,0),3)*(AJ$8&lt;='Inputs &amp; Summary'!$D$102)</f>
        <v>#VALUE!</v>
      </c>
      <c r="AK53" s="36" t="e">
        <f>-INDEX(Am_Sched_Mnthly,MATCH(AK$8,Am_Sched_Mnthly_Mnths,0),3)*(AK$8&lt;='Inputs &amp; Summary'!$D$102)</f>
        <v>#VALUE!</v>
      </c>
      <c r="AL53" s="36" t="e">
        <f>-INDEX(Am_Sched_Mnthly,MATCH(AL$8,Am_Sched_Mnthly_Mnths,0),3)*(AL$8&lt;='Inputs &amp; Summary'!$D$102)</f>
        <v>#VALUE!</v>
      </c>
      <c r="AM53" s="36" t="e">
        <f>-INDEX(Am_Sched_Mnthly,MATCH(AM$8,Am_Sched_Mnthly_Mnths,0),3)*(AM$8&lt;='Inputs &amp; Summary'!$D$102)</f>
        <v>#VALUE!</v>
      </c>
      <c r="AN53" s="36" t="e">
        <f>-INDEX(Am_Sched_Mnthly,MATCH(AN$8,Am_Sched_Mnthly_Mnths,0),3)*(AN$8&lt;='Inputs &amp; Summary'!$D$102)</f>
        <v>#VALUE!</v>
      </c>
      <c r="AO53" s="36" t="e">
        <f>-INDEX(Am_Sched_Mnthly,MATCH(AO$8,Am_Sched_Mnthly_Mnths,0),3)*(AO$8&lt;='Inputs &amp; Summary'!$D$102)</f>
        <v>#VALUE!</v>
      </c>
      <c r="AP53" s="36" t="e">
        <f>-INDEX(Am_Sched_Mnthly,MATCH(AP$8,Am_Sched_Mnthly_Mnths,0),3)*(AP$8&lt;='Inputs &amp; Summary'!$D$102)</f>
        <v>#VALUE!</v>
      </c>
      <c r="AQ53" s="36" t="e">
        <f>-INDEX(Am_Sched_Mnthly,MATCH(AQ$8,Am_Sched_Mnthly_Mnths,0),3)*(AQ$8&lt;='Inputs &amp; Summary'!$D$102)</f>
        <v>#VALUE!</v>
      </c>
      <c r="AR53" s="36" t="e">
        <f>-INDEX(Am_Sched_Mnthly,MATCH(AR$8,Am_Sched_Mnthly_Mnths,0),3)*(AR$8&lt;='Inputs &amp; Summary'!$D$102)</f>
        <v>#VALUE!</v>
      </c>
      <c r="AS53" s="36" t="e">
        <f>-INDEX(Am_Sched_Mnthly,MATCH(AS$8,Am_Sched_Mnthly_Mnths,0),3)*(AS$8&lt;='Inputs &amp; Summary'!$D$102)</f>
        <v>#VALUE!</v>
      </c>
      <c r="AT53" s="36" t="e">
        <f>-INDEX(Am_Sched_Mnthly,MATCH(AT$8,Am_Sched_Mnthly_Mnths,0),3)*(AT$8&lt;='Inputs &amp; Summary'!$D$102)</f>
        <v>#VALUE!</v>
      </c>
      <c r="AU53" s="36" t="e">
        <f>-INDEX(Am_Sched_Mnthly,MATCH(AU$8,Am_Sched_Mnthly_Mnths,0),3)*(AU$8&lt;='Inputs &amp; Summary'!$D$102)</f>
        <v>#VALUE!</v>
      </c>
      <c r="AV53" s="36" t="e">
        <f>-INDEX(Am_Sched_Mnthly,MATCH(AV$8,Am_Sched_Mnthly_Mnths,0),3)*(AV$8&lt;='Inputs &amp; Summary'!$D$102)</f>
        <v>#VALUE!</v>
      </c>
      <c r="AW53" s="36" t="e">
        <f>-INDEX(Am_Sched_Mnthly,MATCH(AW$8,Am_Sched_Mnthly_Mnths,0),3)*(AW$8&lt;='Inputs &amp; Summary'!$D$102)</f>
        <v>#VALUE!</v>
      </c>
      <c r="AX53" s="36" t="e">
        <f>-INDEX(Am_Sched_Mnthly,MATCH(AX$8,Am_Sched_Mnthly_Mnths,0),3)*(AX$8&lt;='Inputs &amp; Summary'!$D$102)</f>
        <v>#VALUE!</v>
      </c>
      <c r="AY53" s="36" t="e">
        <f>-INDEX(Am_Sched_Mnthly,MATCH(AY$8,Am_Sched_Mnthly_Mnths,0),3)*(AY$8&lt;='Inputs &amp; Summary'!$D$102)</f>
        <v>#VALUE!</v>
      </c>
      <c r="AZ53" s="36" t="e">
        <f>-INDEX(Am_Sched_Mnthly,MATCH(AZ$8,Am_Sched_Mnthly_Mnths,0),3)*(AZ$8&lt;='Inputs &amp; Summary'!$D$102)</f>
        <v>#VALUE!</v>
      </c>
      <c r="BA53" s="36" t="e">
        <f>-INDEX(Am_Sched_Mnthly,MATCH(BA$8,Am_Sched_Mnthly_Mnths,0),3)*(BA$8&lt;='Inputs &amp; Summary'!$D$102)</f>
        <v>#VALUE!</v>
      </c>
      <c r="BB53" s="36" t="e">
        <f>-INDEX(Am_Sched_Mnthly,MATCH(BB$8,Am_Sched_Mnthly_Mnths,0),3)*(BB$8&lt;='Inputs &amp; Summary'!$D$102)</f>
        <v>#VALUE!</v>
      </c>
      <c r="BC53" s="36" t="e">
        <f>-INDEX(Am_Sched_Mnthly,MATCH(BC$8,Am_Sched_Mnthly_Mnths,0),3)*(BC$8&lt;='Inputs &amp; Summary'!$D$102)</f>
        <v>#VALUE!</v>
      </c>
      <c r="BD53" s="36" t="e">
        <f>-INDEX(Am_Sched_Mnthly,MATCH(BD$8,Am_Sched_Mnthly_Mnths,0),3)*(BD$8&lt;='Inputs &amp; Summary'!$D$102)</f>
        <v>#VALUE!</v>
      </c>
      <c r="BE53" s="36" t="e">
        <f>-INDEX(Am_Sched_Mnthly,MATCH(BE$8,Am_Sched_Mnthly_Mnths,0),3)*(BE$8&lt;='Inputs &amp; Summary'!$D$102)</f>
        <v>#VALUE!</v>
      </c>
      <c r="BF53" s="36" t="e">
        <f>-INDEX(Am_Sched_Mnthly,MATCH(BF$8,Am_Sched_Mnthly_Mnths,0),3)*(BF$8&lt;='Inputs &amp; Summary'!$D$102)</f>
        <v>#VALUE!</v>
      </c>
      <c r="BG53" s="36" t="e">
        <f>-INDEX(Am_Sched_Mnthly,MATCH(BG$8,Am_Sched_Mnthly_Mnths,0),3)*(BG$8&lt;='Inputs &amp; Summary'!$D$102)</f>
        <v>#VALUE!</v>
      </c>
      <c r="BH53" s="36" t="e">
        <f>-INDEX(Am_Sched_Mnthly,MATCH(BH$8,Am_Sched_Mnthly_Mnths,0),3)*(BH$8&lt;='Inputs &amp; Summary'!$D$102)</f>
        <v>#VALUE!</v>
      </c>
      <c r="BI53" s="36" t="e">
        <f>-INDEX(Am_Sched_Mnthly,MATCH(BI$8,Am_Sched_Mnthly_Mnths,0),3)*(BI$8&lt;='Inputs &amp; Summary'!$D$102)</f>
        <v>#VALUE!</v>
      </c>
      <c r="BJ53" s="36" t="e">
        <f>-INDEX(Am_Sched_Mnthly,MATCH(BJ$8,Am_Sched_Mnthly_Mnths,0),3)*(BJ$8&lt;='Inputs &amp; Summary'!$D$102)</f>
        <v>#VALUE!</v>
      </c>
      <c r="BK53" s="36" t="e">
        <f>-INDEX(Am_Sched_Mnthly,MATCH(BK$8,Am_Sched_Mnthly_Mnths,0),3)*(BK$8&lt;='Inputs &amp; Summary'!$D$102)</f>
        <v>#VALUE!</v>
      </c>
      <c r="BL53" s="36" t="e">
        <f>-INDEX(Am_Sched_Mnthly,MATCH(BL$8,Am_Sched_Mnthly_Mnths,0),3)*(BL$8&lt;='Inputs &amp; Summary'!$D$102)</f>
        <v>#VALUE!</v>
      </c>
      <c r="BM53" s="36" t="e">
        <f>-INDEX(Am_Sched_Mnthly,MATCH(BM$8,Am_Sched_Mnthly_Mnths,0),3)*(BM$8&lt;='Inputs &amp; Summary'!$D$102)</f>
        <v>#VALUE!</v>
      </c>
      <c r="BN53" s="36" t="e">
        <f>-INDEX(Am_Sched_Mnthly,MATCH(BN$8,Am_Sched_Mnthly_Mnths,0),3)*(BN$8&lt;='Inputs &amp; Summary'!$D$102)</f>
        <v>#VALUE!</v>
      </c>
      <c r="BO53" s="36" t="e">
        <f>-INDEX(Am_Sched_Mnthly,MATCH(BO$8,Am_Sched_Mnthly_Mnths,0),3)*(BO$8&lt;='Inputs &amp; Summary'!$D$102)</f>
        <v>#VALUE!</v>
      </c>
      <c r="BP53" s="36" t="e">
        <f>-INDEX(Am_Sched_Mnthly,MATCH(BP$8,Am_Sched_Mnthly_Mnths,0),3)*(BP$8&lt;='Inputs &amp; Summary'!$D$102)</f>
        <v>#VALUE!</v>
      </c>
      <c r="BQ53" s="36" t="e">
        <f>-INDEX(Am_Sched_Mnthly,MATCH(BQ$8,Am_Sched_Mnthly_Mnths,0),3)*(BQ$8&lt;='Inputs &amp; Summary'!$D$102)</f>
        <v>#VALUE!</v>
      </c>
      <c r="BR53" s="36" t="e">
        <f>-INDEX(Am_Sched_Mnthly,MATCH(BR$8,Am_Sched_Mnthly_Mnths,0),3)*(BR$8&lt;='Inputs &amp; Summary'!$D$102)</f>
        <v>#VALUE!</v>
      </c>
      <c r="BS53" s="36" t="e">
        <f>-INDEX(Am_Sched_Mnthly,MATCH(BS$8,Am_Sched_Mnthly_Mnths,0),3)*(BS$8&lt;='Inputs &amp; Summary'!$D$102)</f>
        <v>#VALUE!</v>
      </c>
      <c r="BT53" s="36" t="e">
        <f>-INDEX(Am_Sched_Mnthly,MATCH(BT$8,Am_Sched_Mnthly_Mnths,0),3)*(BT$8&lt;='Inputs &amp; Summary'!$D$102)</f>
        <v>#VALUE!</v>
      </c>
      <c r="BU53" s="36" t="e">
        <f>-INDEX(Am_Sched_Mnthly,MATCH(BU$8,Am_Sched_Mnthly_Mnths,0),3)*(BU$8&lt;='Inputs &amp; Summary'!$D$102)</f>
        <v>#VALUE!</v>
      </c>
      <c r="BV53" s="36" t="e">
        <f>-INDEX(Am_Sched_Mnthly,MATCH(BV$8,Am_Sched_Mnthly_Mnths,0),3)*(BV$8&lt;='Inputs &amp; Summary'!$D$102)</f>
        <v>#VALUE!</v>
      </c>
      <c r="BW53" s="36" t="e">
        <f>-INDEX(Am_Sched_Mnthly,MATCH(BW$8,Am_Sched_Mnthly_Mnths,0),3)*(BW$8&lt;='Inputs &amp; Summary'!$D$102)</f>
        <v>#VALUE!</v>
      </c>
      <c r="BX53" s="36" t="e">
        <f>-INDEX(Am_Sched_Mnthly,MATCH(BX$8,Am_Sched_Mnthly_Mnths,0),3)*(BX$8&lt;='Inputs &amp; Summary'!$D$102)</f>
        <v>#VALUE!</v>
      </c>
      <c r="BY53" s="36" t="e">
        <f>-INDEX(Am_Sched_Mnthly,MATCH(BY$8,Am_Sched_Mnthly_Mnths,0),3)*(BY$8&lt;='Inputs &amp; Summary'!$D$102)</f>
        <v>#VALUE!</v>
      </c>
      <c r="BZ53" s="36" t="e">
        <f>-INDEX(Am_Sched_Mnthly,MATCH(BZ$8,Am_Sched_Mnthly_Mnths,0),3)*(BZ$8&lt;='Inputs &amp; Summary'!$D$102)</f>
        <v>#VALUE!</v>
      </c>
      <c r="CA53" s="36" t="e">
        <f>-INDEX(Am_Sched_Mnthly,MATCH(CA$8,Am_Sched_Mnthly_Mnths,0),3)*(CA$8&lt;='Inputs &amp; Summary'!$D$102)</f>
        <v>#VALUE!</v>
      </c>
      <c r="CB53" s="36" t="e">
        <f>-INDEX(Am_Sched_Mnthly,MATCH(CB$8,Am_Sched_Mnthly_Mnths,0),3)*(CB$8&lt;='Inputs &amp; Summary'!$D$102)</f>
        <v>#VALUE!</v>
      </c>
      <c r="CC53" s="36" t="e">
        <f>-INDEX(Am_Sched_Mnthly,MATCH(CC$8,Am_Sched_Mnthly_Mnths,0),3)*(CC$8&lt;='Inputs &amp; Summary'!$D$102)</f>
        <v>#VALUE!</v>
      </c>
      <c r="CD53" s="36" t="e">
        <f>-INDEX(Am_Sched_Mnthly,MATCH(CD$8,Am_Sched_Mnthly_Mnths,0),3)*(CD$8&lt;='Inputs &amp; Summary'!$D$102)</f>
        <v>#VALUE!</v>
      </c>
      <c r="CE53" s="36" t="e">
        <f>-INDEX(Am_Sched_Mnthly,MATCH(CE$8,Am_Sched_Mnthly_Mnths,0),3)*(CE$8&lt;='Inputs &amp; Summary'!$D$102)</f>
        <v>#VALUE!</v>
      </c>
      <c r="CF53" s="36" t="e">
        <f>-INDEX(Am_Sched_Mnthly,MATCH(CF$8,Am_Sched_Mnthly_Mnths,0),3)*(CF$8&lt;='Inputs &amp; Summary'!$D$102)</f>
        <v>#VALUE!</v>
      </c>
      <c r="CG53" s="36" t="e">
        <f>-INDEX(Am_Sched_Mnthly,MATCH(CG$8,Am_Sched_Mnthly_Mnths,0),3)*(CG$8&lt;='Inputs &amp; Summary'!$D$102)</f>
        <v>#VALUE!</v>
      </c>
      <c r="CH53" s="36" t="e">
        <f>-INDEX(Am_Sched_Mnthly,MATCH(CH$8,Am_Sched_Mnthly_Mnths,0),3)*(CH$8&lt;='Inputs &amp; Summary'!$D$102)</f>
        <v>#VALUE!</v>
      </c>
      <c r="CI53" s="36" t="e">
        <f>-INDEX(Am_Sched_Mnthly,MATCH(CI$8,Am_Sched_Mnthly_Mnths,0),3)*(CI$8&lt;='Inputs &amp; Summary'!$D$102)</f>
        <v>#VALUE!</v>
      </c>
      <c r="CJ53" s="36" t="e">
        <f>-INDEX(Am_Sched_Mnthly,MATCH(CJ$8,Am_Sched_Mnthly_Mnths,0),3)*(CJ$8&lt;='Inputs &amp; Summary'!$D$102)</f>
        <v>#VALUE!</v>
      </c>
      <c r="CK53" s="36" t="e">
        <f>-INDEX(Am_Sched_Mnthly,MATCH(CK$8,Am_Sched_Mnthly_Mnths,0),3)*(CK$8&lt;='Inputs &amp; Summary'!$D$102)</f>
        <v>#VALUE!</v>
      </c>
      <c r="CL53" s="36" t="e">
        <f>-INDEX(Am_Sched_Mnthly,MATCH(CL$8,Am_Sched_Mnthly_Mnths,0),3)*(CL$8&lt;='Inputs &amp; Summary'!$D$102)</f>
        <v>#VALUE!</v>
      </c>
      <c r="CM53" s="36" t="e">
        <f>-INDEX(Am_Sched_Mnthly,MATCH(CM$8,Am_Sched_Mnthly_Mnths,0),3)*(CM$8&lt;='Inputs &amp; Summary'!$D$102)</f>
        <v>#VALUE!</v>
      </c>
      <c r="CN53" s="36" t="e">
        <f>-INDEX(Am_Sched_Mnthly,MATCH(CN$8,Am_Sched_Mnthly_Mnths,0),3)*(CN$8&lt;='Inputs &amp; Summary'!$D$102)</f>
        <v>#VALUE!</v>
      </c>
      <c r="CO53" s="36" t="e">
        <f>-INDEX(Am_Sched_Mnthly,MATCH(CO$8,Am_Sched_Mnthly_Mnths,0),3)*(CO$8&lt;='Inputs &amp; Summary'!$D$102)</f>
        <v>#VALUE!</v>
      </c>
      <c r="CP53" s="36" t="e">
        <f>-INDEX(Am_Sched_Mnthly,MATCH(CP$8,Am_Sched_Mnthly_Mnths,0),3)*(CP$8&lt;='Inputs &amp; Summary'!$D$102)</f>
        <v>#VALUE!</v>
      </c>
      <c r="CQ53" s="36" t="e">
        <f>-INDEX(Am_Sched_Mnthly,MATCH(CQ$8,Am_Sched_Mnthly_Mnths,0),3)*(CQ$8&lt;='Inputs &amp; Summary'!$D$102)</f>
        <v>#VALUE!</v>
      </c>
      <c r="CR53" s="36" t="e">
        <f>-INDEX(Am_Sched_Mnthly,MATCH(CR$8,Am_Sched_Mnthly_Mnths,0),3)*(CR$8&lt;='Inputs &amp; Summary'!$D$102)</f>
        <v>#VALUE!</v>
      </c>
      <c r="CS53" s="36" t="e">
        <f>-INDEX(Am_Sched_Mnthly,MATCH(CS$8,Am_Sched_Mnthly_Mnths,0),3)*(CS$8&lt;='Inputs &amp; Summary'!$D$102)</f>
        <v>#VALUE!</v>
      </c>
      <c r="CT53" s="36" t="e">
        <f>-INDEX(Am_Sched_Mnthly,MATCH(CT$8,Am_Sched_Mnthly_Mnths,0),3)*(CT$8&lt;='Inputs &amp; Summary'!$D$102)</f>
        <v>#VALUE!</v>
      </c>
      <c r="CU53" s="36" t="e">
        <f>-INDEX(Am_Sched_Mnthly,MATCH(CU$8,Am_Sched_Mnthly_Mnths,0),3)*(CU$8&lt;='Inputs &amp; Summary'!$D$102)</f>
        <v>#VALUE!</v>
      </c>
      <c r="CV53" s="36" t="e">
        <f>-INDEX(Am_Sched_Mnthly,MATCH(CV$8,Am_Sched_Mnthly_Mnths,0),3)*(CV$8&lt;='Inputs &amp; Summary'!$D$102)</f>
        <v>#VALUE!</v>
      </c>
      <c r="CW53" s="36" t="e">
        <f>-INDEX(Am_Sched_Mnthly,MATCH(CW$8,Am_Sched_Mnthly_Mnths,0),3)*(CW$8&lt;='Inputs &amp; Summary'!$D$102)</f>
        <v>#VALUE!</v>
      </c>
      <c r="CX53" s="36" t="e">
        <f>-INDEX(Am_Sched_Mnthly,MATCH(CX$8,Am_Sched_Mnthly_Mnths,0),3)*(CX$8&lt;='Inputs &amp; Summary'!$D$102)</f>
        <v>#VALUE!</v>
      </c>
      <c r="CY53" s="36" t="e">
        <f>-INDEX(Am_Sched_Mnthly,MATCH(CY$8,Am_Sched_Mnthly_Mnths,0),3)*(CY$8&lt;='Inputs &amp; Summary'!$D$102)</f>
        <v>#VALUE!</v>
      </c>
      <c r="CZ53" s="36" t="e">
        <f>-INDEX(Am_Sched_Mnthly,MATCH(CZ$8,Am_Sched_Mnthly_Mnths,0),3)*(CZ$8&lt;='Inputs &amp; Summary'!$D$102)</f>
        <v>#VALUE!</v>
      </c>
      <c r="DA53" s="36" t="e">
        <f>-INDEX(Am_Sched_Mnthly,MATCH(DA$8,Am_Sched_Mnthly_Mnths,0),3)*(DA$8&lt;='Inputs &amp; Summary'!$D$102)</f>
        <v>#VALUE!</v>
      </c>
      <c r="DB53" s="36" t="e">
        <f>-INDEX(Am_Sched_Mnthly,MATCH(DB$8,Am_Sched_Mnthly_Mnths,0),3)*(DB$8&lt;='Inputs &amp; Summary'!$D$102)</f>
        <v>#VALUE!</v>
      </c>
      <c r="DC53" s="36" t="e">
        <f>-INDEX(Am_Sched_Mnthly,MATCH(DC$8,Am_Sched_Mnthly_Mnths,0),3)*(DC$8&lt;='Inputs &amp; Summary'!$D$102)</f>
        <v>#VALUE!</v>
      </c>
      <c r="DD53" s="36" t="e">
        <f>-INDEX(Am_Sched_Mnthly,MATCH(DD$8,Am_Sched_Mnthly_Mnths,0),3)*(DD$8&lt;='Inputs &amp; Summary'!$D$102)</f>
        <v>#VALUE!</v>
      </c>
      <c r="DE53" s="36" t="e">
        <f>-INDEX(Am_Sched_Mnthly,MATCH(DE$8,Am_Sched_Mnthly_Mnths,0),3)*(DE$8&lt;='Inputs &amp; Summary'!$D$102)</f>
        <v>#VALUE!</v>
      </c>
      <c r="DF53" s="36" t="e">
        <f>-INDEX(Am_Sched_Mnthly,MATCH(DF$8,Am_Sched_Mnthly_Mnths,0),3)*(DF$8&lt;='Inputs &amp; Summary'!$D$102)</f>
        <v>#VALUE!</v>
      </c>
      <c r="DG53" s="36" t="e">
        <f>-INDEX(Am_Sched_Mnthly,MATCH(DG$8,Am_Sched_Mnthly_Mnths,0),3)*(DG$8&lt;='Inputs &amp; Summary'!$D$102)</f>
        <v>#VALUE!</v>
      </c>
      <c r="DH53" s="36" t="e">
        <f>-INDEX(Am_Sched_Mnthly,MATCH(DH$8,Am_Sched_Mnthly_Mnths,0),3)*(DH$8&lt;='Inputs &amp; Summary'!$D$102)</f>
        <v>#VALUE!</v>
      </c>
      <c r="DI53" s="36" t="e">
        <f>-INDEX(Am_Sched_Mnthly,MATCH(DI$8,Am_Sched_Mnthly_Mnths,0),3)*(DI$8&lt;='Inputs &amp; Summary'!$D$102)</f>
        <v>#VALUE!</v>
      </c>
      <c r="DJ53" s="36" t="e">
        <f>-INDEX(Am_Sched_Mnthly,MATCH(DJ$8,Am_Sched_Mnthly_Mnths,0),3)*(DJ$8&lt;='Inputs &amp; Summary'!$D$102)</f>
        <v>#VALUE!</v>
      </c>
      <c r="DK53" s="36" t="e">
        <f>-INDEX(Am_Sched_Mnthly,MATCH(DK$8,Am_Sched_Mnthly_Mnths,0),3)*(DK$8&lt;='Inputs &amp; Summary'!$D$102)</f>
        <v>#VALUE!</v>
      </c>
      <c r="DL53" s="36" t="e">
        <f>-INDEX(Am_Sched_Mnthly,MATCH(DL$8,Am_Sched_Mnthly_Mnths,0),3)*(DL$8&lt;='Inputs &amp; Summary'!$D$102)</f>
        <v>#VALUE!</v>
      </c>
      <c r="DM53" s="36" t="e">
        <f>-INDEX(Am_Sched_Mnthly,MATCH(DM$8,Am_Sched_Mnthly_Mnths,0),3)*(DM$8&lt;='Inputs &amp; Summary'!$D$102)</f>
        <v>#VALUE!</v>
      </c>
      <c r="DN53" s="36" t="e">
        <f>-INDEX(Am_Sched_Mnthly,MATCH(DN$8,Am_Sched_Mnthly_Mnths,0),3)*(DN$8&lt;='Inputs &amp; Summary'!$D$102)</f>
        <v>#VALUE!</v>
      </c>
      <c r="DO53" s="36" t="e">
        <f>-INDEX(Am_Sched_Mnthly,MATCH(DO$8,Am_Sched_Mnthly_Mnths,0),3)*(DO$8&lt;='Inputs &amp; Summary'!$D$102)</f>
        <v>#VALUE!</v>
      </c>
      <c r="DP53" s="36" t="e">
        <f>-INDEX(Am_Sched_Mnthly,MATCH(DP$8,Am_Sched_Mnthly_Mnths,0),3)*(DP$8&lt;='Inputs &amp; Summary'!$D$102)</f>
        <v>#VALUE!</v>
      </c>
      <c r="DQ53" s="36" t="e">
        <f>-INDEX(Am_Sched_Mnthly,MATCH(DQ$8,Am_Sched_Mnthly_Mnths,0),3)*(DQ$8&lt;='Inputs &amp; Summary'!$D$102)</f>
        <v>#VALUE!</v>
      </c>
      <c r="DR53" s="36" t="e">
        <f>-INDEX(Am_Sched_Mnthly,MATCH(DR$8,Am_Sched_Mnthly_Mnths,0),3)*(DR$8&lt;='Inputs &amp; Summary'!$D$102)</f>
        <v>#VALUE!</v>
      </c>
      <c r="DS53" s="36" t="e">
        <f>-INDEX(Am_Sched_Mnthly,MATCH(DS$8,Am_Sched_Mnthly_Mnths,0),3)*(DS$8&lt;='Inputs &amp; Summary'!$D$102)</f>
        <v>#VALUE!</v>
      </c>
      <c r="DT53" s="36" t="e">
        <f>-INDEX(Am_Sched_Mnthly,MATCH(DT$8,Am_Sched_Mnthly_Mnths,0),3)*(DT$8&lt;='Inputs &amp; Summary'!$D$102)</f>
        <v>#VALUE!</v>
      </c>
    </row>
    <row r="54" spans="2:124" x14ac:dyDescent="0.25">
      <c r="B54" s="6" t="s">
        <v>71</v>
      </c>
      <c r="C54" s="31"/>
      <c r="D54" s="48" t="e">
        <f>SUM(D51:D53)</f>
        <v>#VALUE!</v>
      </c>
      <c r="E54" s="13" t="e">
        <f ca="1">SUM(E51:E53)</f>
        <v>#VALUE!</v>
      </c>
      <c r="F54" s="13" t="e">
        <f t="shared" ref="F54:BQ54" ca="1" si="78">SUM(F51:F53)</f>
        <v>#VALUE!</v>
      </c>
      <c r="G54" s="13" t="e">
        <f t="shared" ca="1" si="78"/>
        <v>#VALUE!</v>
      </c>
      <c r="H54" s="13" t="e">
        <f t="shared" ca="1" si="78"/>
        <v>#VALUE!</v>
      </c>
      <c r="I54" s="13" t="e">
        <f t="shared" ca="1" si="78"/>
        <v>#VALUE!</v>
      </c>
      <c r="J54" s="13" t="e">
        <f t="shared" ca="1" si="78"/>
        <v>#VALUE!</v>
      </c>
      <c r="K54" s="13" t="e">
        <f t="shared" ca="1" si="78"/>
        <v>#VALUE!</v>
      </c>
      <c r="L54" s="13" t="e">
        <f t="shared" ca="1" si="78"/>
        <v>#VALUE!</v>
      </c>
      <c r="M54" s="13" t="e">
        <f t="shared" ca="1" si="78"/>
        <v>#VALUE!</v>
      </c>
      <c r="N54" s="13" t="e">
        <f t="shared" ca="1" si="78"/>
        <v>#VALUE!</v>
      </c>
      <c r="O54" s="13" t="e">
        <f t="shared" ca="1" si="78"/>
        <v>#VALUE!</v>
      </c>
      <c r="P54" s="13" t="e">
        <f t="shared" ca="1" si="78"/>
        <v>#VALUE!</v>
      </c>
      <c r="Q54" s="13" t="e">
        <f t="shared" ca="1" si="78"/>
        <v>#VALUE!</v>
      </c>
      <c r="R54" s="13" t="e">
        <f t="shared" ca="1" si="78"/>
        <v>#VALUE!</v>
      </c>
      <c r="S54" s="13" t="e">
        <f t="shared" ca="1" si="78"/>
        <v>#VALUE!</v>
      </c>
      <c r="T54" s="13" t="e">
        <f t="shared" ca="1" si="78"/>
        <v>#VALUE!</v>
      </c>
      <c r="U54" s="13" t="e">
        <f t="shared" ca="1" si="78"/>
        <v>#VALUE!</v>
      </c>
      <c r="V54" s="13" t="e">
        <f t="shared" ca="1" si="78"/>
        <v>#VALUE!</v>
      </c>
      <c r="W54" s="13" t="e">
        <f t="shared" ca="1" si="78"/>
        <v>#VALUE!</v>
      </c>
      <c r="X54" s="13" t="e">
        <f t="shared" ca="1" si="78"/>
        <v>#VALUE!</v>
      </c>
      <c r="Y54" s="13" t="e">
        <f t="shared" ca="1" si="78"/>
        <v>#VALUE!</v>
      </c>
      <c r="Z54" s="13" t="e">
        <f t="shared" ca="1" si="78"/>
        <v>#VALUE!</v>
      </c>
      <c r="AA54" s="13" t="e">
        <f t="shared" ca="1" si="78"/>
        <v>#VALUE!</v>
      </c>
      <c r="AB54" s="13" t="e">
        <f t="shared" ca="1" si="78"/>
        <v>#VALUE!</v>
      </c>
      <c r="AC54" s="13" t="e">
        <f t="shared" ca="1" si="78"/>
        <v>#VALUE!</v>
      </c>
      <c r="AD54" s="13" t="e">
        <f t="shared" ca="1" si="78"/>
        <v>#VALUE!</v>
      </c>
      <c r="AE54" s="13" t="e">
        <f t="shared" ca="1" si="78"/>
        <v>#VALUE!</v>
      </c>
      <c r="AF54" s="13" t="e">
        <f t="shared" ca="1" si="78"/>
        <v>#VALUE!</v>
      </c>
      <c r="AG54" s="13" t="e">
        <f t="shared" ca="1" si="78"/>
        <v>#VALUE!</v>
      </c>
      <c r="AH54" s="13" t="e">
        <f t="shared" ca="1" si="78"/>
        <v>#VALUE!</v>
      </c>
      <c r="AI54" s="13" t="e">
        <f t="shared" ca="1" si="78"/>
        <v>#VALUE!</v>
      </c>
      <c r="AJ54" s="13" t="e">
        <f t="shared" ca="1" si="78"/>
        <v>#VALUE!</v>
      </c>
      <c r="AK54" s="13" t="e">
        <f t="shared" ca="1" si="78"/>
        <v>#VALUE!</v>
      </c>
      <c r="AL54" s="13" t="e">
        <f t="shared" ca="1" si="78"/>
        <v>#VALUE!</v>
      </c>
      <c r="AM54" s="13" t="e">
        <f t="shared" ca="1" si="78"/>
        <v>#VALUE!</v>
      </c>
      <c r="AN54" s="13" t="e">
        <f t="shared" ca="1" si="78"/>
        <v>#VALUE!</v>
      </c>
      <c r="AO54" s="13" t="e">
        <f t="shared" ca="1" si="78"/>
        <v>#VALUE!</v>
      </c>
      <c r="AP54" s="13" t="e">
        <f t="shared" ca="1" si="78"/>
        <v>#VALUE!</v>
      </c>
      <c r="AQ54" s="13" t="e">
        <f t="shared" ca="1" si="78"/>
        <v>#VALUE!</v>
      </c>
      <c r="AR54" s="13" t="e">
        <f t="shared" ca="1" si="78"/>
        <v>#VALUE!</v>
      </c>
      <c r="AS54" s="13" t="e">
        <f t="shared" ca="1" si="78"/>
        <v>#VALUE!</v>
      </c>
      <c r="AT54" s="13" t="e">
        <f t="shared" ca="1" si="78"/>
        <v>#VALUE!</v>
      </c>
      <c r="AU54" s="13" t="e">
        <f t="shared" ca="1" si="78"/>
        <v>#VALUE!</v>
      </c>
      <c r="AV54" s="13" t="e">
        <f t="shared" ca="1" si="78"/>
        <v>#VALUE!</v>
      </c>
      <c r="AW54" s="13" t="e">
        <f t="shared" ca="1" si="78"/>
        <v>#VALUE!</v>
      </c>
      <c r="AX54" s="13" t="e">
        <f t="shared" ca="1" si="78"/>
        <v>#VALUE!</v>
      </c>
      <c r="AY54" s="13" t="e">
        <f t="shared" ca="1" si="78"/>
        <v>#VALUE!</v>
      </c>
      <c r="AZ54" s="13" t="e">
        <f t="shared" ca="1" si="78"/>
        <v>#VALUE!</v>
      </c>
      <c r="BA54" s="13" t="e">
        <f t="shared" ca="1" si="78"/>
        <v>#VALUE!</v>
      </c>
      <c r="BB54" s="13" t="e">
        <f t="shared" ca="1" si="78"/>
        <v>#VALUE!</v>
      </c>
      <c r="BC54" s="13" t="e">
        <f t="shared" ca="1" si="78"/>
        <v>#VALUE!</v>
      </c>
      <c r="BD54" s="13" t="e">
        <f t="shared" ca="1" si="78"/>
        <v>#VALUE!</v>
      </c>
      <c r="BE54" s="13" t="e">
        <f t="shared" ca="1" si="78"/>
        <v>#VALUE!</v>
      </c>
      <c r="BF54" s="13" t="e">
        <f t="shared" ca="1" si="78"/>
        <v>#VALUE!</v>
      </c>
      <c r="BG54" s="13" t="e">
        <f t="shared" ca="1" si="78"/>
        <v>#VALUE!</v>
      </c>
      <c r="BH54" s="13" t="e">
        <f t="shared" ca="1" si="78"/>
        <v>#VALUE!</v>
      </c>
      <c r="BI54" s="13" t="e">
        <f t="shared" ca="1" si="78"/>
        <v>#VALUE!</v>
      </c>
      <c r="BJ54" s="13" t="e">
        <f t="shared" ca="1" si="78"/>
        <v>#VALUE!</v>
      </c>
      <c r="BK54" s="13" t="e">
        <f t="shared" ca="1" si="78"/>
        <v>#VALUE!</v>
      </c>
      <c r="BL54" s="13" t="e">
        <f t="shared" ca="1" si="78"/>
        <v>#VALUE!</v>
      </c>
      <c r="BM54" s="13" t="e">
        <f t="shared" ca="1" si="78"/>
        <v>#VALUE!</v>
      </c>
      <c r="BN54" s="13" t="e">
        <f t="shared" ca="1" si="78"/>
        <v>#VALUE!</v>
      </c>
      <c r="BO54" s="13" t="e">
        <f t="shared" ca="1" si="78"/>
        <v>#VALUE!</v>
      </c>
      <c r="BP54" s="13" t="e">
        <f t="shared" ca="1" si="78"/>
        <v>#VALUE!</v>
      </c>
      <c r="BQ54" s="13" t="e">
        <f t="shared" ca="1" si="78"/>
        <v>#VALUE!</v>
      </c>
      <c r="BR54" s="13" t="e">
        <f t="shared" ref="BR54:DT54" ca="1" si="79">SUM(BR51:BR53)</f>
        <v>#VALUE!</v>
      </c>
      <c r="BS54" s="13" t="e">
        <f t="shared" ca="1" si="79"/>
        <v>#VALUE!</v>
      </c>
      <c r="BT54" s="13" t="e">
        <f t="shared" ca="1" si="79"/>
        <v>#VALUE!</v>
      </c>
      <c r="BU54" s="13" t="e">
        <f t="shared" ca="1" si="79"/>
        <v>#VALUE!</v>
      </c>
      <c r="BV54" s="13" t="e">
        <f t="shared" ca="1" si="79"/>
        <v>#VALUE!</v>
      </c>
      <c r="BW54" s="13" t="e">
        <f t="shared" ca="1" si="79"/>
        <v>#VALUE!</v>
      </c>
      <c r="BX54" s="13" t="e">
        <f t="shared" ca="1" si="79"/>
        <v>#VALUE!</v>
      </c>
      <c r="BY54" s="13" t="e">
        <f t="shared" ca="1" si="79"/>
        <v>#VALUE!</v>
      </c>
      <c r="BZ54" s="13" t="e">
        <f t="shared" ca="1" si="79"/>
        <v>#VALUE!</v>
      </c>
      <c r="CA54" s="13" t="e">
        <f t="shared" ca="1" si="79"/>
        <v>#VALUE!</v>
      </c>
      <c r="CB54" s="13" t="e">
        <f t="shared" ca="1" si="79"/>
        <v>#VALUE!</v>
      </c>
      <c r="CC54" s="13" t="e">
        <f t="shared" ca="1" si="79"/>
        <v>#VALUE!</v>
      </c>
      <c r="CD54" s="13" t="e">
        <f t="shared" ca="1" si="79"/>
        <v>#VALUE!</v>
      </c>
      <c r="CE54" s="13" t="e">
        <f t="shared" ca="1" si="79"/>
        <v>#VALUE!</v>
      </c>
      <c r="CF54" s="13" t="e">
        <f t="shared" ca="1" si="79"/>
        <v>#VALUE!</v>
      </c>
      <c r="CG54" s="13" t="e">
        <f t="shared" ca="1" si="79"/>
        <v>#VALUE!</v>
      </c>
      <c r="CH54" s="13" t="e">
        <f t="shared" ca="1" si="79"/>
        <v>#VALUE!</v>
      </c>
      <c r="CI54" s="13" t="e">
        <f t="shared" ca="1" si="79"/>
        <v>#VALUE!</v>
      </c>
      <c r="CJ54" s="13" t="e">
        <f t="shared" ca="1" si="79"/>
        <v>#VALUE!</v>
      </c>
      <c r="CK54" s="13" t="e">
        <f t="shared" ca="1" si="79"/>
        <v>#VALUE!</v>
      </c>
      <c r="CL54" s="13" t="e">
        <f t="shared" ca="1" si="79"/>
        <v>#VALUE!</v>
      </c>
      <c r="CM54" s="13" t="e">
        <f t="shared" ca="1" si="79"/>
        <v>#VALUE!</v>
      </c>
      <c r="CN54" s="13" t="e">
        <f t="shared" ca="1" si="79"/>
        <v>#VALUE!</v>
      </c>
      <c r="CO54" s="13" t="e">
        <f t="shared" ca="1" si="79"/>
        <v>#VALUE!</v>
      </c>
      <c r="CP54" s="13" t="e">
        <f t="shared" ca="1" si="79"/>
        <v>#VALUE!</v>
      </c>
      <c r="CQ54" s="13" t="e">
        <f t="shared" ca="1" si="79"/>
        <v>#VALUE!</v>
      </c>
      <c r="CR54" s="13" t="e">
        <f t="shared" ca="1" si="79"/>
        <v>#VALUE!</v>
      </c>
      <c r="CS54" s="13" t="e">
        <f t="shared" ca="1" si="79"/>
        <v>#VALUE!</v>
      </c>
      <c r="CT54" s="13" t="e">
        <f t="shared" ca="1" si="79"/>
        <v>#VALUE!</v>
      </c>
      <c r="CU54" s="13" t="e">
        <f t="shared" ca="1" si="79"/>
        <v>#VALUE!</v>
      </c>
      <c r="CV54" s="13" t="e">
        <f t="shared" ca="1" si="79"/>
        <v>#VALUE!</v>
      </c>
      <c r="CW54" s="13" t="e">
        <f t="shared" ca="1" si="79"/>
        <v>#VALUE!</v>
      </c>
      <c r="CX54" s="13" t="e">
        <f t="shared" ca="1" si="79"/>
        <v>#VALUE!</v>
      </c>
      <c r="CY54" s="13" t="e">
        <f t="shared" ca="1" si="79"/>
        <v>#VALUE!</v>
      </c>
      <c r="CZ54" s="13" t="e">
        <f t="shared" ca="1" si="79"/>
        <v>#VALUE!</v>
      </c>
      <c r="DA54" s="13" t="e">
        <f t="shared" ca="1" si="79"/>
        <v>#VALUE!</v>
      </c>
      <c r="DB54" s="13" t="e">
        <f t="shared" ca="1" si="79"/>
        <v>#VALUE!</v>
      </c>
      <c r="DC54" s="13" t="e">
        <f t="shared" ca="1" si="79"/>
        <v>#VALUE!</v>
      </c>
      <c r="DD54" s="13" t="e">
        <f t="shared" ca="1" si="79"/>
        <v>#VALUE!</v>
      </c>
      <c r="DE54" s="13" t="e">
        <f t="shared" ca="1" si="79"/>
        <v>#VALUE!</v>
      </c>
      <c r="DF54" s="13" t="e">
        <f t="shared" ca="1" si="79"/>
        <v>#VALUE!</v>
      </c>
      <c r="DG54" s="13" t="e">
        <f t="shared" ca="1" si="79"/>
        <v>#VALUE!</v>
      </c>
      <c r="DH54" s="13" t="e">
        <f t="shared" ca="1" si="79"/>
        <v>#VALUE!</v>
      </c>
      <c r="DI54" s="13" t="e">
        <f t="shared" ca="1" si="79"/>
        <v>#VALUE!</v>
      </c>
      <c r="DJ54" s="13" t="e">
        <f t="shared" ca="1" si="79"/>
        <v>#VALUE!</v>
      </c>
      <c r="DK54" s="13" t="e">
        <f t="shared" ca="1" si="79"/>
        <v>#VALUE!</v>
      </c>
      <c r="DL54" s="13" t="e">
        <f t="shared" ca="1" si="79"/>
        <v>#VALUE!</v>
      </c>
      <c r="DM54" s="13" t="e">
        <f t="shared" ca="1" si="79"/>
        <v>#VALUE!</v>
      </c>
      <c r="DN54" s="13" t="e">
        <f t="shared" ca="1" si="79"/>
        <v>#VALUE!</v>
      </c>
      <c r="DO54" s="13" t="e">
        <f t="shared" ca="1" si="79"/>
        <v>#VALUE!</v>
      </c>
      <c r="DP54" s="13" t="e">
        <f t="shared" ca="1" si="79"/>
        <v>#VALUE!</v>
      </c>
      <c r="DQ54" s="13" t="e">
        <f t="shared" ca="1" si="79"/>
        <v>#VALUE!</v>
      </c>
      <c r="DR54" s="13" t="e">
        <f t="shared" ca="1" si="79"/>
        <v>#VALUE!</v>
      </c>
      <c r="DS54" s="13" t="e">
        <f t="shared" ca="1" si="79"/>
        <v>#VALUE!</v>
      </c>
      <c r="DT54" s="13" t="e">
        <f t="shared" ca="1" si="79"/>
        <v>#VALUE!</v>
      </c>
    </row>
    <row r="56" spans="2:124" x14ac:dyDescent="0.25">
      <c r="B56" s="1" t="str">
        <f>"(-) "&amp;'Inputs &amp; Summary'!N14</f>
        <v>(-) Initial Equity (Down Payment)</v>
      </c>
      <c r="C56" s="31"/>
      <c r="D56" s="41" t="str">
        <f>'Inputs &amp; Summary'!$P$12</f>
        <v>n/a</v>
      </c>
      <c r="E56" s="17">
        <v>0</v>
      </c>
      <c r="F56" s="17">
        <v>0</v>
      </c>
      <c r="G56" s="17">
        <v>0</v>
      </c>
      <c r="H56" s="17">
        <v>0</v>
      </c>
      <c r="I56" s="17">
        <v>0</v>
      </c>
      <c r="J56" s="17">
        <v>0</v>
      </c>
      <c r="K56" s="17">
        <v>0</v>
      </c>
      <c r="L56" s="17">
        <v>0</v>
      </c>
      <c r="M56" s="17">
        <v>0</v>
      </c>
      <c r="N56" s="17">
        <v>0</v>
      </c>
      <c r="O56" s="17">
        <v>0</v>
      </c>
      <c r="P56" s="17">
        <v>0</v>
      </c>
      <c r="Q56" s="17">
        <v>0</v>
      </c>
      <c r="R56" s="17">
        <v>0</v>
      </c>
      <c r="S56" s="17">
        <v>0</v>
      </c>
      <c r="T56" s="17">
        <v>0</v>
      </c>
      <c r="U56" s="17">
        <v>0</v>
      </c>
      <c r="V56" s="17">
        <v>0</v>
      </c>
      <c r="W56" s="17">
        <v>0</v>
      </c>
      <c r="X56" s="17">
        <v>0</v>
      </c>
      <c r="Y56" s="17">
        <v>0</v>
      </c>
      <c r="Z56" s="17">
        <v>0</v>
      </c>
      <c r="AA56" s="17">
        <v>0</v>
      </c>
      <c r="AB56" s="17">
        <v>0</v>
      </c>
      <c r="AC56" s="17">
        <v>0</v>
      </c>
      <c r="AD56" s="17">
        <v>0</v>
      </c>
      <c r="AE56" s="17">
        <v>0</v>
      </c>
      <c r="AF56" s="17">
        <v>0</v>
      </c>
      <c r="AG56" s="17">
        <v>0</v>
      </c>
      <c r="AH56" s="17">
        <v>0</v>
      </c>
      <c r="AI56" s="17">
        <v>0</v>
      </c>
      <c r="AJ56" s="17">
        <v>0</v>
      </c>
      <c r="AK56" s="17">
        <v>0</v>
      </c>
      <c r="AL56" s="17">
        <v>0</v>
      </c>
      <c r="AM56" s="17">
        <v>0</v>
      </c>
      <c r="AN56" s="17">
        <v>0</v>
      </c>
      <c r="AO56" s="17">
        <v>0</v>
      </c>
      <c r="AP56" s="17">
        <v>0</v>
      </c>
      <c r="AQ56" s="17">
        <v>0</v>
      </c>
      <c r="AR56" s="17">
        <v>0</v>
      </c>
      <c r="AS56" s="17">
        <v>0</v>
      </c>
      <c r="AT56" s="17">
        <v>0</v>
      </c>
      <c r="AU56" s="17">
        <v>0</v>
      </c>
      <c r="AV56" s="17">
        <v>0</v>
      </c>
      <c r="AW56" s="17">
        <v>0</v>
      </c>
      <c r="AX56" s="17">
        <v>0</v>
      </c>
      <c r="AY56" s="17">
        <v>0</v>
      </c>
      <c r="AZ56" s="17">
        <v>0</v>
      </c>
      <c r="BA56" s="17">
        <v>0</v>
      </c>
      <c r="BB56" s="17">
        <v>0</v>
      </c>
      <c r="BC56" s="17">
        <v>0</v>
      </c>
      <c r="BD56" s="17">
        <v>0</v>
      </c>
      <c r="BE56" s="17">
        <v>0</v>
      </c>
      <c r="BF56" s="17">
        <v>0</v>
      </c>
      <c r="BG56" s="17">
        <v>0</v>
      </c>
      <c r="BH56" s="17">
        <v>0</v>
      </c>
      <c r="BI56" s="17">
        <v>0</v>
      </c>
      <c r="BJ56" s="17">
        <v>0</v>
      </c>
      <c r="BK56" s="17">
        <v>0</v>
      </c>
      <c r="BL56" s="17">
        <v>0</v>
      </c>
      <c r="BM56" s="17">
        <v>0</v>
      </c>
      <c r="BN56" s="17">
        <v>0</v>
      </c>
      <c r="BO56" s="17">
        <v>0</v>
      </c>
      <c r="BP56" s="17">
        <v>0</v>
      </c>
      <c r="BQ56" s="17">
        <v>0</v>
      </c>
      <c r="BR56" s="17">
        <v>0</v>
      </c>
      <c r="BS56" s="17">
        <v>0</v>
      </c>
      <c r="BT56" s="17">
        <v>0</v>
      </c>
      <c r="BU56" s="17">
        <v>0</v>
      </c>
      <c r="BV56" s="17">
        <v>0</v>
      </c>
      <c r="BW56" s="17">
        <v>0</v>
      </c>
      <c r="BX56" s="17">
        <v>0</v>
      </c>
      <c r="BY56" s="17">
        <v>0</v>
      </c>
      <c r="BZ56" s="17">
        <v>0</v>
      </c>
      <c r="CA56" s="17">
        <v>0</v>
      </c>
      <c r="CB56" s="17">
        <v>0</v>
      </c>
      <c r="CC56" s="17">
        <v>0</v>
      </c>
      <c r="CD56" s="17">
        <v>0</v>
      </c>
      <c r="CE56" s="17">
        <v>0</v>
      </c>
      <c r="CF56" s="17">
        <v>0</v>
      </c>
      <c r="CG56" s="17">
        <v>0</v>
      </c>
      <c r="CH56" s="17">
        <v>0</v>
      </c>
      <c r="CI56" s="17">
        <v>0</v>
      </c>
      <c r="CJ56" s="17">
        <v>0</v>
      </c>
      <c r="CK56" s="17">
        <v>0</v>
      </c>
      <c r="CL56" s="17">
        <v>0</v>
      </c>
      <c r="CM56" s="17">
        <v>0</v>
      </c>
      <c r="CN56" s="17">
        <v>0</v>
      </c>
      <c r="CO56" s="17">
        <v>0</v>
      </c>
      <c r="CP56" s="17">
        <v>0</v>
      </c>
      <c r="CQ56" s="17">
        <v>0</v>
      </c>
      <c r="CR56" s="17">
        <v>0</v>
      </c>
      <c r="CS56" s="17">
        <v>0</v>
      </c>
      <c r="CT56" s="17">
        <v>0</v>
      </c>
      <c r="CU56" s="17">
        <v>0</v>
      </c>
      <c r="CV56" s="17">
        <v>0</v>
      </c>
      <c r="CW56" s="17">
        <v>0</v>
      </c>
      <c r="CX56" s="17">
        <v>0</v>
      </c>
      <c r="CY56" s="17">
        <v>0</v>
      </c>
      <c r="CZ56" s="17">
        <v>0</v>
      </c>
      <c r="DA56" s="17">
        <v>0</v>
      </c>
      <c r="DB56" s="17">
        <v>0</v>
      </c>
      <c r="DC56" s="17">
        <v>0</v>
      </c>
      <c r="DD56" s="17">
        <v>0</v>
      </c>
      <c r="DE56" s="17">
        <v>0</v>
      </c>
      <c r="DF56" s="17">
        <v>0</v>
      </c>
      <c r="DG56" s="17">
        <v>0</v>
      </c>
      <c r="DH56" s="17">
        <v>0</v>
      </c>
      <c r="DI56" s="17">
        <v>0</v>
      </c>
      <c r="DJ56" s="17">
        <v>0</v>
      </c>
      <c r="DK56" s="17">
        <v>0</v>
      </c>
      <c r="DL56" s="17">
        <v>0</v>
      </c>
      <c r="DM56" s="17">
        <v>0</v>
      </c>
      <c r="DN56" s="17">
        <v>0</v>
      </c>
      <c r="DO56" s="17">
        <v>0</v>
      </c>
      <c r="DP56" s="17">
        <v>0</v>
      </c>
      <c r="DQ56" s="17">
        <v>0</v>
      </c>
      <c r="DR56" s="17">
        <v>0</v>
      </c>
      <c r="DS56" s="17">
        <v>0</v>
      </c>
      <c r="DT56" s="17">
        <v>0</v>
      </c>
    </row>
    <row r="57" spans="2:124" x14ac:dyDescent="0.25">
      <c r="B57" s="1" t="str">
        <f>"(-) "&amp;'Inputs &amp; Summary'!N15</f>
        <v>(-) Financing Fees</v>
      </c>
      <c r="C57" s="31"/>
      <c r="D57" s="41" t="e">
        <f>-'Inputs &amp; Summary'!$P$15</f>
        <v>#VALUE!</v>
      </c>
      <c r="E57" s="17">
        <v>0</v>
      </c>
      <c r="F57" s="17">
        <v>0</v>
      </c>
      <c r="G57" s="17">
        <v>0</v>
      </c>
      <c r="H57" s="17">
        <v>0</v>
      </c>
      <c r="I57" s="17">
        <v>0</v>
      </c>
      <c r="J57" s="17">
        <v>0</v>
      </c>
      <c r="K57" s="17">
        <v>0</v>
      </c>
      <c r="L57" s="17">
        <v>0</v>
      </c>
      <c r="M57" s="17">
        <v>0</v>
      </c>
      <c r="N57" s="17">
        <v>0</v>
      </c>
      <c r="O57" s="17">
        <v>0</v>
      </c>
      <c r="P57" s="17">
        <v>0</v>
      </c>
      <c r="Q57" s="17">
        <v>0</v>
      </c>
      <c r="R57" s="17">
        <v>0</v>
      </c>
      <c r="S57" s="17">
        <v>0</v>
      </c>
      <c r="T57" s="17">
        <v>0</v>
      </c>
      <c r="U57" s="17">
        <v>0</v>
      </c>
      <c r="V57" s="17">
        <v>0</v>
      </c>
      <c r="W57" s="17">
        <v>0</v>
      </c>
      <c r="X57" s="17">
        <v>0</v>
      </c>
      <c r="Y57" s="17">
        <v>0</v>
      </c>
      <c r="Z57" s="17">
        <v>0</v>
      </c>
      <c r="AA57" s="17">
        <v>0</v>
      </c>
      <c r="AB57" s="17">
        <v>0</v>
      </c>
      <c r="AC57" s="17">
        <v>0</v>
      </c>
      <c r="AD57" s="17">
        <v>0</v>
      </c>
      <c r="AE57" s="17">
        <v>0</v>
      </c>
      <c r="AF57" s="17">
        <v>0</v>
      </c>
      <c r="AG57" s="17">
        <v>0</v>
      </c>
      <c r="AH57" s="17">
        <v>0</v>
      </c>
      <c r="AI57" s="17">
        <v>0</v>
      </c>
      <c r="AJ57" s="17">
        <v>0</v>
      </c>
      <c r="AK57" s="17">
        <v>0</v>
      </c>
      <c r="AL57" s="17">
        <v>0</v>
      </c>
      <c r="AM57" s="17">
        <v>0</v>
      </c>
      <c r="AN57" s="17">
        <v>0</v>
      </c>
      <c r="AO57" s="17">
        <v>0</v>
      </c>
      <c r="AP57" s="17">
        <v>0</v>
      </c>
      <c r="AQ57" s="17">
        <v>0</v>
      </c>
      <c r="AR57" s="17">
        <v>0</v>
      </c>
      <c r="AS57" s="17">
        <v>0</v>
      </c>
      <c r="AT57" s="17">
        <v>0</v>
      </c>
      <c r="AU57" s="17">
        <v>0</v>
      </c>
      <c r="AV57" s="17">
        <v>0</v>
      </c>
      <c r="AW57" s="17">
        <v>0</v>
      </c>
      <c r="AX57" s="17">
        <v>0</v>
      </c>
      <c r="AY57" s="17">
        <v>0</v>
      </c>
      <c r="AZ57" s="17">
        <v>0</v>
      </c>
      <c r="BA57" s="17">
        <v>0</v>
      </c>
      <c r="BB57" s="17">
        <v>0</v>
      </c>
      <c r="BC57" s="17">
        <v>0</v>
      </c>
      <c r="BD57" s="17">
        <v>0</v>
      </c>
      <c r="BE57" s="17">
        <v>0</v>
      </c>
      <c r="BF57" s="17">
        <v>0</v>
      </c>
      <c r="BG57" s="17">
        <v>0</v>
      </c>
      <c r="BH57" s="17">
        <v>0</v>
      </c>
      <c r="BI57" s="17">
        <v>0</v>
      </c>
      <c r="BJ57" s="17">
        <v>0</v>
      </c>
      <c r="BK57" s="17">
        <v>0</v>
      </c>
      <c r="BL57" s="17">
        <v>0</v>
      </c>
      <c r="BM57" s="17">
        <v>0</v>
      </c>
      <c r="BN57" s="17">
        <v>0</v>
      </c>
      <c r="BO57" s="17">
        <v>0</v>
      </c>
      <c r="BP57" s="17">
        <v>0</v>
      </c>
      <c r="BQ57" s="17">
        <v>0</v>
      </c>
      <c r="BR57" s="17">
        <v>0</v>
      </c>
      <c r="BS57" s="17">
        <v>0</v>
      </c>
      <c r="BT57" s="17">
        <v>0</v>
      </c>
      <c r="BU57" s="17">
        <v>0</v>
      </c>
      <c r="BV57" s="17">
        <v>0</v>
      </c>
      <c r="BW57" s="17">
        <v>0</v>
      </c>
      <c r="BX57" s="17">
        <v>0</v>
      </c>
      <c r="BY57" s="17">
        <v>0</v>
      </c>
      <c r="BZ57" s="17">
        <v>0</v>
      </c>
      <c r="CA57" s="17">
        <v>0</v>
      </c>
      <c r="CB57" s="17">
        <v>0</v>
      </c>
      <c r="CC57" s="17">
        <v>0</v>
      </c>
      <c r="CD57" s="17">
        <v>0</v>
      </c>
      <c r="CE57" s="17">
        <v>0</v>
      </c>
      <c r="CF57" s="17">
        <v>0</v>
      </c>
      <c r="CG57" s="17">
        <v>0</v>
      </c>
      <c r="CH57" s="17">
        <v>0</v>
      </c>
      <c r="CI57" s="17">
        <v>0</v>
      </c>
      <c r="CJ57" s="17">
        <v>0</v>
      </c>
      <c r="CK57" s="17">
        <v>0</v>
      </c>
      <c r="CL57" s="17">
        <v>0</v>
      </c>
      <c r="CM57" s="17">
        <v>0</v>
      </c>
      <c r="CN57" s="17">
        <v>0</v>
      </c>
      <c r="CO57" s="17">
        <v>0</v>
      </c>
      <c r="CP57" s="17">
        <v>0</v>
      </c>
      <c r="CQ57" s="17">
        <v>0</v>
      </c>
      <c r="CR57" s="17">
        <v>0</v>
      </c>
      <c r="CS57" s="17">
        <v>0</v>
      </c>
      <c r="CT57" s="17">
        <v>0</v>
      </c>
      <c r="CU57" s="17">
        <v>0</v>
      </c>
      <c r="CV57" s="17">
        <v>0</v>
      </c>
      <c r="CW57" s="17">
        <v>0</v>
      </c>
      <c r="CX57" s="17">
        <v>0</v>
      </c>
      <c r="CY57" s="17">
        <v>0</v>
      </c>
      <c r="CZ57" s="17">
        <v>0</v>
      </c>
      <c r="DA57" s="17">
        <v>0</v>
      </c>
      <c r="DB57" s="17">
        <v>0</v>
      </c>
      <c r="DC57" s="17">
        <v>0</v>
      </c>
      <c r="DD57" s="17">
        <v>0</v>
      </c>
      <c r="DE57" s="17">
        <v>0</v>
      </c>
      <c r="DF57" s="17">
        <v>0</v>
      </c>
      <c r="DG57" s="17">
        <v>0</v>
      </c>
      <c r="DH57" s="17">
        <v>0</v>
      </c>
      <c r="DI57" s="17">
        <v>0</v>
      </c>
      <c r="DJ57" s="17">
        <v>0</v>
      </c>
      <c r="DK57" s="17">
        <v>0</v>
      </c>
      <c r="DL57" s="17">
        <v>0</v>
      </c>
      <c r="DM57" s="17">
        <v>0</v>
      </c>
      <c r="DN57" s="17">
        <v>0</v>
      </c>
      <c r="DO57" s="17">
        <v>0</v>
      </c>
      <c r="DP57" s="17">
        <v>0</v>
      </c>
      <c r="DQ57" s="17">
        <v>0</v>
      </c>
      <c r="DR57" s="17">
        <v>0</v>
      </c>
      <c r="DS57" s="17">
        <v>0</v>
      </c>
      <c r="DT57" s="17">
        <v>0</v>
      </c>
    </row>
    <row r="58" spans="2:124" x14ac:dyDescent="0.25">
      <c r="B58" s="1" t="s">
        <v>70</v>
      </c>
      <c r="C58" s="31"/>
      <c r="D58" s="69"/>
      <c r="E58" s="13">
        <f>-IF(E$8='Inputs &amp; Summary'!$D$102,INDEX(Am_Sched_Mnthly,MATCH(E$8,Am_Sched_Mnthly_Mnths,0),5),0)</f>
        <v>0</v>
      </c>
      <c r="F58" s="13">
        <f>-IF(F$8='Inputs &amp; Summary'!$D$102,INDEX(Am_Sched_Mnthly,MATCH(F$8,Am_Sched_Mnthly_Mnths,0),5),0)</f>
        <v>0</v>
      </c>
      <c r="G58" s="13">
        <f>-IF(G$8='Inputs &amp; Summary'!$D$102,INDEX(Am_Sched_Mnthly,MATCH(G$8,Am_Sched_Mnthly_Mnths,0),5),0)</f>
        <v>0</v>
      </c>
      <c r="H58" s="13">
        <f>-IF(H$8='Inputs &amp; Summary'!$D$102,INDEX(Am_Sched_Mnthly,MATCH(H$8,Am_Sched_Mnthly_Mnths,0),5),0)</f>
        <v>0</v>
      </c>
      <c r="I58" s="13">
        <f>-IF(I$8='Inputs &amp; Summary'!$D$102,INDEX(Am_Sched_Mnthly,MATCH(I$8,Am_Sched_Mnthly_Mnths,0),5),0)</f>
        <v>0</v>
      </c>
      <c r="J58" s="13">
        <f>-IF(J$8='Inputs &amp; Summary'!$D$102,INDEX(Am_Sched_Mnthly,MATCH(J$8,Am_Sched_Mnthly_Mnths,0),5),0)</f>
        <v>0</v>
      </c>
      <c r="K58" s="13">
        <f>-IF(K$8='Inputs &amp; Summary'!$D$102,INDEX(Am_Sched_Mnthly,MATCH(K$8,Am_Sched_Mnthly_Mnths,0),5),0)</f>
        <v>0</v>
      </c>
      <c r="L58" s="13">
        <f>-IF(L$8='Inputs &amp; Summary'!$D$102,INDEX(Am_Sched_Mnthly,MATCH(L$8,Am_Sched_Mnthly_Mnths,0),5),0)</f>
        <v>0</v>
      </c>
      <c r="M58" s="13">
        <f>-IF(M$8='Inputs &amp; Summary'!$D$102,INDEX(Am_Sched_Mnthly,MATCH(M$8,Am_Sched_Mnthly_Mnths,0),5),0)</f>
        <v>0</v>
      </c>
      <c r="N58" s="13">
        <f>-IF(N$8='Inputs &amp; Summary'!$D$102,INDEX(Am_Sched_Mnthly,MATCH(N$8,Am_Sched_Mnthly_Mnths,0),5),0)</f>
        <v>0</v>
      </c>
      <c r="O58" s="13">
        <f>-IF(O$8='Inputs &amp; Summary'!$D$102,INDEX(Am_Sched_Mnthly,MATCH(O$8,Am_Sched_Mnthly_Mnths,0),5),0)</f>
        <v>0</v>
      </c>
      <c r="P58" s="13">
        <f>-IF(P$8='Inputs &amp; Summary'!$D$102,INDEX(Am_Sched_Mnthly,MATCH(P$8,Am_Sched_Mnthly_Mnths,0),5),0)</f>
        <v>0</v>
      </c>
      <c r="Q58" s="13">
        <f>-IF(Q$8='Inputs &amp; Summary'!$D$102,INDEX(Am_Sched_Mnthly,MATCH(Q$8,Am_Sched_Mnthly_Mnths,0),5),0)</f>
        <v>0</v>
      </c>
      <c r="R58" s="13">
        <f>-IF(R$8='Inputs &amp; Summary'!$D$102,INDEX(Am_Sched_Mnthly,MATCH(R$8,Am_Sched_Mnthly_Mnths,0),5),0)</f>
        <v>0</v>
      </c>
      <c r="S58" s="13">
        <f>-IF(S$8='Inputs &amp; Summary'!$D$102,INDEX(Am_Sched_Mnthly,MATCH(S$8,Am_Sched_Mnthly_Mnths,0),5),0)</f>
        <v>0</v>
      </c>
      <c r="T58" s="13">
        <f>-IF(T$8='Inputs &amp; Summary'!$D$102,INDEX(Am_Sched_Mnthly,MATCH(T$8,Am_Sched_Mnthly_Mnths,0),5),0)</f>
        <v>0</v>
      </c>
      <c r="U58" s="13">
        <f>-IF(U$8='Inputs &amp; Summary'!$D$102,INDEX(Am_Sched_Mnthly,MATCH(U$8,Am_Sched_Mnthly_Mnths,0),5),0)</f>
        <v>0</v>
      </c>
      <c r="V58" s="13">
        <f>-IF(V$8='Inputs &amp; Summary'!$D$102,INDEX(Am_Sched_Mnthly,MATCH(V$8,Am_Sched_Mnthly_Mnths,0),5),0)</f>
        <v>0</v>
      </c>
      <c r="W58" s="13">
        <f>-IF(W$8='Inputs &amp; Summary'!$D$102,INDEX(Am_Sched_Mnthly,MATCH(W$8,Am_Sched_Mnthly_Mnths,0),5),0)</f>
        <v>0</v>
      </c>
      <c r="X58" s="13">
        <f>-IF(X$8='Inputs &amp; Summary'!$D$102,INDEX(Am_Sched_Mnthly,MATCH(X$8,Am_Sched_Mnthly_Mnths,0),5),0)</f>
        <v>0</v>
      </c>
      <c r="Y58" s="13">
        <f>-IF(Y$8='Inputs &amp; Summary'!$D$102,INDEX(Am_Sched_Mnthly,MATCH(Y$8,Am_Sched_Mnthly_Mnths,0),5),0)</f>
        <v>0</v>
      </c>
      <c r="Z58" s="13">
        <f>-IF(Z$8='Inputs &amp; Summary'!$D$102,INDEX(Am_Sched_Mnthly,MATCH(Z$8,Am_Sched_Mnthly_Mnths,0),5),0)</f>
        <v>0</v>
      </c>
      <c r="AA58" s="13">
        <f>-IF(AA$8='Inputs &amp; Summary'!$D$102,INDEX(Am_Sched_Mnthly,MATCH(AA$8,Am_Sched_Mnthly_Mnths,0),5),0)</f>
        <v>0</v>
      </c>
      <c r="AB58" s="13">
        <f>-IF(AB$8='Inputs &amp; Summary'!$D$102,INDEX(Am_Sched_Mnthly,MATCH(AB$8,Am_Sched_Mnthly_Mnths,0),5),0)</f>
        <v>0</v>
      </c>
      <c r="AC58" s="13">
        <f>-IF(AC$8='Inputs &amp; Summary'!$D$102,INDEX(Am_Sched_Mnthly,MATCH(AC$8,Am_Sched_Mnthly_Mnths,0),5),0)</f>
        <v>0</v>
      </c>
      <c r="AD58" s="13">
        <f>-IF(AD$8='Inputs &amp; Summary'!$D$102,INDEX(Am_Sched_Mnthly,MATCH(AD$8,Am_Sched_Mnthly_Mnths,0),5),0)</f>
        <v>0</v>
      </c>
      <c r="AE58" s="13">
        <f>-IF(AE$8='Inputs &amp; Summary'!$D$102,INDEX(Am_Sched_Mnthly,MATCH(AE$8,Am_Sched_Mnthly_Mnths,0),5),0)</f>
        <v>0</v>
      </c>
      <c r="AF58" s="13">
        <f>-IF(AF$8='Inputs &amp; Summary'!$D$102,INDEX(Am_Sched_Mnthly,MATCH(AF$8,Am_Sched_Mnthly_Mnths,0),5),0)</f>
        <v>0</v>
      </c>
      <c r="AG58" s="13">
        <f>-IF(AG$8='Inputs &amp; Summary'!$D$102,INDEX(Am_Sched_Mnthly,MATCH(AG$8,Am_Sched_Mnthly_Mnths,0),5),0)</f>
        <v>0</v>
      </c>
      <c r="AH58" s="13">
        <f>-IF(AH$8='Inputs &amp; Summary'!$D$102,INDEX(Am_Sched_Mnthly,MATCH(AH$8,Am_Sched_Mnthly_Mnths,0),5),0)</f>
        <v>0</v>
      </c>
      <c r="AI58" s="13">
        <f>-IF(AI$8='Inputs &amp; Summary'!$D$102,INDEX(Am_Sched_Mnthly,MATCH(AI$8,Am_Sched_Mnthly_Mnths,0),5),0)</f>
        <v>0</v>
      </c>
      <c r="AJ58" s="13">
        <f>-IF(AJ$8='Inputs &amp; Summary'!$D$102,INDEX(Am_Sched_Mnthly,MATCH(AJ$8,Am_Sched_Mnthly_Mnths,0),5),0)</f>
        <v>0</v>
      </c>
      <c r="AK58" s="13">
        <f>-IF(AK$8='Inputs &amp; Summary'!$D$102,INDEX(Am_Sched_Mnthly,MATCH(AK$8,Am_Sched_Mnthly_Mnths,0),5),0)</f>
        <v>0</v>
      </c>
      <c r="AL58" s="13">
        <f>-IF(AL$8='Inputs &amp; Summary'!$D$102,INDEX(Am_Sched_Mnthly,MATCH(AL$8,Am_Sched_Mnthly_Mnths,0),5),0)</f>
        <v>0</v>
      </c>
      <c r="AM58" s="13">
        <f>-IF(AM$8='Inputs &amp; Summary'!$D$102,INDEX(Am_Sched_Mnthly,MATCH(AM$8,Am_Sched_Mnthly_Mnths,0),5),0)</f>
        <v>0</v>
      </c>
      <c r="AN58" s="13">
        <f>-IF(AN$8='Inputs &amp; Summary'!$D$102,INDEX(Am_Sched_Mnthly,MATCH(AN$8,Am_Sched_Mnthly_Mnths,0),5),0)</f>
        <v>0</v>
      </c>
      <c r="AO58" s="13">
        <f>-IF(AO$8='Inputs &amp; Summary'!$D$102,INDEX(Am_Sched_Mnthly,MATCH(AO$8,Am_Sched_Mnthly_Mnths,0),5),0)</f>
        <v>0</v>
      </c>
      <c r="AP58" s="13">
        <f>-IF(AP$8='Inputs &amp; Summary'!$D$102,INDEX(Am_Sched_Mnthly,MATCH(AP$8,Am_Sched_Mnthly_Mnths,0),5),0)</f>
        <v>0</v>
      </c>
      <c r="AQ58" s="13">
        <f>-IF(AQ$8='Inputs &amp; Summary'!$D$102,INDEX(Am_Sched_Mnthly,MATCH(AQ$8,Am_Sched_Mnthly_Mnths,0),5),0)</f>
        <v>0</v>
      </c>
      <c r="AR58" s="13">
        <f>-IF(AR$8='Inputs &amp; Summary'!$D$102,INDEX(Am_Sched_Mnthly,MATCH(AR$8,Am_Sched_Mnthly_Mnths,0),5),0)</f>
        <v>0</v>
      </c>
      <c r="AS58" s="13">
        <f>-IF(AS$8='Inputs &amp; Summary'!$D$102,INDEX(Am_Sched_Mnthly,MATCH(AS$8,Am_Sched_Mnthly_Mnths,0),5),0)</f>
        <v>0</v>
      </c>
      <c r="AT58" s="13">
        <f>-IF(AT$8='Inputs &amp; Summary'!$D$102,INDEX(Am_Sched_Mnthly,MATCH(AT$8,Am_Sched_Mnthly_Mnths,0),5),0)</f>
        <v>0</v>
      </c>
      <c r="AU58" s="13">
        <f>-IF(AU$8='Inputs &amp; Summary'!$D$102,INDEX(Am_Sched_Mnthly,MATCH(AU$8,Am_Sched_Mnthly_Mnths,0),5),0)</f>
        <v>0</v>
      </c>
      <c r="AV58" s="13">
        <f>-IF(AV$8='Inputs &amp; Summary'!$D$102,INDEX(Am_Sched_Mnthly,MATCH(AV$8,Am_Sched_Mnthly_Mnths,0),5),0)</f>
        <v>0</v>
      </c>
      <c r="AW58" s="13">
        <f>-IF(AW$8='Inputs &amp; Summary'!$D$102,INDEX(Am_Sched_Mnthly,MATCH(AW$8,Am_Sched_Mnthly_Mnths,0),5),0)</f>
        <v>0</v>
      </c>
      <c r="AX58" s="13">
        <f>-IF(AX$8='Inputs &amp; Summary'!$D$102,INDEX(Am_Sched_Mnthly,MATCH(AX$8,Am_Sched_Mnthly_Mnths,0),5),0)</f>
        <v>0</v>
      </c>
      <c r="AY58" s="13">
        <f>-IF(AY$8='Inputs &amp; Summary'!$D$102,INDEX(Am_Sched_Mnthly,MATCH(AY$8,Am_Sched_Mnthly_Mnths,0),5),0)</f>
        <v>0</v>
      </c>
      <c r="AZ58" s="13">
        <f>-IF(AZ$8='Inputs &amp; Summary'!$D$102,INDEX(Am_Sched_Mnthly,MATCH(AZ$8,Am_Sched_Mnthly_Mnths,0),5),0)</f>
        <v>0</v>
      </c>
      <c r="BA58" s="13">
        <f>-IF(BA$8='Inputs &amp; Summary'!$D$102,INDEX(Am_Sched_Mnthly,MATCH(BA$8,Am_Sched_Mnthly_Mnths,0),5),0)</f>
        <v>0</v>
      </c>
      <c r="BB58" s="13">
        <f>-IF(BB$8='Inputs &amp; Summary'!$D$102,INDEX(Am_Sched_Mnthly,MATCH(BB$8,Am_Sched_Mnthly_Mnths,0),5),0)</f>
        <v>0</v>
      </c>
      <c r="BC58" s="13">
        <f>-IF(BC$8='Inputs &amp; Summary'!$D$102,INDEX(Am_Sched_Mnthly,MATCH(BC$8,Am_Sched_Mnthly_Mnths,0),5),0)</f>
        <v>0</v>
      </c>
      <c r="BD58" s="13">
        <f>-IF(BD$8='Inputs &amp; Summary'!$D$102,INDEX(Am_Sched_Mnthly,MATCH(BD$8,Am_Sched_Mnthly_Mnths,0),5),0)</f>
        <v>0</v>
      </c>
      <c r="BE58" s="13">
        <f>-IF(BE$8='Inputs &amp; Summary'!$D$102,INDEX(Am_Sched_Mnthly,MATCH(BE$8,Am_Sched_Mnthly_Mnths,0),5),0)</f>
        <v>0</v>
      </c>
      <c r="BF58" s="13">
        <f>-IF(BF$8='Inputs &amp; Summary'!$D$102,INDEX(Am_Sched_Mnthly,MATCH(BF$8,Am_Sched_Mnthly_Mnths,0),5),0)</f>
        <v>0</v>
      </c>
      <c r="BG58" s="13">
        <f>-IF(BG$8='Inputs &amp; Summary'!$D$102,INDEX(Am_Sched_Mnthly,MATCH(BG$8,Am_Sched_Mnthly_Mnths,0),5),0)</f>
        <v>0</v>
      </c>
      <c r="BH58" s="13">
        <f>-IF(BH$8='Inputs &amp; Summary'!$D$102,INDEX(Am_Sched_Mnthly,MATCH(BH$8,Am_Sched_Mnthly_Mnths,0),5),0)</f>
        <v>0</v>
      </c>
      <c r="BI58" s="13">
        <f>-IF(BI$8='Inputs &amp; Summary'!$D$102,INDEX(Am_Sched_Mnthly,MATCH(BI$8,Am_Sched_Mnthly_Mnths,0),5),0)</f>
        <v>0</v>
      </c>
      <c r="BJ58" s="13">
        <f>-IF(BJ$8='Inputs &amp; Summary'!$D$102,INDEX(Am_Sched_Mnthly,MATCH(BJ$8,Am_Sched_Mnthly_Mnths,0),5),0)</f>
        <v>0</v>
      </c>
      <c r="BK58" s="13">
        <f>-IF(BK$8='Inputs &amp; Summary'!$D$102,INDEX(Am_Sched_Mnthly,MATCH(BK$8,Am_Sched_Mnthly_Mnths,0),5),0)</f>
        <v>0</v>
      </c>
      <c r="BL58" s="13">
        <f>-IF(BL$8='Inputs &amp; Summary'!$D$102,INDEX(Am_Sched_Mnthly,MATCH(BL$8,Am_Sched_Mnthly_Mnths,0),5),0)</f>
        <v>0</v>
      </c>
      <c r="BM58" s="13">
        <f>-IF(BM$8='Inputs &amp; Summary'!$D$102,INDEX(Am_Sched_Mnthly,MATCH(BM$8,Am_Sched_Mnthly_Mnths,0),5),0)</f>
        <v>0</v>
      </c>
      <c r="BN58" s="13">
        <f>-IF(BN$8='Inputs &amp; Summary'!$D$102,INDEX(Am_Sched_Mnthly,MATCH(BN$8,Am_Sched_Mnthly_Mnths,0),5),0)</f>
        <v>0</v>
      </c>
      <c r="BO58" s="13">
        <f>-IF(BO$8='Inputs &amp; Summary'!$D$102,INDEX(Am_Sched_Mnthly,MATCH(BO$8,Am_Sched_Mnthly_Mnths,0),5),0)</f>
        <v>0</v>
      </c>
      <c r="BP58" s="13">
        <f>-IF(BP$8='Inputs &amp; Summary'!$D$102,INDEX(Am_Sched_Mnthly,MATCH(BP$8,Am_Sched_Mnthly_Mnths,0),5),0)</f>
        <v>0</v>
      </c>
      <c r="BQ58" s="13">
        <f>-IF(BQ$8='Inputs &amp; Summary'!$D$102,INDEX(Am_Sched_Mnthly,MATCH(BQ$8,Am_Sched_Mnthly_Mnths,0),5),0)</f>
        <v>0</v>
      </c>
      <c r="BR58" s="13">
        <f>-IF(BR$8='Inputs &amp; Summary'!$D$102,INDEX(Am_Sched_Mnthly,MATCH(BR$8,Am_Sched_Mnthly_Mnths,0),5),0)</f>
        <v>0</v>
      </c>
      <c r="BS58" s="13">
        <f>-IF(BS$8='Inputs &amp; Summary'!$D$102,INDEX(Am_Sched_Mnthly,MATCH(BS$8,Am_Sched_Mnthly_Mnths,0),5),0)</f>
        <v>0</v>
      </c>
      <c r="BT58" s="13">
        <f>-IF(BT$8='Inputs &amp; Summary'!$D$102,INDEX(Am_Sched_Mnthly,MATCH(BT$8,Am_Sched_Mnthly_Mnths,0),5),0)</f>
        <v>0</v>
      </c>
      <c r="BU58" s="13">
        <f>-IF(BU$8='Inputs &amp; Summary'!$D$102,INDEX(Am_Sched_Mnthly,MATCH(BU$8,Am_Sched_Mnthly_Mnths,0),5),0)</f>
        <v>0</v>
      </c>
      <c r="BV58" s="13">
        <f>-IF(BV$8='Inputs &amp; Summary'!$D$102,INDEX(Am_Sched_Mnthly,MATCH(BV$8,Am_Sched_Mnthly_Mnths,0),5),0)</f>
        <v>0</v>
      </c>
      <c r="BW58" s="13">
        <f>-IF(BW$8='Inputs &amp; Summary'!$D$102,INDEX(Am_Sched_Mnthly,MATCH(BW$8,Am_Sched_Mnthly_Mnths,0),5),0)</f>
        <v>0</v>
      </c>
      <c r="BX58" s="13">
        <f>-IF(BX$8='Inputs &amp; Summary'!$D$102,INDEX(Am_Sched_Mnthly,MATCH(BX$8,Am_Sched_Mnthly_Mnths,0),5),0)</f>
        <v>0</v>
      </c>
      <c r="BY58" s="13">
        <f>-IF(BY$8='Inputs &amp; Summary'!$D$102,INDEX(Am_Sched_Mnthly,MATCH(BY$8,Am_Sched_Mnthly_Mnths,0),5),0)</f>
        <v>0</v>
      </c>
      <c r="BZ58" s="13">
        <f>-IF(BZ$8='Inputs &amp; Summary'!$D$102,INDEX(Am_Sched_Mnthly,MATCH(BZ$8,Am_Sched_Mnthly_Mnths,0),5),0)</f>
        <v>0</v>
      </c>
      <c r="CA58" s="13">
        <f>-IF(CA$8='Inputs &amp; Summary'!$D$102,INDEX(Am_Sched_Mnthly,MATCH(CA$8,Am_Sched_Mnthly_Mnths,0),5),0)</f>
        <v>0</v>
      </c>
      <c r="CB58" s="13">
        <f>-IF(CB$8='Inputs &amp; Summary'!$D$102,INDEX(Am_Sched_Mnthly,MATCH(CB$8,Am_Sched_Mnthly_Mnths,0),5),0)</f>
        <v>0</v>
      </c>
      <c r="CC58" s="13">
        <f>-IF(CC$8='Inputs &amp; Summary'!$D$102,INDEX(Am_Sched_Mnthly,MATCH(CC$8,Am_Sched_Mnthly_Mnths,0),5),0)</f>
        <v>0</v>
      </c>
      <c r="CD58" s="13">
        <f>-IF(CD$8='Inputs &amp; Summary'!$D$102,INDEX(Am_Sched_Mnthly,MATCH(CD$8,Am_Sched_Mnthly_Mnths,0),5),0)</f>
        <v>0</v>
      </c>
      <c r="CE58" s="13">
        <f>-IF(CE$8='Inputs &amp; Summary'!$D$102,INDEX(Am_Sched_Mnthly,MATCH(CE$8,Am_Sched_Mnthly_Mnths,0),5),0)</f>
        <v>0</v>
      </c>
      <c r="CF58" s="13">
        <f>-IF(CF$8='Inputs &amp; Summary'!$D$102,INDEX(Am_Sched_Mnthly,MATCH(CF$8,Am_Sched_Mnthly_Mnths,0),5),0)</f>
        <v>0</v>
      </c>
      <c r="CG58" s="13">
        <f>-IF(CG$8='Inputs &amp; Summary'!$D$102,INDEX(Am_Sched_Mnthly,MATCH(CG$8,Am_Sched_Mnthly_Mnths,0),5),0)</f>
        <v>0</v>
      </c>
      <c r="CH58" s="13">
        <f>-IF(CH$8='Inputs &amp; Summary'!$D$102,INDEX(Am_Sched_Mnthly,MATCH(CH$8,Am_Sched_Mnthly_Mnths,0),5),0)</f>
        <v>0</v>
      </c>
      <c r="CI58" s="13">
        <f>-IF(CI$8='Inputs &amp; Summary'!$D$102,INDEX(Am_Sched_Mnthly,MATCH(CI$8,Am_Sched_Mnthly_Mnths,0),5),0)</f>
        <v>0</v>
      </c>
      <c r="CJ58" s="13">
        <f>-IF(CJ$8='Inputs &amp; Summary'!$D$102,INDEX(Am_Sched_Mnthly,MATCH(CJ$8,Am_Sched_Mnthly_Mnths,0),5),0)</f>
        <v>0</v>
      </c>
      <c r="CK58" s="13">
        <f>-IF(CK$8='Inputs &amp; Summary'!$D$102,INDEX(Am_Sched_Mnthly,MATCH(CK$8,Am_Sched_Mnthly_Mnths,0),5),0)</f>
        <v>0</v>
      </c>
      <c r="CL58" s="13">
        <f>-IF(CL$8='Inputs &amp; Summary'!$D$102,INDEX(Am_Sched_Mnthly,MATCH(CL$8,Am_Sched_Mnthly_Mnths,0),5),0)</f>
        <v>0</v>
      </c>
      <c r="CM58" s="13">
        <f>-IF(CM$8='Inputs &amp; Summary'!$D$102,INDEX(Am_Sched_Mnthly,MATCH(CM$8,Am_Sched_Mnthly_Mnths,0),5),0)</f>
        <v>0</v>
      </c>
      <c r="CN58" s="13">
        <f>-IF(CN$8='Inputs &amp; Summary'!$D$102,INDEX(Am_Sched_Mnthly,MATCH(CN$8,Am_Sched_Mnthly_Mnths,0),5),0)</f>
        <v>0</v>
      </c>
      <c r="CO58" s="13">
        <f>-IF(CO$8='Inputs &amp; Summary'!$D$102,INDEX(Am_Sched_Mnthly,MATCH(CO$8,Am_Sched_Mnthly_Mnths,0),5),0)</f>
        <v>0</v>
      </c>
      <c r="CP58" s="13">
        <f>-IF(CP$8='Inputs &amp; Summary'!$D$102,INDEX(Am_Sched_Mnthly,MATCH(CP$8,Am_Sched_Mnthly_Mnths,0),5),0)</f>
        <v>0</v>
      </c>
      <c r="CQ58" s="13">
        <f>-IF(CQ$8='Inputs &amp; Summary'!$D$102,INDEX(Am_Sched_Mnthly,MATCH(CQ$8,Am_Sched_Mnthly_Mnths,0),5),0)</f>
        <v>0</v>
      </c>
      <c r="CR58" s="13">
        <f>-IF(CR$8='Inputs &amp; Summary'!$D$102,INDEX(Am_Sched_Mnthly,MATCH(CR$8,Am_Sched_Mnthly_Mnths,0),5),0)</f>
        <v>0</v>
      </c>
      <c r="CS58" s="13">
        <f>-IF(CS$8='Inputs &amp; Summary'!$D$102,INDEX(Am_Sched_Mnthly,MATCH(CS$8,Am_Sched_Mnthly_Mnths,0),5),0)</f>
        <v>0</v>
      </c>
      <c r="CT58" s="13">
        <f>-IF(CT$8='Inputs &amp; Summary'!$D$102,INDEX(Am_Sched_Mnthly,MATCH(CT$8,Am_Sched_Mnthly_Mnths,0),5),0)</f>
        <v>0</v>
      </c>
      <c r="CU58" s="13">
        <f>-IF(CU$8='Inputs &amp; Summary'!$D$102,INDEX(Am_Sched_Mnthly,MATCH(CU$8,Am_Sched_Mnthly_Mnths,0),5),0)</f>
        <v>0</v>
      </c>
      <c r="CV58" s="13" t="e">
        <f>-IF(CV$8='Inputs &amp; Summary'!$D$102,INDEX(Am_Sched_Mnthly,MATCH(CV$8,Am_Sched_Mnthly_Mnths,0),5),0)</f>
        <v>#VALUE!</v>
      </c>
      <c r="CW58" s="13">
        <f>-IF(CW$8='Inputs &amp; Summary'!$D$102,INDEX(Am_Sched_Mnthly,MATCH(CW$8,Am_Sched_Mnthly_Mnths,0),5),0)</f>
        <v>0</v>
      </c>
      <c r="CX58" s="13">
        <f>-IF(CX$8='Inputs &amp; Summary'!$D$102,INDEX(Am_Sched_Mnthly,MATCH(CX$8,Am_Sched_Mnthly_Mnths,0),5),0)</f>
        <v>0</v>
      </c>
      <c r="CY58" s="13">
        <f>-IF(CY$8='Inputs &amp; Summary'!$D$102,INDEX(Am_Sched_Mnthly,MATCH(CY$8,Am_Sched_Mnthly_Mnths,0),5),0)</f>
        <v>0</v>
      </c>
      <c r="CZ58" s="13">
        <f>-IF(CZ$8='Inputs &amp; Summary'!$D$102,INDEX(Am_Sched_Mnthly,MATCH(CZ$8,Am_Sched_Mnthly_Mnths,0),5),0)</f>
        <v>0</v>
      </c>
      <c r="DA58" s="13">
        <f>-IF(DA$8='Inputs &amp; Summary'!$D$102,INDEX(Am_Sched_Mnthly,MATCH(DA$8,Am_Sched_Mnthly_Mnths,0),5),0)</f>
        <v>0</v>
      </c>
      <c r="DB58" s="13">
        <f>-IF(DB$8='Inputs &amp; Summary'!$D$102,INDEX(Am_Sched_Mnthly,MATCH(DB$8,Am_Sched_Mnthly_Mnths,0),5),0)</f>
        <v>0</v>
      </c>
      <c r="DC58" s="13">
        <f>-IF(DC$8='Inputs &amp; Summary'!$D$102,INDEX(Am_Sched_Mnthly,MATCH(DC$8,Am_Sched_Mnthly_Mnths,0),5),0)</f>
        <v>0</v>
      </c>
      <c r="DD58" s="13">
        <f>-IF(DD$8='Inputs &amp; Summary'!$D$102,INDEX(Am_Sched_Mnthly,MATCH(DD$8,Am_Sched_Mnthly_Mnths,0),5),0)</f>
        <v>0</v>
      </c>
      <c r="DE58" s="13">
        <f>-IF(DE$8='Inputs &amp; Summary'!$D$102,INDEX(Am_Sched_Mnthly,MATCH(DE$8,Am_Sched_Mnthly_Mnths,0),5),0)</f>
        <v>0</v>
      </c>
      <c r="DF58" s="13">
        <f>-IF(DF$8='Inputs &amp; Summary'!$D$102,INDEX(Am_Sched_Mnthly,MATCH(DF$8,Am_Sched_Mnthly_Mnths,0),5),0)</f>
        <v>0</v>
      </c>
      <c r="DG58" s="13">
        <f>-IF(DG$8='Inputs &amp; Summary'!$D$102,INDEX(Am_Sched_Mnthly,MATCH(DG$8,Am_Sched_Mnthly_Mnths,0),5),0)</f>
        <v>0</v>
      </c>
      <c r="DH58" s="13">
        <f>-IF(DH$8='Inputs &amp; Summary'!$D$102,INDEX(Am_Sched_Mnthly,MATCH(DH$8,Am_Sched_Mnthly_Mnths,0),5),0)</f>
        <v>0</v>
      </c>
      <c r="DI58" s="13">
        <f>-IF(DI$8='Inputs &amp; Summary'!$D$102,INDEX(Am_Sched_Mnthly,MATCH(DI$8,Am_Sched_Mnthly_Mnths,0),5),0)</f>
        <v>0</v>
      </c>
      <c r="DJ58" s="13">
        <f>-IF(DJ$8='Inputs &amp; Summary'!$D$102,INDEX(Am_Sched_Mnthly,MATCH(DJ$8,Am_Sched_Mnthly_Mnths,0),5),0)</f>
        <v>0</v>
      </c>
      <c r="DK58" s="13">
        <f>-IF(DK$8='Inputs &amp; Summary'!$D$102,INDEX(Am_Sched_Mnthly,MATCH(DK$8,Am_Sched_Mnthly_Mnths,0),5),0)</f>
        <v>0</v>
      </c>
      <c r="DL58" s="13">
        <f>-IF(DL$8='Inputs &amp; Summary'!$D$102,INDEX(Am_Sched_Mnthly,MATCH(DL$8,Am_Sched_Mnthly_Mnths,0),5),0)</f>
        <v>0</v>
      </c>
      <c r="DM58" s="13">
        <f>-IF(DM$8='Inputs &amp; Summary'!$D$102,INDEX(Am_Sched_Mnthly,MATCH(DM$8,Am_Sched_Mnthly_Mnths,0),5),0)</f>
        <v>0</v>
      </c>
      <c r="DN58" s="13">
        <f>-IF(DN$8='Inputs &amp; Summary'!$D$102,INDEX(Am_Sched_Mnthly,MATCH(DN$8,Am_Sched_Mnthly_Mnths,0),5),0)</f>
        <v>0</v>
      </c>
      <c r="DO58" s="13">
        <f>-IF(DO$8='Inputs &amp; Summary'!$D$102,INDEX(Am_Sched_Mnthly,MATCH(DO$8,Am_Sched_Mnthly_Mnths,0),5),0)</f>
        <v>0</v>
      </c>
      <c r="DP58" s="13">
        <f>-IF(DP$8='Inputs &amp; Summary'!$D$102,INDEX(Am_Sched_Mnthly,MATCH(DP$8,Am_Sched_Mnthly_Mnths,0),5),0)</f>
        <v>0</v>
      </c>
      <c r="DQ58" s="13">
        <f>-IF(DQ$8='Inputs &amp; Summary'!$D$102,INDEX(Am_Sched_Mnthly,MATCH(DQ$8,Am_Sched_Mnthly_Mnths,0),5),0)</f>
        <v>0</v>
      </c>
      <c r="DR58" s="13">
        <f>-IF(DR$8='Inputs &amp; Summary'!$D$102,INDEX(Am_Sched_Mnthly,MATCH(DR$8,Am_Sched_Mnthly_Mnths,0),5),0)</f>
        <v>0</v>
      </c>
      <c r="DS58" s="13">
        <f>-IF(DS$8='Inputs &amp; Summary'!$D$102,INDEX(Am_Sched_Mnthly,MATCH(DS$8,Am_Sched_Mnthly_Mnths,0),5),0)</f>
        <v>0</v>
      </c>
      <c r="DT58" s="13">
        <f>-IF(DT$8='Inputs &amp; Summary'!$D$102,INDEX(Am_Sched_Mnthly,MATCH(DT$8,Am_Sched_Mnthly_Mnths,0),5),0)</f>
        <v>0</v>
      </c>
    </row>
    <row r="59" spans="2:124" x14ac:dyDescent="0.25">
      <c r="B59" s="1" t="s">
        <v>57</v>
      </c>
      <c r="C59" s="31"/>
      <c r="D59" s="31"/>
      <c r="E59" s="13">
        <f t="shared" ref="E59:AJ59" si="80">E39</f>
        <v>0</v>
      </c>
      <c r="F59" s="13">
        <f t="shared" si="80"/>
        <v>0</v>
      </c>
      <c r="G59" s="13">
        <f t="shared" si="80"/>
        <v>0</v>
      </c>
      <c r="H59" s="13">
        <f t="shared" si="80"/>
        <v>0</v>
      </c>
      <c r="I59" s="13">
        <f t="shared" si="80"/>
        <v>0</v>
      </c>
      <c r="J59" s="13">
        <f t="shared" si="80"/>
        <v>0</v>
      </c>
      <c r="K59" s="13">
        <f t="shared" si="80"/>
        <v>0</v>
      </c>
      <c r="L59" s="13">
        <f t="shared" si="80"/>
        <v>0</v>
      </c>
      <c r="M59" s="13">
        <f t="shared" si="80"/>
        <v>0</v>
      </c>
      <c r="N59" s="13">
        <f t="shared" si="80"/>
        <v>0</v>
      </c>
      <c r="O59" s="13">
        <f t="shared" si="80"/>
        <v>0</v>
      </c>
      <c r="P59" s="13">
        <f t="shared" si="80"/>
        <v>0</v>
      </c>
      <c r="Q59" s="13">
        <f t="shared" si="80"/>
        <v>0</v>
      </c>
      <c r="R59" s="13">
        <f t="shared" si="80"/>
        <v>0</v>
      </c>
      <c r="S59" s="13">
        <f t="shared" si="80"/>
        <v>0</v>
      </c>
      <c r="T59" s="13">
        <f t="shared" si="80"/>
        <v>0</v>
      </c>
      <c r="U59" s="13">
        <f t="shared" si="80"/>
        <v>0</v>
      </c>
      <c r="V59" s="13">
        <f t="shared" si="80"/>
        <v>0</v>
      </c>
      <c r="W59" s="13">
        <f t="shared" si="80"/>
        <v>0</v>
      </c>
      <c r="X59" s="13">
        <f t="shared" si="80"/>
        <v>0</v>
      </c>
      <c r="Y59" s="13">
        <f t="shared" si="80"/>
        <v>0</v>
      </c>
      <c r="Z59" s="13">
        <f t="shared" si="80"/>
        <v>0</v>
      </c>
      <c r="AA59" s="13">
        <f t="shared" si="80"/>
        <v>0</v>
      </c>
      <c r="AB59" s="13">
        <f t="shared" si="80"/>
        <v>0</v>
      </c>
      <c r="AC59" s="13">
        <f t="shared" si="80"/>
        <v>0</v>
      </c>
      <c r="AD59" s="13">
        <f t="shared" si="80"/>
        <v>0</v>
      </c>
      <c r="AE59" s="13">
        <f t="shared" si="80"/>
        <v>0</v>
      </c>
      <c r="AF59" s="13">
        <f t="shared" si="80"/>
        <v>0</v>
      </c>
      <c r="AG59" s="13">
        <f t="shared" si="80"/>
        <v>0</v>
      </c>
      <c r="AH59" s="13">
        <f t="shared" si="80"/>
        <v>0</v>
      </c>
      <c r="AI59" s="13">
        <f t="shared" si="80"/>
        <v>0</v>
      </c>
      <c r="AJ59" s="13">
        <f t="shared" si="80"/>
        <v>0</v>
      </c>
      <c r="AK59" s="13">
        <f t="shared" ref="AK59:BP59" si="81">AK39</f>
        <v>0</v>
      </c>
      <c r="AL59" s="13">
        <f t="shared" si="81"/>
        <v>0</v>
      </c>
      <c r="AM59" s="13">
        <f t="shared" si="81"/>
        <v>0</v>
      </c>
      <c r="AN59" s="13">
        <f t="shared" si="81"/>
        <v>0</v>
      </c>
      <c r="AO59" s="13">
        <f t="shared" si="81"/>
        <v>0</v>
      </c>
      <c r="AP59" s="13">
        <f t="shared" si="81"/>
        <v>0</v>
      </c>
      <c r="AQ59" s="13">
        <f t="shared" si="81"/>
        <v>0</v>
      </c>
      <c r="AR59" s="13">
        <f t="shared" si="81"/>
        <v>0</v>
      </c>
      <c r="AS59" s="13">
        <f t="shared" si="81"/>
        <v>0</v>
      </c>
      <c r="AT59" s="13">
        <f t="shared" si="81"/>
        <v>0</v>
      </c>
      <c r="AU59" s="13">
        <f t="shared" si="81"/>
        <v>0</v>
      </c>
      <c r="AV59" s="13">
        <f t="shared" si="81"/>
        <v>0</v>
      </c>
      <c r="AW59" s="13">
        <f t="shared" si="81"/>
        <v>0</v>
      </c>
      <c r="AX59" s="13">
        <f t="shared" si="81"/>
        <v>0</v>
      </c>
      <c r="AY59" s="13">
        <f t="shared" si="81"/>
        <v>0</v>
      </c>
      <c r="AZ59" s="13">
        <f t="shared" si="81"/>
        <v>0</v>
      </c>
      <c r="BA59" s="13">
        <f t="shared" si="81"/>
        <v>0</v>
      </c>
      <c r="BB59" s="13">
        <f t="shared" si="81"/>
        <v>0</v>
      </c>
      <c r="BC59" s="13">
        <f t="shared" si="81"/>
        <v>0</v>
      </c>
      <c r="BD59" s="13">
        <f t="shared" si="81"/>
        <v>0</v>
      </c>
      <c r="BE59" s="13">
        <f t="shared" si="81"/>
        <v>0</v>
      </c>
      <c r="BF59" s="13">
        <f t="shared" si="81"/>
        <v>0</v>
      </c>
      <c r="BG59" s="13">
        <f t="shared" si="81"/>
        <v>0</v>
      </c>
      <c r="BH59" s="13">
        <f t="shared" si="81"/>
        <v>0</v>
      </c>
      <c r="BI59" s="13">
        <f t="shared" si="81"/>
        <v>0</v>
      </c>
      <c r="BJ59" s="13">
        <f t="shared" si="81"/>
        <v>0</v>
      </c>
      <c r="BK59" s="13">
        <f t="shared" si="81"/>
        <v>0</v>
      </c>
      <c r="BL59" s="13">
        <f t="shared" si="81"/>
        <v>0</v>
      </c>
      <c r="BM59" s="13">
        <f t="shared" si="81"/>
        <v>0</v>
      </c>
      <c r="BN59" s="13">
        <f t="shared" si="81"/>
        <v>0</v>
      </c>
      <c r="BO59" s="13">
        <f t="shared" si="81"/>
        <v>0</v>
      </c>
      <c r="BP59" s="13">
        <f t="shared" si="81"/>
        <v>0</v>
      </c>
      <c r="BQ59" s="13">
        <f t="shared" ref="BQ59:CV59" si="82">BQ39</f>
        <v>0</v>
      </c>
      <c r="BR59" s="13">
        <f t="shared" si="82"/>
        <v>0</v>
      </c>
      <c r="BS59" s="13">
        <f t="shared" si="82"/>
        <v>0</v>
      </c>
      <c r="BT59" s="13">
        <f t="shared" si="82"/>
        <v>0</v>
      </c>
      <c r="BU59" s="13">
        <f t="shared" si="82"/>
        <v>0</v>
      </c>
      <c r="BV59" s="13">
        <f t="shared" si="82"/>
        <v>0</v>
      </c>
      <c r="BW59" s="13">
        <f t="shared" si="82"/>
        <v>0</v>
      </c>
      <c r="BX59" s="13">
        <f t="shared" si="82"/>
        <v>0</v>
      </c>
      <c r="BY59" s="13">
        <f t="shared" si="82"/>
        <v>0</v>
      </c>
      <c r="BZ59" s="13">
        <f t="shared" si="82"/>
        <v>0</v>
      </c>
      <c r="CA59" s="13">
        <f t="shared" si="82"/>
        <v>0</v>
      </c>
      <c r="CB59" s="13">
        <f t="shared" si="82"/>
        <v>0</v>
      </c>
      <c r="CC59" s="13">
        <f t="shared" si="82"/>
        <v>0</v>
      </c>
      <c r="CD59" s="13">
        <f t="shared" si="82"/>
        <v>0</v>
      </c>
      <c r="CE59" s="13">
        <f t="shared" si="82"/>
        <v>0</v>
      </c>
      <c r="CF59" s="13">
        <f t="shared" si="82"/>
        <v>0</v>
      </c>
      <c r="CG59" s="13">
        <f t="shared" si="82"/>
        <v>0</v>
      </c>
      <c r="CH59" s="13">
        <f t="shared" si="82"/>
        <v>0</v>
      </c>
      <c r="CI59" s="13">
        <f t="shared" si="82"/>
        <v>0</v>
      </c>
      <c r="CJ59" s="13">
        <f t="shared" si="82"/>
        <v>0</v>
      </c>
      <c r="CK59" s="13">
        <f t="shared" si="82"/>
        <v>0</v>
      </c>
      <c r="CL59" s="13">
        <f t="shared" si="82"/>
        <v>0</v>
      </c>
      <c r="CM59" s="13">
        <f t="shared" si="82"/>
        <v>0</v>
      </c>
      <c r="CN59" s="13">
        <f t="shared" si="82"/>
        <v>0</v>
      </c>
      <c r="CO59" s="13">
        <f t="shared" si="82"/>
        <v>0</v>
      </c>
      <c r="CP59" s="13">
        <f t="shared" si="82"/>
        <v>0</v>
      </c>
      <c r="CQ59" s="13">
        <f t="shared" si="82"/>
        <v>0</v>
      </c>
      <c r="CR59" s="13">
        <f t="shared" si="82"/>
        <v>0</v>
      </c>
      <c r="CS59" s="13">
        <f t="shared" si="82"/>
        <v>0</v>
      </c>
      <c r="CT59" s="13">
        <f t="shared" si="82"/>
        <v>0</v>
      </c>
      <c r="CU59" s="13">
        <f t="shared" si="82"/>
        <v>0</v>
      </c>
      <c r="CV59" s="13" t="str">
        <f t="shared" si="82"/>
        <v>n/a</v>
      </c>
      <c r="CW59" s="13">
        <f t="shared" ref="CW59:DT59" si="83">CW39</f>
        <v>0</v>
      </c>
      <c r="CX59" s="13">
        <f t="shared" si="83"/>
        <v>0</v>
      </c>
      <c r="CY59" s="13">
        <f t="shared" si="83"/>
        <v>0</v>
      </c>
      <c r="CZ59" s="13">
        <f t="shared" si="83"/>
        <v>0</v>
      </c>
      <c r="DA59" s="13">
        <f t="shared" si="83"/>
        <v>0</v>
      </c>
      <c r="DB59" s="13">
        <f t="shared" si="83"/>
        <v>0</v>
      </c>
      <c r="DC59" s="13">
        <f t="shared" si="83"/>
        <v>0</v>
      </c>
      <c r="DD59" s="13">
        <f t="shared" si="83"/>
        <v>0</v>
      </c>
      <c r="DE59" s="13">
        <f t="shared" si="83"/>
        <v>0</v>
      </c>
      <c r="DF59" s="13">
        <f t="shared" si="83"/>
        <v>0</v>
      </c>
      <c r="DG59" s="13">
        <f t="shared" si="83"/>
        <v>0</v>
      </c>
      <c r="DH59" s="13">
        <f t="shared" si="83"/>
        <v>0</v>
      </c>
      <c r="DI59" s="13">
        <f t="shared" si="83"/>
        <v>0</v>
      </c>
      <c r="DJ59" s="13">
        <f t="shared" si="83"/>
        <v>0</v>
      </c>
      <c r="DK59" s="13">
        <f t="shared" si="83"/>
        <v>0</v>
      </c>
      <c r="DL59" s="13">
        <f t="shared" si="83"/>
        <v>0</v>
      </c>
      <c r="DM59" s="13">
        <f t="shared" si="83"/>
        <v>0</v>
      </c>
      <c r="DN59" s="13">
        <f t="shared" si="83"/>
        <v>0</v>
      </c>
      <c r="DO59" s="13">
        <f t="shared" si="83"/>
        <v>0</v>
      </c>
      <c r="DP59" s="13">
        <f t="shared" si="83"/>
        <v>0</v>
      </c>
      <c r="DQ59" s="13">
        <f t="shared" si="83"/>
        <v>0</v>
      </c>
      <c r="DR59" s="13">
        <f t="shared" si="83"/>
        <v>0</v>
      </c>
      <c r="DS59" s="13">
        <f t="shared" si="83"/>
        <v>0</v>
      </c>
      <c r="DT59" s="13">
        <f t="shared" si="83"/>
        <v>0</v>
      </c>
    </row>
    <row r="60" spans="2:124" x14ac:dyDescent="0.25">
      <c r="B60" s="8" t="s">
        <v>58</v>
      </c>
      <c r="C60" s="32"/>
      <c r="D60" s="32"/>
      <c r="E60" s="36">
        <f t="shared" ref="E60:AJ60" si="84">E40</f>
        <v>0</v>
      </c>
      <c r="F60" s="36">
        <f t="shared" si="84"/>
        <v>0</v>
      </c>
      <c r="G60" s="36">
        <f t="shared" si="84"/>
        <v>0</v>
      </c>
      <c r="H60" s="36">
        <f t="shared" si="84"/>
        <v>0</v>
      </c>
      <c r="I60" s="36">
        <f t="shared" si="84"/>
        <v>0</v>
      </c>
      <c r="J60" s="36">
        <f t="shared" si="84"/>
        <v>0</v>
      </c>
      <c r="K60" s="36">
        <f t="shared" si="84"/>
        <v>0</v>
      </c>
      <c r="L60" s="36">
        <f t="shared" si="84"/>
        <v>0</v>
      </c>
      <c r="M60" s="36">
        <f t="shared" si="84"/>
        <v>0</v>
      </c>
      <c r="N60" s="36">
        <f t="shared" si="84"/>
        <v>0</v>
      </c>
      <c r="O60" s="36">
        <f t="shared" si="84"/>
        <v>0</v>
      </c>
      <c r="P60" s="36">
        <f t="shared" si="84"/>
        <v>0</v>
      </c>
      <c r="Q60" s="36">
        <f t="shared" si="84"/>
        <v>0</v>
      </c>
      <c r="R60" s="36">
        <f t="shared" si="84"/>
        <v>0</v>
      </c>
      <c r="S60" s="36">
        <f t="shared" si="84"/>
        <v>0</v>
      </c>
      <c r="T60" s="36">
        <f t="shared" si="84"/>
        <v>0</v>
      </c>
      <c r="U60" s="36">
        <f t="shared" si="84"/>
        <v>0</v>
      </c>
      <c r="V60" s="36">
        <f t="shared" si="84"/>
        <v>0</v>
      </c>
      <c r="W60" s="36">
        <f t="shared" si="84"/>
        <v>0</v>
      </c>
      <c r="X60" s="36">
        <f t="shared" si="84"/>
        <v>0</v>
      </c>
      <c r="Y60" s="36">
        <f t="shared" si="84"/>
        <v>0</v>
      </c>
      <c r="Z60" s="36">
        <f t="shared" si="84"/>
        <v>0</v>
      </c>
      <c r="AA60" s="36">
        <f t="shared" si="84"/>
        <v>0</v>
      </c>
      <c r="AB60" s="36">
        <f t="shared" si="84"/>
        <v>0</v>
      </c>
      <c r="AC60" s="36">
        <f t="shared" si="84"/>
        <v>0</v>
      </c>
      <c r="AD60" s="36">
        <f t="shared" si="84"/>
        <v>0</v>
      </c>
      <c r="AE60" s="36">
        <f t="shared" si="84"/>
        <v>0</v>
      </c>
      <c r="AF60" s="36">
        <f t="shared" si="84"/>
        <v>0</v>
      </c>
      <c r="AG60" s="36">
        <f t="shared" si="84"/>
        <v>0</v>
      </c>
      <c r="AH60" s="36">
        <f t="shared" si="84"/>
        <v>0</v>
      </c>
      <c r="AI60" s="36">
        <f t="shared" si="84"/>
        <v>0</v>
      </c>
      <c r="AJ60" s="36">
        <f t="shared" si="84"/>
        <v>0</v>
      </c>
      <c r="AK60" s="36">
        <f t="shared" ref="AK60:BP60" si="85">AK40</f>
        <v>0</v>
      </c>
      <c r="AL60" s="36">
        <f t="shared" si="85"/>
        <v>0</v>
      </c>
      <c r="AM60" s="36">
        <f t="shared" si="85"/>
        <v>0</v>
      </c>
      <c r="AN60" s="36">
        <f t="shared" si="85"/>
        <v>0</v>
      </c>
      <c r="AO60" s="36">
        <f t="shared" si="85"/>
        <v>0</v>
      </c>
      <c r="AP60" s="36">
        <f t="shared" si="85"/>
        <v>0</v>
      </c>
      <c r="AQ60" s="36">
        <f t="shared" si="85"/>
        <v>0</v>
      </c>
      <c r="AR60" s="36">
        <f t="shared" si="85"/>
        <v>0</v>
      </c>
      <c r="AS60" s="36">
        <f t="shared" si="85"/>
        <v>0</v>
      </c>
      <c r="AT60" s="36">
        <f t="shared" si="85"/>
        <v>0</v>
      </c>
      <c r="AU60" s="36">
        <f t="shared" si="85"/>
        <v>0</v>
      </c>
      <c r="AV60" s="36">
        <f t="shared" si="85"/>
        <v>0</v>
      </c>
      <c r="AW60" s="36">
        <f t="shared" si="85"/>
        <v>0</v>
      </c>
      <c r="AX60" s="36">
        <f t="shared" si="85"/>
        <v>0</v>
      </c>
      <c r="AY60" s="36">
        <f t="shared" si="85"/>
        <v>0</v>
      </c>
      <c r="AZ60" s="36">
        <f t="shared" si="85"/>
        <v>0</v>
      </c>
      <c r="BA60" s="36">
        <f t="shared" si="85"/>
        <v>0</v>
      </c>
      <c r="BB60" s="36">
        <f t="shared" si="85"/>
        <v>0</v>
      </c>
      <c r="BC60" s="36">
        <f t="shared" si="85"/>
        <v>0</v>
      </c>
      <c r="BD60" s="36">
        <f t="shared" si="85"/>
        <v>0</v>
      </c>
      <c r="BE60" s="36">
        <f t="shared" si="85"/>
        <v>0</v>
      </c>
      <c r="BF60" s="36">
        <f t="shared" si="85"/>
        <v>0</v>
      </c>
      <c r="BG60" s="36">
        <f t="shared" si="85"/>
        <v>0</v>
      </c>
      <c r="BH60" s="36">
        <f t="shared" si="85"/>
        <v>0</v>
      </c>
      <c r="BI60" s="36">
        <f t="shared" si="85"/>
        <v>0</v>
      </c>
      <c r="BJ60" s="36">
        <f t="shared" si="85"/>
        <v>0</v>
      </c>
      <c r="BK60" s="36">
        <f t="shared" si="85"/>
        <v>0</v>
      </c>
      <c r="BL60" s="36">
        <f t="shared" si="85"/>
        <v>0</v>
      </c>
      <c r="BM60" s="36">
        <f t="shared" si="85"/>
        <v>0</v>
      </c>
      <c r="BN60" s="36">
        <f t="shared" si="85"/>
        <v>0</v>
      </c>
      <c r="BO60" s="36">
        <f t="shared" si="85"/>
        <v>0</v>
      </c>
      <c r="BP60" s="36">
        <f t="shared" si="85"/>
        <v>0</v>
      </c>
      <c r="BQ60" s="36">
        <f t="shared" ref="BQ60:CV60" si="86">BQ40</f>
        <v>0</v>
      </c>
      <c r="BR60" s="36">
        <f t="shared" si="86"/>
        <v>0</v>
      </c>
      <c r="BS60" s="36">
        <f t="shared" si="86"/>
        <v>0</v>
      </c>
      <c r="BT60" s="36">
        <f t="shared" si="86"/>
        <v>0</v>
      </c>
      <c r="BU60" s="36">
        <f t="shared" si="86"/>
        <v>0</v>
      </c>
      <c r="BV60" s="36">
        <f t="shared" si="86"/>
        <v>0</v>
      </c>
      <c r="BW60" s="36">
        <f t="shared" si="86"/>
        <v>0</v>
      </c>
      <c r="BX60" s="36">
        <f t="shared" si="86"/>
        <v>0</v>
      </c>
      <c r="BY60" s="36">
        <f t="shared" si="86"/>
        <v>0</v>
      </c>
      <c r="BZ60" s="36">
        <f t="shared" si="86"/>
        <v>0</v>
      </c>
      <c r="CA60" s="36">
        <f t="shared" si="86"/>
        <v>0</v>
      </c>
      <c r="CB60" s="36">
        <f t="shared" si="86"/>
        <v>0</v>
      </c>
      <c r="CC60" s="36">
        <f t="shared" si="86"/>
        <v>0</v>
      </c>
      <c r="CD60" s="36">
        <f t="shared" si="86"/>
        <v>0</v>
      </c>
      <c r="CE60" s="36">
        <f t="shared" si="86"/>
        <v>0</v>
      </c>
      <c r="CF60" s="36">
        <f t="shared" si="86"/>
        <v>0</v>
      </c>
      <c r="CG60" s="36">
        <f t="shared" si="86"/>
        <v>0</v>
      </c>
      <c r="CH60" s="36">
        <f t="shared" si="86"/>
        <v>0</v>
      </c>
      <c r="CI60" s="36">
        <f t="shared" si="86"/>
        <v>0</v>
      </c>
      <c r="CJ60" s="36">
        <f t="shared" si="86"/>
        <v>0</v>
      </c>
      <c r="CK60" s="36">
        <f t="shared" si="86"/>
        <v>0</v>
      </c>
      <c r="CL60" s="36">
        <f t="shared" si="86"/>
        <v>0</v>
      </c>
      <c r="CM60" s="36">
        <f t="shared" si="86"/>
        <v>0</v>
      </c>
      <c r="CN60" s="36">
        <f t="shared" si="86"/>
        <v>0</v>
      </c>
      <c r="CO60" s="36">
        <f t="shared" si="86"/>
        <v>0</v>
      </c>
      <c r="CP60" s="36">
        <f t="shared" si="86"/>
        <v>0</v>
      </c>
      <c r="CQ60" s="36">
        <f t="shared" si="86"/>
        <v>0</v>
      </c>
      <c r="CR60" s="36">
        <f t="shared" si="86"/>
        <v>0</v>
      </c>
      <c r="CS60" s="36">
        <f t="shared" si="86"/>
        <v>0</v>
      </c>
      <c r="CT60" s="36">
        <f t="shared" si="86"/>
        <v>0</v>
      </c>
      <c r="CU60" s="36">
        <f t="shared" si="86"/>
        <v>0</v>
      </c>
      <c r="CV60" s="36" t="e">
        <f t="shared" si="86"/>
        <v>#VALUE!</v>
      </c>
      <c r="CW60" s="36">
        <f t="shared" ref="CW60:DT60" si="87">CW40</f>
        <v>0</v>
      </c>
      <c r="CX60" s="36">
        <f t="shared" si="87"/>
        <v>0</v>
      </c>
      <c r="CY60" s="36">
        <f t="shared" si="87"/>
        <v>0</v>
      </c>
      <c r="CZ60" s="36">
        <f t="shared" si="87"/>
        <v>0</v>
      </c>
      <c r="DA60" s="36">
        <f t="shared" si="87"/>
        <v>0</v>
      </c>
      <c r="DB60" s="36">
        <f t="shared" si="87"/>
        <v>0</v>
      </c>
      <c r="DC60" s="36">
        <f t="shared" si="87"/>
        <v>0</v>
      </c>
      <c r="DD60" s="36">
        <f t="shared" si="87"/>
        <v>0</v>
      </c>
      <c r="DE60" s="36">
        <f t="shared" si="87"/>
        <v>0</v>
      </c>
      <c r="DF60" s="36">
        <f t="shared" si="87"/>
        <v>0</v>
      </c>
      <c r="DG60" s="36">
        <f t="shared" si="87"/>
        <v>0</v>
      </c>
      <c r="DH60" s="36">
        <f t="shared" si="87"/>
        <v>0</v>
      </c>
      <c r="DI60" s="36">
        <f t="shared" si="87"/>
        <v>0</v>
      </c>
      <c r="DJ60" s="36">
        <f t="shared" si="87"/>
        <v>0</v>
      </c>
      <c r="DK60" s="36">
        <f t="shared" si="87"/>
        <v>0</v>
      </c>
      <c r="DL60" s="36">
        <f t="shared" si="87"/>
        <v>0</v>
      </c>
      <c r="DM60" s="36">
        <f t="shared" si="87"/>
        <v>0</v>
      </c>
      <c r="DN60" s="36">
        <f t="shared" si="87"/>
        <v>0</v>
      </c>
      <c r="DO60" s="36">
        <f t="shared" si="87"/>
        <v>0</v>
      </c>
      <c r="DP60" s="36">
        <f t="shared" si="87"/>
        <v>0</v>
      </c>
      <c r="DQ60" s="36">
        <f t="shared" si="87"/>
        <v>0</v>
      </c>
      <c r="DR60" s="36">
        <f t="shared" si="87"/>
        <v>0</v>
      </c>
      <c r="DS60" s="36">
        <f t="shared" si="87"/>
        <v>0</v>
      </c>
      <c r="DT60" s="36">
        <f t="shared" si="87"/>
        <v>0</v>
      </c>
    </row>
    <row r="61" spans="2:124" x14ac:dyDescent="0.25">
      <c r="B61" s="6" t="s">
        <v>72</v>
      </c>
      <c r="C61" s="31"/>
      <c r="D61" s="49" t="e">
        <f t="shared" ref="D61:AI61" si="88">SUM(D54,D56:D60)</f>
        <v>#VALUE!</v>
      </c>
      <c r="E61" s="43" t="e">
        <f t="shared" ca="1" si="88"/>
        <v>#VALUE!</v>
      </c>
      <c r="F61" s="43" t="e">
        <f t="shared" ca="1" si="88"/>
        <v>#VALUE!</v>
      </c>
      <c r="G61" s="43" t="e">
        <f t="shared" ca="1" si="88"/>
        <v>#VALUE!</v>
      </c>
      <c r="H61" s="43" t="e">
        <f t="shared" ca="1" si="88"/>
        <v>#VALUE!</v>
      </c>
      <c r="I61" s="43" t="e">
        <f t="shared" ca="1" si="88"/>
        <v>#VALUE!</v>
      </c>
      <c r="J61" s="43" t="e">
        <f t="shared" ca="1" si="88"/>
        <v>#VALUE!</v>
      </c>
      <c r="K61" s="43" t="e">
        <f t="shared" ca="1" si="88"/>
        <v>#VALUE!</v>
      </c>
      <c r="L61" s="43" t="e">
        <f t="shared" ca="1" si="88"/>
        <v>#VALUE!</v>
      </c>
      <c r="M61" s="43" t="e">
        <f t="shared" ca="1" si="88"/>
        <v>#VALUE!</v>
      </c>
      <c r="N61" s="43" t="e">
        <f t="shared" ca="1" si="88"/>
        <v>#VALUE!</v>
      </c>
      <c r="O61" s="43" t="e">
        <f t="shared" ca="1" si="88"/>
        <v>#VALUE!</v>
      </c>
      <c r="P61" s="43" t="e">
        <f t="shared" ca="1" si="88"/>
        <v>#VALUE!</v>
      </c>
      <c r="Q61" s="43" t="e">
        <f t="shared" ca="1" si="88"/>
        <v>#VALUE!</v>
      </c>
      <c r="R61" s="43" t="e">
        <f t="shared" ca="1" si="88"/>
        <v>#VALUE!</v>
      </c>
      <c r="S61" s="43" t="e">
        <f t="shared" ca="1" si="88"/>
        <v>#VALUE!</v>
      </c>
      <c r="T61" s="43" t="e">
        <f t="shared" ca="1" si="88"/>
        <v>#VALUE!</v>
      </c>
      <c r="U61" s="43" t="e">
        <f t="shared" ca="1" si="88"/>
        <v>#VALUE!</v>
      </c>
      <c r="V61" s="43" t="e">
        <f t="shared" ca="1" si="88"/>
        <v>#VALUE!</v>
      </c>
      <c r="W61" s="43" t="e">
        <f t="shared" ca="1" si="88"/>
        <v>#VALUE!</v>
      </c>
      <c r="X61" s="43" t="e">
        <f t="shared" ca="1" si="88"/>
        <v>#VALUE!</v>
      </c>
      <c r="Y61" s="43" t="e">
        <f t="shared" ca="1" si="88"/>
        <v>#VALUE!</v>
      </c>
      <c r="Z61" s="43" t="e">
        <f t="shared" ca="1" si="88"/>
        <v>#VALUE!</v>
      </c>
      <c r="AA61" s="43" t="e">
        <f t="shared" ca="1" si="88"/>
        <v>#VALUE!</v>
      </c>
      <c r="AB61" s="43" t="e">
        <f t="shared" ca="1" si="88"/>
        <v>#VALUE!</v>
      </c>
      <c r="AC61" s="43" t="e">
        <f t="shared" ca="1" si="88"/>
        <v>#VALUE!</v>
      </c>
      <c r="AD61" s="43" t="e">
        <f t="shared" ca="1" si="88"/>
        <v>#VALUE!</v>
      </c>
      <c r="AE61" s="43" t="e">
        <f t="shared" ca="1" si="88"/>
        <v>#VALUE!</v>
      </c>
      <c r="AF61" s="43" t="e">
        <f t="shared" ca="1" si="88"/>
        <v>#VALUE!</v>
      </c>
      <c r="AG61" s="43" t="e">
        <f t="shared" ca="1" si="88"/>
        <v>#VALUE!</v>
      </c>
      <c r="AH61" s="43" t="e">
        <f t="shared" ca="1" si="88"/>
        <v>#VALUE!</v>
      </c>
      <c r="AI61" s="43" t="e">
        <f t="shared" ca="1" si="88"/>
        <v>#VALUE!</v>
      </c>
      <c r="AJ61" s="43" t="e">
        <f t="shared" ref="AJ61:BO61" ca="1" si="89">SUM(AJ54,AJ56:AJ60)</f>
        <v>#VALUE!</v>
      </c>
      <c r="AK61" s="43" t="e">
        <f t="shared" ca="1" si="89"/>
        <v>#VALUE!</v>
      </c>
      <c r="AL61" s="43" t="e">
        <f t="shared" ca="1" si="89"/>
        <v>#VALUE!</v>
      </c>
      <c r="AM61" s="43" t="e">
        <f t="shared" ca="1" si="89"/>
        <v>#VALUE!</v>
      </c>
      <c r="AN61" s="43" t="e">
        <f t="shared" ca="1" si="89"/>
        <v>#VALUE!</v>
      </c>
      <c r="AO61" s="43" t="e">
        <f t="shared" ca="1" si="89"/>
        <v>#VALUE!</v>
      </c>
      <c r="AP61" s="43" t="e">
        <f t="shared" ca="1" si="89"/>
        <v>#VALUE!</v>
      </c>
      <c r="AQ61" s="43" t="e">
        <f t="shared" ca="1" si="89"/>
        <v>#VALUE!</v>
      </c>
      <c r="AR61" s="43" t="e">
        <f t="shared" ca="1" si="89"/>
        <v>#VALUE!</v>
      </c>
      <c r="AS61" s="43" t="e">
        <f t="shared" ca="1" si="89"/>
        <v>#VALUE!</v>
      </c>
      <c r="AT61" s="43" t="e">
        <f t="shared" ca="1" si="89"/>
        <v>#VALUE!</v>
      </c>
      <c r="AU61" s="43" t="e">
        <f t="shared" ca="1" si="89"/>
        <v>#VALUE!</v>
      </c>
      <c r="AV61" s="43" t="e">
        <f t="shared" ca="1" si="89"/>
        <v>#VALUE!</v>
      </c>
      <c r="AW61" s="43" t="e">
        <f t="shared" ca="1" si="89"/>
        <v>#VALUE!</v>
      </c>
      <c r="AX61" s="43" t="e">
        <f t="shared" ca="1" si="89"/>
        <v>#VALUE!</v>
      </c>
      <c r="AY61" s="43" t="e">
        <f t="shared" ca="1" si="89"/>
        <v>#VALUE!</v>
      </c>
      <c r="AZ61" s="43" t="e">
        <f t="shared" ca="1" si="89"/>
        <v>#VALUE!</v>
      </c>
      <c r="BA61" s="43" t="e">
        <f t="shared" ca="1" si="89"/>
        <v>#VALUE!</v>
      </c>
      <c r="BB61" s="43" t="e">
        <f t="shared" ca="1" si="89"/>
        <v>#VALUE!</v>
      </c>
      <c r="BC61" s="43" t="e">
        <f t="shared" ca="1" si="89"/>
        <v>#VALUE!</v>
      </c>
      <c r="BD61" s="43" t="e">
        <f t="shared" ca="1" si="89"/>
        <v>#VALUE!</v>
      </c>
      <c r="BE61" s="43" t="e">
        <f t="shared" ca="1" si="89"/>
        <v>#VALUE!</v>
      </c>
      <c r="BF61" s="43" t="e">
        <f t="shared" ca="1" si="89"/>
        <v>#VALUE!</v>
      </c>
      <c r="BG61" s="43" t="e">
        <f t="shared" ca="1" si="89"/>
        <v>#VALUE!</v>
      </c>
      <c r="BH61" s="43" t="e">
        <f t="shared" ca="1" si="89"/>
        <v>#VALUE!</v>
      </c>
      <c r="BI61" s="43" t="e">
        <f t="shared" ca="1" si="89"/>
        <v>#VALUE!</v>
      </c>
      <c r="BJ61" s="43" t="e">
        <f t="shared" ca="1" si="89"/>
        <v>#VALUE!</v>
      </c>
      <c r="BK61" s="43" t="e">
        <f t="shared" ca="1" si="89"/>
        <v>#VALUE!</v>
      </c>
      <c r="BL61" s="43" t="e">
        <f t="shared" ca="1" si="89"/>
        <v>#VALUE!</v>
      </c>
      <c r="BM61" s="43" t="e">
        <f t="shared" ca="1" si="89"/>
        <v>#VALUE!</v>
      </c>
      <c r="BN61" s="43" t="e">
        <f t="shared" ca="1" si="89"/>
        <v>#VALUE!</v>
      </c>
      <c r="BO61" s="43" t="e">
        <f t="shared" ca="1" si="89"/>
        <v>#VALUE!</v>
      </c>
      <c r="BP61" s="43" t="e">
        <f t="shared" ref="BP61:CU61" ca="1" si="90">SUM(BP54,BP56:BP60)</f>
        <v>#VALUE!</v>
      </c>
      <c r="BQ61" s="43" t="e">
        <f t="shared" ca="1" si="90"/>
        <v>#VALUE!</v>
      </c>
      <c r="BR61" s="43" t="e">
        <f t="shared" ca="1" si="90"/>
        <v>#VALUE!</v>
      </c>
      <c r="BS61" s="43" t="e">
        <f t="shared" ca="1" si="90"/>
        <v>#VALUE!</v>
      </c>
      <c r="BT61" s="43" t="e">
        <f t="shared" ca="1" si="90"/>
        <v>#VALUE!</v>
      </c>
      <c r="BU61" s="43" t="e">
        <f t="shared" ca="1" si="90"/>
        <v>#VALUE!</v>
      </c>
      <c r="BV61" s="43" t="e">
        <f t="shared" ca="1" si="90"/>
        <v>#VALUE!</v>
      </c>
      <c r="BW61" s="43" t="e">
        <f t="shared" ca="1" si="90"/>
        <v>#VALUE!</v>
      </c>
      <c r="BX61" s="43" t="e">
        <f t="shared" ca="1" si="90"/>
        <v>#VALUE!</v>
      </c>
      <c r="BY61" s="43" t="e">
        <f t="shared" ca="1" si="90"/>
        <v>#VALUE!</v>
      </c>
      <c r="BZ61" s="43" t="e">
        <f t="shared" ca="1" si="90"/>
        <v>#VALUE!</v>
      </c>
      <c r="CA61" s="43" t="e">
        <f t="shared" ca="1" si="90"/>
        <v>#VALUE!</v>
      </c>
      <c r="CB61" s="43" t="e">
        <f t="shared" ca="1" si="90"/>
        <v>#VALUE!</v>
      </c>
      <c r="CC61" s="43" t="e">
        <f t="shared" ca="1" si="90"/>
        <v>#VALUE!</v>
      </c>
      <c r="CD61" s="43" t="e">
        <f t="shared" ca="1" si="90"/>
        <v>#VALUE!</v>
      </c>
      <c r="CE61" s="43" t="e">
        <f t="shared" ca="1" si="90"/>
        <v>#VALUE!</v>
      </c>
      <c r="CF61" s="43" t="e">
        <f t="shared" ca="1" si="90"/>
        <v>#VALUE!</v>
      </c>
      <c r="CG61" s="43" t="e">
        <f t="shared" ca="1" si="90"/>
        <v>#VALUE!</v>
      </c>
      <c r="CH61" s="43" t="e">
        <f t="shared" ca="1" si="90"/>
        <v>#VALUE!</v>
      </c>
      <c r="CI61" s="43" t="e">
        <f t="shared" ca="1" si="90"/>
        <v>#VALUE!</v>
      </c>
      <c r="CJ61" s="43" t="e">
        <f t="shared" ca="1" si="90"/>
        <v>#VALUE!</v>
      </c>
      <c r="CK61" s="43" t="e">
        <f t="shared" ca="1" si="90"/>
        <v>#VALUE!</v>
      </c>
      <c r="CL61" s="43" t="e">
        <f t="shared" ca="1" si="90"/>
        <v>#VALUE!</v>
      </c>
      <c r="CM61" s="43" t="e">
        <f t="shared" ca="1" si="90"/>
        <v>#VALUE!</v>
      </c>
      <c r="CN61" s="43" t="e">
        <f t="shared" ca="1" si="90"/>
        <v>#VALUE!</v>
      </c>
      <c r="CO61" s="43" t="e">
        <f t="shared" ca="1" si="90"/>
        <v>#VALUE!</v>
      </c>
      <c r="CP61" s="43" t="e">
        <f t="shared" ca="1" si="90"/>
        <v>#VALUE!</v>
      </c>
      <c r="CQ61" s="43" t="e">
        <f t="shared" ca="1" si="90"/>
        <v>#VALUE!</v>
      </c>
      <c r="CR61" s="43" t="e">
        <f t="shared" ca="1" si="90"/>
        <v>#VALUE!</v>
      </c>
      <c r="CS61" s="43" t="e">
        <f t="shared" ca="1" si="90"/>
        <v>#VALUE!</v>
      </c>
      <c r="CT61" s="43" t="e">
        <f t="shared" ca="1" si="90"/>
        <v>#VALUE!</v>
      </c>
      <c r="CU61" s="43" t="e">
        <f t="shared" ca="1" si="90"/>
        <v>#VALUE!</v>
      </c>
      <c r="CV61" s="43" t="e">
        <f t="shared" ref="CV61:DT61" ca="1" si="91">SUM(CV54,CV56:CV60)</f>
        <v>#VALUE!</v>
      </c>
      <c r="CW61" s="43" t="e">
        <f t="shared" ca="1" si="91"/>
        <v>#VALUE!</v>
      </c>
      <c r="CX61" s="43" t="e">
        <f t="shared" ca="1" si="91"/>
        <v>#VALUE!</v>
      </c>
      <c r="CY61" s="43" t="e">
        <f t="shared" ca="1" si="91"/>
        <v>#VALUE!</v>
      </c>
      <c r="CZ61" s="43" t="e">
        <f t="shared" ca="1" si="91"/>
        <v>#VALUE!</v>
      </c>
      <c r="DA61" s="43" t="e">
        <f t="shared" ca="1" si="91"/>
        <v>#VALUE!</v>
      </c>
      <c r="DB61" s="43" t="e">
        <f t="shared" ca="1" si="91"/>
        <v>#VALUE!</v>
      </c>
      <c r="DC61" s="43" t="e">
        <f t="shared" ca="1" si="91"/>
        <v>#VALUE!</v>
      </c>
      <c r="DD61" s="43" t="e">
        <f t="shared" ca="1" si="91"/>
        <v>#VALUE!</v>
      </c>
      <c r="DE61" s="43" t="e">
        <f t="shared" ca="1" si="91"/>
        <v>#VALUE!</v>
      </c>
      <c r="DF61" s="43" t="e">
        <f t="shared" ca="1" si="91"/>
        <v>#VALUE!</v>
      </c>
      <c r="DG61" s="43" t="e">
        <f t="shared" ca="1" si="91"/>
        <v>#VALUE!</v>
      </c>
      <c r="DH61" s="43" t="e">
        <f t="shared" ca="1" si="91"/>
        <v>#VALUE!</v>
      </c>
      <c r="DI61" s="43" t="e">
        <f t="shared" ca="1" si="91"/>
        <v>#VALUE!</v>
      </c>
      <c r="DJ61" s="43" t="e">
        <f t="shared" ca="1" si="91"/>
        <v>#VALUE!</v>
      </c>
      <c r="DK61" s="43" t="e">
        <f t="shared" ca="1" si="91"/>
        <v>#VALUE!</v>
      </c>
      <c r="DL61" s="43" t="e">
        <f t="shared" ca="1" si="91"/>
        <v>#VALUE!</v>
      </c>
      <c r="DM61" s="43" t="e">
        <f t="shared" ca="1" si="91"/>
        <v>#VALUE!</v>
      </c>
      <c r="DN61" s="43" t="e">
        <f t="shared" ca="1" si="91"/>
        <v>#VALUE!</v>
      </c>
      <c r="DO61" s="43" t="e">
        <f t="shared" ca="1" si="91"/>
        <v>#VALUE!</v>
      </c>
      <c r="DP61" s="43" t="e">
        <f t="shared" ca="1" si="91"/>
        <v>#VALUE!</v>
      </c>
      <c r="DQ61" s="43" t="e">
        <f t="shared" ca="1" si="91"/>
        <v>#VALUE!</v>
      </c>
      <c r="DR61" s="43" t="e">
        <f t="shared" ca="1" si="91"/>
        <v>#VALUE!</v>
      </c>
      <c r="DS61" s="43" t="e">
        <f t="shared" ca="1" si="91"/>
        <v>#VALUE!</v>
      </c>
      <c r="DT61" s="43" t="e">
        <f t="shared" ca="1" si="91"/>
        <v>#VALUE!</v>
      </c>
    </row>
    <row r="62" spans="2:124" x14ac:dyDescent="0.25">
      <c r="B62" s="58" t="s">
        <v>66</v>
      </c>
      <c r="D62" s="59" t="e">
        <f>SUM($D$61:D61)</f>
        <v>#VALUE!</v>
      </c>
      <c r="E62" s="59" t="e">
        <f>SUM($D$61:E61)</f>
        <v>#VALUE!</v>
      </c>
      <c r="F62" s="59" t="e">
        <f>SUM($D$61:F61)</f>
        <v>#VALUE!</v>
      </c>
      <c r="G62" s="59" t="e">
        <f>SUM($D$61:G61)</f>
        <v>#VALUE!</v>
      </c>
      <c r="H62" s="59" t="e">
        <f>SUM($D$61:H61)</f>
        <v>#VALUE!</v>
      </c>
      <c r="I62" s="59" t="e">
        <f>SUM($D$61:I61)</f>
        <v>#VALUE!</v>
      </c>
      <c r="J62" s="59" t="e">
        <f>SUM($D$61:J61)</f>
        <v>#VALUE!</v>
      </c>
      <c r="K62" s="59" t="e">
        <f>SUM($D$61:K61)</f>
        <v>#VALUE!</v>
      </c>
      <c r="L62" s="59" t="e">
        <f>SUM($D$61:L61)</f>
        <v>#VALUE!</v>
      </c>
      <c r="M62" s="59" t="e">
        <f>SUM($D$61:M61)</f>
        <v>#VALUE!</v>
      </c>
      <c r="N62" s="59" t="e">
        <f>SUM($D$61:N61)</f>
        <v>#VALUE!</v>
      </c>
      <c r="O62" s="59" t="e">
        <f>SUM($D$61:O61)</f>
        <v>#VALUE!</v>
      </c>
      <c r="P62" s="59" t="e">
        <f>SUM($D$61:P61)</f>
        <v>#VALUE!</v>
      </c>
      <c r="Q62" s="59" t="e">
        <f>SUM($D$61:Q61)</f>
        <v>#VALUE!</v>
      </c>
      <c r="R62" s="59" t="e">
        <f>SUM($D$61:R61)</f>
        <v>#VALUE!</v>
      </c>
      <c r="S62" s="59" t="e">
        <f>SUM($D$61:S61)</f>
        <v>#VALUE!</v>
      </c>
      <c r="T62" s="59" t="e">
        <f>SUM($D$61:T61)</f>
        <v>#VALUE!</v>
      </c>
      <c r="U62" s="59" t="e">
        <f>SUM($D$61:U61)</f>
        <v>#VALUE!</v>
      </c>
      <c r="V62" s="59" t="e">
        <f>SUM($D$61:V61)</f>
        <v>#VALUE!</v>
      </c>
      <c r="W62" s="59" t="e">
        <f>SUM($D$61:W61)</f>
        <v>#VALUE!</v>
      </c>
      <c r="X62" s="59" t="e">
        <f>SUM($D$61:X61)</f>
        <v>#VALUE!</v>
      </c>
      <c r="Y62" s="59" t="e">
        <f>SUM($D$61:Y61)</f>
        <v>#VALUE!</v>
      </c>
      <c r="Z62" s="59" t="e">
        <f>SUM($D$61:Z61)</f>
        <v>#VALUE!</v>
      </c>
      <c r="AA62" s="59" t="e">
        <f>SUM($D$61:AA61)</f>
        <v>#VALUE!</v>
      </c>
      <c r="AB62" s="59" t="e">
        <f>SUM($D$61:AB61)</f>
        <v>#VALUE!</v>
      </c>
      <c r="AC62" s="59" t="e">
        <f>SUM($D$61:AC61)</f>
        <v>#VALUE!</v>
      </c>
      <c r="AD62" s="59" t="e">
        <f>SUM($D$61:AD61)</f>
        <v>#VALUE!</v>
      </c>
      <c r="AE62" s="59" t="e">
        <f>SUM($D$61:AE61)</f>
        <v>#VALUE!</v>
      </c>
      <c r="AF62" s="59" t="e">
        <f>SUM($D$61:AF61)</f>
        <v>#VALUE!</v>
      </c>
      <c r="AG62" s="59" t="e">
        <f>SUM($D$61:AG61)</f>
        <v>#VALUE!</v>
      </c>
      <c r="AH62" s="59" t="e">
        <f>SUM($D$61:AH61)</f>
        <v>#VALUE!</v>
      </c>
      <c r="AI62" s="59" t="e">
        <f>SUM($D$61:AI61)</f>
        <v>#VALUE!</v>
      </c>
      <c r="AJ62" s="59" t="e">
        <f>SUM($D$61:AJ61)</f>
        <v>#VALUE!</v>
      </c>
      <c r="AK62" s="59" t="e">
        <f>SUM($D$61:AK61)</f>
        <v>#VALUE!</v>
      </c>
      <c r="AL62" s="59" t="e">
        <f>SUM($D$61:AL61)</f>
        <v>#VALUE!</v>
      </c>
      <c r="AM62" s="59" t="e">
        <f>SUM($D$61:AM61)</f>
        <v>#VALUE!</v>
      </c>
      <c r="AN62" s="59" t="e">
        <f>SUM($D$61:AN61)</f>
        <v>#VALUE!</v>
      </c>
      <c r="AO62" s="59" t="e">
        <f>SUM($D$61:AO61)</f>
        <v>#VALUE!</v>
      </c>
      <c r="AP62" s="59" t="e">
        <f>SUM($D$61:AP61)</f>
        <v>#VALUE!</v>
      </c>
      <c r="AQ62" s="59" t="e">
        <f>SUM($D$61:AQ61)</f>
        <v>#VALUE!</v>
      </c>
      <c r="AR62" s="59" t="e">
        <f>SUM($D$61:AR61)</f>
        <v>#VALUE!</v>
      </c>
      <c r="AS62" s="59" t="e">
        <f>SUM($D$61:AS61)</f>
        <v>#VALUE!</v>
      </c>
      <c r="AT62" s="59" t="e">
        <f>SUM($D$61:AT61)</f>
        <v>#VALUE!</v>
      </c>
      <c r="AU62" s="59" t="e">
        <f>SUM($D$61:AU61)</f>
        <v>#VALUE!</v>
      </c>
      <c r="AV62" s="59" t="e">
        <f>SUM($D$61:AV61)</f>
        <v>#VALUE!</v>
      </c>
      <c r="AW62" s="59" t="e">
        <f>SUM($D$61:AW61)</f>
        <v>#VALUE!</v>
      </c>
      <c r="AX62" s="59" t="e">
        <f>SUM($D$61:AX61)</f>
        <v>#VALUE!</v>
      </c>
      <c r="AY62" s="59" t="e">
        <f>SUM($D$61:AY61)</f>
        <v>#VALUE!</v>
      </c>
      <c r="AZ62" s="59" t="e">
        <f>SUM($D$61:AZ61)</f>
        <v>#VALUE!</v>
      </c>
      <c r="BA62" s="59" t="e">
        <f>SUM($D$61:BA61)</f>
        <v>#VALUE!</v>
      </c>
      <c r="BB62" s="59" t="e">
        <f>SUM($D$61:BB61)</f>
        <v>#VALUE!</v>
      </c>
      <c r="BC62" s="59" t="e">
        <f>SUM($D$61:BC61)</f>
        <v>#VALUE!</v>
      </c>
      <c r="BD62" s="59" t="e">
        <f>SUM($D$61:BD61)</f>
        <v>#VALUE!</v>
      </c>
      <c r="BE62" s="59" t="e">
        <f>SUM($D$61:BE61)</f>
        <v>#VALUE!</v>
      </c>
      <c r="BF62" s="59" t="e">
        <f>SUM($D$61:BF61)</f>
        <v>#VALUE!</v>
      </c>
      <c r="BG62" s="59" t="e">
        <f>SUM($D$61:BG61)</f>
        <v>#VALUE!</v>
      </c>
      <c r="BH62" s="59" t="e">
        <f>SUM($D$61:BH61)</f>
        <v>#VALUE!</v>
      </c>
      <c r="BI62" s="59" t="e">
        <f>SUM($D$61:BI61)</f>
        <v>#VALUE!</v>
      </c>
      <c r="BJ62" s="59" t="e">
        <f>SUM($D$61:BJ61)</f>
        <v>#VALUE!</v>
      </c>
      <c r="BK62" s="59" t="e">
        <f>SUM($D$61:BK61)</f>
        <v>#VALUE!</v>
      </c>
      <c r="BL62" s="59" t="e">
        <f>SUM($D$61:BL61)</f>
        <v>#VALUE!</v>
      </c>
      <c r="BM62" s="59" t="e">
        <f>SUM($D$61:BM61)</f>
        <v>#VALUE!</v>
      </c>
      <c r="BN62" s="59" t="e">
        <f>SUM($D$61:BN61)</f>
        <v>#VALUE!</v>
      </c>
      <c r="BO62" s="59" t="e">
        <f>SUM($D$61:BO61)</f>
        <v>#VALUE!</v>
      </c>
      <c r="BP62" s="59" t="e">
        <f>SUM($D$61:BP61)</f>
        <v>#VALUE!</v>
      </c>
      <c r="BQ62" s="59" t="e">
        <f>SUM($D$61:BQ61)</f>
        <v>#VALUE!</v>
      </c>
      <c r="BR62" s="59" t="e">
        <f>SUM($D$61:BR61)</f>
        <v>#VALUE!</v>
      </c>
      <c r="BS62" s="59" t="e">
        <f>SUM($D$61:BS61)</f>
        <v>#VALUE!</v>
      </c>
      <c r="BT62" s="59" t="e">
        <f>SUM($D$61:BT61)</f>
        <v>#VALUE!</v>
      </c>
      <c r="BU62" s="59" t="e">
        <f>SUM($D$61:BU61)</f>
        <v>#VALUE!</v>
      </c>
      <c r="BV62" s="59" t="e">
        <f>SUM($D$61:BV61)</f>
        <v>#VALUE!</v>
      </c>
      <c r="BW62" s="59" t="e">
        <f>SUM($D$61:BW61)</f>
        <v>#VALUE!</v>
      </c>
      <c r="BX62" s="59" t="e">
        <f>SUM($D$61:BX61)</f>
        <v>#VALUE!</v>
      </c>
      <c r="BY62" s="59" t="e">
        <f>SUM($D$61:BY61)</f>
        <v>#VALUE!</v>
      </c>
      <c r="BZ62" s="59" t="e">
        <f>SUM($D$61:BZ61)</f>
        <v>#VALUE!</v>
      </c>
      <c r="CA62" s="59" t="e">
        <f>SUM($D$61:CA61)</f>
        <v>#VALUE!</v>
      </c>
      <c r="CB62" s="59" t="e">
        <f>SUM($D$61:CB61)</f>
        <v>#VALUE!</v>
      </c>
      <c r="CC62" s="59" t="e">
        <f>SUM($D$61:CC61)</f>
        <v>#VALUE!</v>
      </c>
      <c r="CD62" s="59" t="e">
        <f>SUM($D$61:CD61)</f>
        <v>#VALUE!</v>
      </c>
      <c r="CE62" s="59" t="e">
        <f>SUM($D$61:CE61)</f>
        <v>#VALUE!</v>
      </c>
      <c r="CF62" s="59" t="e">
        <f>SUM($D$61:CF61)</f>
        <v>#VALUE!</v>
      </c>
      <c r="CG62" s="59" t="e">
        <f>SUM($D$61:CG61)</f>
        <v>#VALUE!</v>
      </c>
      <c r="CH62" s="59" t="e">
        <f>SUM($D$61:CH61)</f>
        <v>#VALUE!</v>
      </c>
      <c r="CI62" s="59" t="e">
        <f>SUM($D$61:CI61)</f>
        <v>#VALUE!</v>
      </c>
      <c r="CJ62" s="59" t="e">
        <f>SUM($D$61:CJ61)</f>
        <v>#VALUE!</v>
      </c>
      <c r="CK62" s="59" t="e">
        <f>SUM($D$61:CK61)</f>
        <v>#VALUE!</v>
      </c>
      <c r="CL62" s="59" t="e">
        <f>SUM($D$61:CL61)</f>
        <v>#VALUE!</v>
      </c>
      <c r="CM62" s="59" t="e">
        <f>SUM($D$61:CM61)</f>
        <v>#VALUE!</v>
      </c>
      <c r="CN62" s="59" t="e">
        <f>SUM($D$61:CN61)</f>
        <v>#VALUE!</v>
      </c>
      <c r="CO62" s="59" t="e">
        <f>SUM($D$61:CO61)</f>
        <v>#VALUE!</v>
      </c>
      <c r="CP62" s="59" t="e">
        <f>SUM($D$61:CP61)</f>
        <v>#VALUE!</v>
      </c>
      <c r="CQ62" s="59" t="e">
        <f>SUM($D$61:CQ61)</f>
        <v>#VALUE!</v>
      </c>
      <c r="CR62" s="59" t="e">
        <f>SUM($D$61:CR61)</f>
        <v>#VALUE!</v>
      </c>
      <c r="CS62" s="59" t="e">
        <f>SUM($D$61:CS61)</f>
        <v>#VALUE!</v>
      </c>
      <c r="CT62" s="59" t="e">
        <f>SUM($D$61:CT61)</f>
        <v>#VALUE!</v>
      </c>
      <c r="CU62" s="59" t="e">
        <f>SUM($D$61:CU61)</f>
        <v>#VALUE!</v>
      </c>
      <c r="CV62" s="59" t="e">
        <f>SUM($D$61:CV61)</f>
        <v>#VALUE!</v>
      </c>
      <c r="CW62" s="59" t="e">
        <f>SUM($D$61:CW61)</f>
        <v>#VALUE!</v>
      </c>
      <c r="CX62" s="59" t="e">
        <f>SUM($D$61:CX61)</f>
        <v>#VALUE!</v>
      </c>
      <c r="CY62" s="59" t="e">
        <f>SUM($D$61:CY61)</f>
        <v>#VALUE!</v>
      </c>
      <c r="CZ62" s="59" t="e">
        <f>SUM($D$61:CZ61)</f>
        <v>#VALUE!</v>
      </c>
      <c r="DA62" s="59" t="e">
        <f>SUM($D$61:DA61)</f>
        <v>#VALUE!</v>
      </c>
      <c r="DB62" s="59" t="e">
        <f>SUM($D$61:DB61)</f>
        <v>#VALUE!</v>
      </c>
      <c r="DC62" s="59" t="e">
        <f>SUM($D$61:DC61)</f>
        <v>#VALUE!</v>
      </c>
      <c r="DD62" s="59" t="e">
        <f>SUM($D$61:DD61)</f>
        <v>#VALUE!</v>
      </c>
      <c r="DE62" s="59" t="e">
        <f>SUM($D$61:DE61)</f>
        <v>#VALUE!</v>
      </c>
      <c r="DF62" s="59" t="e">
        <f>SUM($D$61:DF61)</f>
        <v>#VALUE!</v>
      </c>
      <c r="DG62" s="59" t="e">
        <f>SUM($D$61:DG61)</f>
        <v>#VALUE!</v>
      </c>
      <c r="DH62" s="59" t="e">
        <f>SUM($D$61:DH61)</f>
        <v>#VALUE!</v>
      </c>
      <c r="DI62" s="59" t="e">
        <f>SUM($D$61:DI61)</f>
        <v>#VALUE!</v>
      </c>
      <c r="DJ62" s="59" t="e">
        <f>SUM($D$61:DJ61)</f>
        <v>#VALUE!</v>
      </c>
      <c r="DK62" s="59" t="e">
        <f>SUM($D$61:DK61)</f>
        <v>#VALUE!</v>
      </c>
      <c r="DL62" s="59" t="e">
        <f>SUM($D$61:DL61)</f>
        <v>#VALUE!</v>
      </c>
      <c r="DM62" s="59" t="e">
        <f>SUM($D$61:DM61)</f>
        <v>#VALUE!</v>
      </c>
      <c r="DN62" s="59" t="e">
        <f>SUM($D$61:DN61)</f>
        <v>#VALUE!</v>
      </c>
      <c r="DO62" s="59" t="e">
        <f>SUM($D$61:DO61)</f>
        <v>#VALUE!</v>
      </c>
      <c r="DP62" s="59" t="e">
        <f>SUM($D$61:DP61)</f>
        <v>#VALUE!</v>
      </c>
      <c r="DQ62" s="59" t="e">
        <f>SUM($D$61:DQ61)</f>
        <v>#VALUE!</v>
      </c>
      <c r="DR62" s="59" t="e">
        <f>SUM($D$61:DR61)</f>
        <v>#VALUE!</v>
      </c>
      <c r="DS62" s="59" t="e">
        <f>SUM($D$61:DS61)</f>
        <v>#VALUE!</v>
      </c>
      <c r="DT62" s="59" t="e">
        <f>SUM($D$61:DT61)</f>
        <v>#VALUE!</v>
      </c>
    </row>
    <row r="64" spans="2:124" x14ac:dyDescent="0.25">
      <c r="B64" s="50" t="s">
        <v>75</v>
      </c>
      <c r="C64" s="51"/>
    </row>
    <row r="65" spans="2:3" x14ac:dyDescent="0.25">
      <c r="B65" s="52" t="s">
        <v>61</v>
      </c>
      <c r="C65" s="53" t="e">
        <f ca="1">XIRR(D61:EF61,D6:EF6)</f>
        <v>#VALUE!</v>
      </c>
    </row>
    <row r="66" spans="2:3" x14ac:dyDescent="0.25">
      <c r="B66" s="52" t="s">
        <v>62</v>
      </c>
      <c r="C66" s="54" t="e">
        <f ca="1">+-SUMIF(D61:EF61,"&gt;0")/SUMIF(D61:EF61,"&lt;0")</f>
        <v>#DIV/0!</v>
      </c>
    </row>
    <row r="67" spans="2:3" x14ac:dyDescent="0.25">
      <c r="B67" s="52" t="s">
        <v>63</v>
      </c>
      <c r="C67" s="55" t="e">
        <f>SUM(D61:EF61)</f>
        <v>#VALUE!</v>
      </c>
    </row>
    <row r="68" spans="2:3" x14ac:dyDescent="0.25">
      <c r="B68" s="56" t="s">
        <v>64</v>
      </c>
      <c r="C68" s="57" t="e">
        <f>-MIN(D62:EF62)</f>
        <v>#VALUE!</v>
      </c>
    </row>
  </sheetData>
  <pageMargins left="0.7" right="0.7" top="0.75" bottom="0.75" header="0.3" footer="0.3"/>
  <pageSetup orientation="portrait" verticalDpi="0" r:id="rId1"/>
  <headerFooter>
    <oddFooter>&amp;C_x000D_&amp;1#&amp;"Aptos"&amp;10&amp;K000000 Barings-Public</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159CE-BCB2-458A-9AF7-C2E40D11DFB5}">
  <sheetPr>
    <tabColor theme="5"/>
    <pageSetUpPr fitToPage="1"/>
  </sheetPr>
  <dimension ref="B2:XFC69"/>
  <sheetViews>
    <sheetView showGridLines="0" zoomScaleNormal="100" zoomScaleSheetLayoutView="90" workbookViewId="0">
      <pane xSplit="3" ySplit="3" topLeftCell="D4" activePane="bottomRight" state="frozen"/>
      <selection pane="topRight" activeCell="G1" sqref="G1"/>
      <selection pane="bottomLeft" activeCell="A5" sqref="A5"/>
      <selection pane="bottomRight" activeCell="D4" sqref="D4"/>
    </sheetView>
  </sheetViews>
  <sheetFormatPr defaultColWidth="9" defaultRowHeight="15" x14ac:dyDescent="0.25"/>
  <cols>
    <col min="1" max="1" width="5.875" style="1" customWidth="1"/>
    <col min="2" max="2" width="27.5" style="1" bestFit="1" customWidth="1"/>
    <col min="3" max="13" width="10" style="1" bestFit="1" customWidth="1"/>
    <col min="14" max="58" width="10" bestFit="1" customWidth="1"/>
    <col min="59" max="61" width="8.875" bestFit="1" customWidth="1"/>
    <col min="62" max="122" width="9.5" bestFit="1" customWidth="1"/>
    <col min="16384" max="16384" width="9" style="1"/>
  </cols>
  <sheetData>
    <row r="2" spans="2:13" x14ac:dyDescent="0.25">
      <c r="B2" s="25" t="s">
        <v>27</v>
      </c>
      <c r="C2" s="24">
        <f ca="1">'Inputs &amp; Summary'!$D$20</f>
        <v>46174</v>
      </c>
      <c r="D2" s="24">
        <f ca="1">EOMONTH(C2,12)</f>
        <v>46568</v>
      </c>
      <c r="E2" s="24">
        <f t="shared" ref="E2:M2" ca="1" si="0">EOMONTH(D2,12)</f>
        <v>46934</v>
      </c>
      <c r="F2" s="24">
        <f t="shared" ca="1" si="0"/>
        <v>47299</v>
      </c>
      <c r="G2" s="24">
        <f t="shared" ca="1" si="0"/>
        <v>47664</v>
      </c>
      <c r="H2" s="24">
        <f t="shared" ca="1" si="0"/>
        <v>48029</v>
      </c>
      <c r="I2" s="24">
        <f t="shared" ca="1" si="0"/>
        <v>48395</v>
      </c>
      <c r="J2" s="24">
        <f t="shared" ca="1" si="0"/>
        <v>48760</v>
      </c>
      <c r="K2" s="24">
        <f t="shared" ca="1" si="0"/>
        <v>49125</v>
      </c>
      <c r="L2" s="24">
        <f t="shared" ca="1" si="0"/>
        <v>49490</v>
      </c>
      <c r="M2" s="24">
        <f t="shared" ca="1" si="0"/>
        <v>49856</v>
      </c>
    </row>
    <row r="3" spans="2:13" x14ac:dyDescent="0.25">
      <c r="B3" s="25" t="s">
        <v>26</v>
      </c>
      <c r="C3" s="23">
        <v>0</v>
      </c>
      <c r="D3" s="23">
        <f>C3+1</f>
        <v>1</v>
      </c>
      <c r="E3" s="23">
        <f t="shared" ref="E3:M3" si="1">D3+1</f>
        <v>2</v>
      </c>
      <c r="F3" s="23">
        <f t="shared" si="1"/>
        <v>3</v>
      </c>
      <c r="G3" s="23">
        <f t="shared" si="1"/>
        <v>4</v>
      </c>
      <c r="H3" s="23">
        <f t="shared" si="1"/>
        <v>5</v>
      </c>
      <c r="I3" s="23">
        <f t="shared" si="1"/>
        <v>6</v>
      </c>
      <c r="J3" s="23">
        <f t="shared" si="1"/>
        <v>7</v>
      </c>
      <c r="K3" s="23">
        <f t="shared" si="1"/>
        <v>8</v>
      </c>
      <c r="L3" s="23">
        <f t="shared" si="1"/>
        <v>9</v>
      </c>
      <c r="M3" s="23">
        <f t="shared" si="1"/>
        <v>10</v>
      </c>
    </row>
    <row r="4" spans="2:13" x14ac:dyDescent="0.25">
      <c r="B4" s="60" t="s">
        <v>29</v>
      </c>
      <c r="C4" s="61"/>
      <c r="D4" s="62"/>
      <c r="E4" s="62"/>
      <c r="F4" s="62"/>
      <c r="G4" s="62"/>
      <c r="H4" s="62"/>
      <c r="I4" s="62"/>
      <c r="J4" s="62"/>
      <c r="K4" s="62"/>
      <c r="L4" s="62"/>
      <c r="M4" s="62"/>
    </row>
    <row r="5" spans="2:13" x14ac:dyDescent="0.25">
      <c r="B5" s="28" t="str">
        <f>'Inputs &amp; Summary'!F4</f>
        <v>x bd + x ba</v>
      </c>
      <c r="C5" s="30"/>
      <c r="D5" s="73">
        <f>SUMIF('Monthly Proforma'!$E$7:$DT$7,D$3,'Monthly Proforma'!$E10:$DT10)</f>
        <v>0</v>
      </c>
      <c r="E5" s="73" t="e">
        <f>SUMIF('Monthly Proforma'!$E$7:$DT$7,E$3,'Monthly Proforma'!$E10:$DT10)</f>
        <v>#VALUE!</v>
      </c>
      <c r="F5" s="73" t="e">
        <f>SUMIF('Monthly Proforma'!$E$7:$DT$7,F$3,'Monthly Proforma'!$E10:$DT10)</f>
        <v>#VALUE!</v>
      </c>
      <c r="G5" s="73" t="e">
        <f>SUMIF('Monthly Proforma'!$E$7:$DT$7,G$3,'Monthly Proforma'!$E10:$DT10)</f>
        <v>#VALUE!</v>
      </c>
      <c r="H5" s="73" t="e">
        <f>SUMIF('Monthly Proforma'!$E$7:$DT$7,H$3,'Monthly Proforma'!$E10:$DT10)</f>
        <v>#VALUE!</v>
      </c>
      <c r="I5" s="73" t="e">
        <f>SUMIF('Monthly Proforma'!$E$7:$DT$7,I$3,'Monthly Proforma'!$E10:$DT10)</f>
        <v>#VALUE!</v>
      </c>
      <c r="J5" s="73" t="e">
        <f>SUMIF('Monthly Proforma'!$E$7:$DT$7,J$3,'Monthly Proforma'!$E10:$DT10)</f>
        <v>#VALUE!</v>
      </c>
      <c r="K5" s="73" t="e">
        <f>SUMIF('Monthly Proforma'!$E$7:$DT$7,K$3,'Monthly Proforma'!$E10:$DT10)</f>
        <v>#VALUE!</v>
      </c>
      <c r="L5" s="73" t="e">
        <f>SUMIF('Monthly Proforma'!$E$7:$DT$7,L$3,'Monthly Proforma'!$E10:$DT10)</f>
        <v>#VALUE!</v>
      </c>
      <c r="M5" s="73" t="e">
        <f>SUMIF('Monthly Proforma'!$E$7:$DT$7,M$3,'Monthly Proforma'!$E10:$DT10)</f>
        <v>#VALUE!</v>
      </c>
    </row>
    <row r="6" spans="2:13" s="6" customFormat="1" x14ac:dyDescent="0.25">
      <c r="B6" s="100" t="s">
        <v>28</v>
      </c>
      <c r="C6" s="101"/>
      <c r="D6" s="102">
        <f t="shared" ref="D6:M6" si="2">SUM(D5:D5)</f>
        <v>0</v>
      </c>
      <c r="E6" s="102" t="e">
        <f>SUM(E5:E5)</f>
        <v>#VALUE!</v>
      </c>
      <c r="F6" s="102" t="e">
        <f t="shared" si="2"/>
        <v>#VALUE!</v>
      </c>
      <c r="G6" s="102" t="e">
        <f t="shared" si="2"/>
        <v>#VALUE!</v>
      </c>
      <c r="H6" s="102" t="e">
        <f t="shared" si="2"/>
        <v>#VALUE!</v>
      </c>
      <c r="I6" s="102" t="e">
        <f t="shared" si="2"/>
        <v>#VALUE!</v>
      </c>
      <c r="J6" s="102" t="e">
        <f t="shared" si="2"/>
        <v>#VALUE!</v>
      </c>
      <c r="K6" s="102" t="e">
        <f t="shared" si="2"/>
        <v>#VALUE!</v>
      </c>
      <c r="L6" s="102" t="e">
        <f t="shared" si="2"/>
        <v>#VALUE!</v>
      </c>
      <c r="M6" s="102" t="e">
        <f t="shared" si="2"/>
        <v>#VALUE!</v>
      </c>
    </row>
    <row r="7" spans="2:13" s="6" customFormat="1" x14ac:dyDescent="0.25">
      <c r="B7" s="6" t="s">
        <v>12</v>
      </c>
      <c r="C7" s="33"/>
      <c r="D7" s="10">
        <f>SUM(D6:D6)</f>
        <v>0</v>
      </c>
      <c r="E7" s="10" t="e">
        <f>SUM(E6:E6)</f>
        <v>#VALUE!</v>
      </c>
      <c r="F7" s="10" t="e">
        <f t="shared" ref="F7:M7" si="3">SUM(F6:F6)</f>
        <v>#VALUE!</v>
      </c>
      <c r="G7" s="10" t="e">
        <f t="shared" si="3"/>
        <v>#VALUE!</v>
      </c>
      <c r="H7" s="10" t="e">
        <f t="shared" si="3"/>
        <v>#VALUE!</v>
      </c>
      <c r="I7" s="10" t="e">
        <f t="shared" si="3"/>
        <v>#VALUE!</v>
      </c>
      <c r="J7" s="10" t="e">
        <f t="shared" si="3"/>
        <v>#VALUE!</v>
      </c>
      <c r="K7" s="10" t="e">
        <f t="shared" si="3"/>
        <v>#VALUE!</v>
      </c>
      <c r="L7" s="10" t="e">
        <f t="shared" si="3"/>
        <v>#VALUE!</v>
      </c>
      <c r="M7" s="10" t="e">
        <f t="shared" si="3"/>
        <v>#VALUE!</v>
      </c>
    </row>
    <row r="8" spans="2:13" x14ac:dyDescent="0.25">
      <c r="B8" s="1" t="s">
        <v>6</v>
      </c>
      <c r="C8" s="39">
        <f>'Monthly Proforma'!D13</f>
        <v>-0.05</v>
      </c>
      <c r="D8" s="13">
        <f>SUMIF('Monthly Proforma'!$E$7:$DT$7,D$3,'Monthly Proforma'!$E13:$DT13)</f>
        <v>0</v>
      </c>
      <c r="E8" s="13" t="e">
        <f>SUMIF('Monthly Proforma'!$E$7:$DT$7,E$3,'Monthly Proforma'!$E13:$DT13)</f>
        <v>#VALUE!</v>
      </c>
      <c r="F8" s="13" t="e">
        <f>SUMIF('Monthly Proforma'!$E$7:$DT$7,F$3,'Monthly Proforma'!$E13:$DT13)</f>
        <v>#VALUE!</v>
      </c>
      <c r="G8" s="13" t="e">
        <f>SUMIF('Monthly Proforma'!$E$7:$DT$7,G$3,'Monthly Proforma'!$E13:$DT13)</f>
        <v>#VALUE!</v>
      </c>
      <c r="H8" s="13" t="e">
        <f>SUMIF('Monthly Proforma'!$E$7:$DT$7,H$3,'Monthly Proforma'!$E13:$DT13)</f>
        <v>#VALUE!</v>
      </c>
      <c r="I8" s="13" t="e">
        <f>SUMIF('Monthly Proforma'!$E$7:$DT$7,I$3,'Monthly Proforma'!$E13:$DT13)</f>
        <v>#VALUE!</v>
      </c>
      <c r="J8" s="13" t="e">
        <f>SUMIF('Monthly Proforma'!$E$7:$DT$7,J$3,'Monthly Proforma'!$E13:$DT13)</f>
        <v>#VALUE!</v>
      </c>
      <c r="K8" s="13" t="e">
        <f>SUMIF('Monthly Proforma'!$E$7:$DT$7,K$3,'Monthly Proforma'!$E13:$DT13)</f>
        <v>#VALUE!</v>
      </c>
      <c r="L8" s="13" t="e">
        <f>SUMIF('Monthly Proforma'!$E$7:$DT$7,L$3,'Monthly Proforma'!$E13:$DT13)</f>
        <v>#VALUE!</v>
      </c>
      <c r="M8" s="13" t="e">
        <f>SUMIF('Monthly Proforma'!$E$7:$DT$7,M$3,'Monthly Proforma'!$E13:$DT13)</f>
        <v>#VALUE!</v>
      </c>
    </row>
    <row r="9" spans="2:13" x14ac:dyDescent="0.25">
      <c r="B9" s="1" t="s">
        <v>9</v>
      </c>
      <c r="C9" s="40" t="e">
        <f>'Monthly Proforma'!D14</f>
        <v>#VALUE!</v>
      </c>
      <c r="D9" s="36" t="e">
        <f>SUMIF('Monthly Proforma'!$E$7:$DT$7,D$3,'Monthly Proforma'!$E14:$DT14)</f>
        <v>#VALUE!</v>
      </c>
      <c r="E9" s="36" t="e">
        <f>SUMIF('Monthly Proforma'!$E$7:$DT$7,E$3,'Monthly Proforma'!$E14:$DT14)</f>
        <v>#VALUE!</v>
      </c>
      <c r="F9" s="36" t="e">
        <f>SUMIF('Monthly Proforma'!$E$7:$DT$7,F$3,'Monthly Proforma'!$E14:$DT14)</f>
        <v>#VALUE!</v>
      </c>
      <c r="G9" s="36" t="e">
        <f>SUMIF('Monthly Proforma'!$E$7:$DT$7,G$3,'Monthly Proforma'!$E14:$DT14)</f>
        <v>#VALUE!</v>
      </c>
      <c r="H9" s="36" t="e">
        <f>SUMIF('Monthly Proforma'!$E$7:$DT$7,H$3,'Monthly Proforma'!$E14:$DT14)</f>
        <v>#VALUE!</v>
      </c>
      <c r="I9" s="36" t="e">
        <f>SUMIF('Monthly Proforma'!$E$7:$DT$7,I$3,'Monthly Proforma'!$E14:$DT14)</f>
        <v>#VALUE!</v>
      </c>
      <c r="J9" s="36" t="e">
        <f>SUMIF('Monthly Proforma'!$E$7:$DT$7,J$3,'Monthly Proforma'!$E14:$DT14)</f>
        <v>#VALUE!</v>
      </c>
      <c r="K9" s="36" t="e">
        <f>SUMIF('Monthly Proforma'!$E$7:$DT$7,K$3,'Monthly Proforma'!$E14:$DT14)</f>
        <v>#VALUE!</v>
      </c>
      <c r="L9" s="36" t="e">
        <f>SUMIF('Monthly Proforma'!$E$7:$DT$7,L$3,'Monthly Proforma'!$E14:$DT14)</f>
        <v>#VALUE!</v>
      </c>
      <c r="M9" s="36" t="e">
        <f>SUMIF('Monthly Proforma'!$E$7:$DT$7,M$3,'Monthly Proforma'!$E14:$DT14)</f>
        <v>#VALUE!</v>
      </c>
    </row>
    <row r="10" spans="2:13" s="6" customFormat="1" x14ac:dyDescent="0.25">
      <c r="B10" s="14" t="s">
        <v>11</v>
      </c>
      <c r="C10" s="38"/>
      <c r="D10" s="15" t="e">
        <f>SUM(D7:D9)</f>
        <v>#VALUE!</v>
      </c>
      <c r="E10" s="15" t="e">
        <f t="shared" ref="E10:M10" si="4">SUM(E7:E9)</f>
        <v>#VALUE!</v>
      </c>
      <c r="F10" s="15" t="e">
        <f t="shared" si="4"/>
        <v>#VALUE!</v>
      </c>
      <c r="G10" s="15" t="e">
        <f t="shared" si="4"/>
        <v>#VALUE!</v>
      </c>
      <c r="H10" s="15" t="e">
        <f t="shared" si="4"/>
        <v>#VALUE!</v>
      </c>
      <c r="I10" s="15" t="e">
        <f t="shared" si="4"/>
        <v>#VALUE!</v>
      </c>
      <c r="J10" s="15" t="e">
        <f t="shared" si="4"/>
        <v>#VALUE!</v>
      </c>
      <c r="K10" s="15" t="e">
        <f t="shared" si="4"/>
        <v>#VALUE!</v>
      </c>
      <c r="L10" s="15" t="e">
        <f t="shared" si="4"/>
        <v>#VALUE!</v>
      </c>
      <c r="M10" s="15" t="e">
        <f t="shared" si="4"/>
        <v>#VALUE!</v>
      </c>
    </row>
    <row r="11" spans="2:13" x14ac:dyDescent="0.25">
      <c r="B11" s="1" t="s">
        <v>115</v>
      </c>
      <c r="C11" s="41" t="str">
        <f>'Monthly Proforma'!D16</f>
        <v>n/a</v>
      </c>
      <c r="D11" s="13" t="e">
        <f ca="1">SUMIF('Monthly Proforma'!$E$7:$DT$7,D$3,'Monthly Proforma'!$E16:$DT16)</f>
        <v>#VALUE!</v>
      </c>
      <c r="E11" s="13">
        <f ca="1">SUMIF('Monthly Proforma'!$E$7:$DT$7,E$3,'Monthly Proforma'!$E16:$DT16)</f>
        <v>0</v>
      </c>
      <c r="F11" s="13">
        <f ca="1">SUMIF('Monthly Proforma'!$E$7:$DT$7,F$3,'Monthly Proforma'!$E16:$DT16)</f>
        <v>0</v>
      </c>
      <c r="G11" s="13">
        <f ca="1">SUMIF('Monthly Proforma'!$E$7:$DT$7,G$3,'Monthly Proforma'!$E16:$DT16)</f>
        <v>0</v>
      </c>
      <c r="H11" s="13">
        <f ca="1">SUMIF('Monthly Proforma'!$E$7:$DT$7,H$3,'Monthly Proforma'!$E16:$DT16)</f>
        <v>0</v>
      </c>
      <c r="I11" s="13">
        <f ca="1">SUMIF('Monthly Proforma'!$E$7:$DT$7,I$3,'Monthly Proforma'!$E16:$DT16)</f>
        <v>0</v>
      </c>
      <c r="J11" s="13">
        <f ca="1">SUMIF('Monthly Proforma'!$E$7:$DT$7,J$3,'Monthly Proforma'!$E16:$DT16)</f>
        <v>0</v>
      </c>
      <c r="K11" s="13">
        <f ca="1">SUMIF('Monthly Proforma'!$E$7:$DT$7,K$3,'Monthly Proforma'!$E16:$DT16)</f>
        <v>0</v>
      </c>
      <c r="L11" s="13">
        <f ca="1">SUMIF('Monthly Proforma'!$E$7:$DT$7,L$3,'Monthly Proforma'!$E16:$DT16)</f>
        <v>0</v>
      </c>
      <c r="M11" s="13">
        <f ca="1">SUMIF('Monthly Proforma'!$E$7:$DT$7,M$3,'Monthly Proforma'!$E16:$DT16)</f>
        <v>0</v>
      </c>
    </row>
    <row r="12" spans="2:13" x14ac:dyDescent="0.25">
      <c r="B12" s="1" t="s">
        <v>14</v>
      </c>
      <c r="C12" s="41" t="str">
        <f ca="1">'Monthly Proforma'!D17</f>
        <v>n/a</v>
      </c>
      <c r="D12" s="13">
        <f ca="1">SUMIF('Monthly Proforma'!$E$7:$DT$7,D$3,'Monthly Proforma'!$E17:$DT17)</f>
        <v>0</v>
      </c>
      <c r="E12" s="13" t="e">
        <f ca="1">SUMIF('Monthly Proforma'!$E$7:$DT$7,E$3,'Monthly Proforma'!$E17:$DT17)</f>
        <v>#VALUE!</v>
      </c>
      <c r="F12" s="13" t="e">
        <f ca="1">SUMIF('Monthly Proforma'!$E$7:$DT$7,F$3,'Monthly Proforma'!$E17:$DT17)</f>
        <v>#VALUE!</v>
      </c>
      <c r="G12" s="13" t="e">
        <f ca="1">SUMIF('Monthly Proforma'!$E$7:$DT$7,G$3,'Monthly Proforma'!$E17:$DT17)</f>
        <v>#VALUE!</v>
      </c>
      <c r="H12" s="13" t="e">
        <f ca="1">SUMIF('Monthly Proforma'!$E$7:$DT$7,H$3,'Monthly Proforma'!$E17:$DT17)</f>
        <v>#VALUE!</v>
      </c>
      <c r="I12" s="13" t="e">
        <f ca="1">SUMIF('Monthly Proforma'!$E$7:$DT$7,I$3,'Monthly Proforma'!$E17:$DT17)</f>
        <v>#VALUE!</v>
      </c>
      <c r="J12" s="13" t="e">
        <f ca="1">SUMIF('Monthly Proforma'!$E$7:$DT$7,J$3,'Monthly Proforma'!$E17:$DT17)</f>
        <v>#VALUE!</v>
      </c>
      <c r="K12" s="13" t="e">
        <f ca="1">SUMIF('Monthly Proforma'!$E$7:$DT$7,K$3,'Monthly Proforma'!$E17:$DT17)</f>
        <v>#VALUE!</v>
      </c>
      <c r="L12" s="13" t="e">
        <f ca="1">SUMIF('Monthly Proforma'!$E$7:$DT$7,L$3,'Monthly Proforma'!$E17:$DT17)</f>
        <v>#VALUE!</v>
      </c>
      <c r="M12" s="13" t="e">
        <f ca="1">SUMIF('Monthly Proforma'!$E$7:$DT$7,M$3,'Monthly Proforma'!$E17:$DT17)</f>
        <v>#VALUE!</v>
      </c>
    </row>
    <row r="13" spans="2:13" x14ac:dyDescent="0.25">
      <c r="B13" s="1" t="s">
        <v>15</v>
      </c>
      <c r="C13" s="39">
        <f>'Monthly Proforma'!D18</f>
        <v>-0.08</v>
      </c>
      <c r="D13" s="13" t="e">
        <f>SUMIF('Monthly Proforma'!$E$7:$DT$7,D$3,'Monthly Proforma'!$E18:$DT18)</f>
        <v>#VALUE!</v>
      </c>
      <c r="E13" s="13" t="e">
        <f>SUMIF('Monthly Proforma'!$E$7:$DT$7,E$3,'Monthly Proforma'!$E18:$DT18)</f>
        <v>#VALUE!</v>
      </c>
      <c r="F13" s="13" t="e">
        <f>SUMIF('Monthly Proforma'!$E$7:$DT$7,F$3,'Monthly Proforma'!$E18:$DT18)</f>
        <v>#VALUE!</v>
      </c>
      <c r="G13" s="13" t="e">
        <f>SUMIF('Monthly Proforma'!$E$7:$DT$7,G$3,'Monthly Proforma'!$E18:$DT18)</f>
        <v>#VALUE!</v>
      </c>
      <c r="H13" s="13" t="e">
        <f>SUMIF('Monthly Proforma'!$E$7:$DT$7,H$3,'Monthly Proforma'!$E18:$DT18)</f>
        <v>#VALUE!</v>
      </c>
      <c r="I13" s="13" t="e">
        <f>SUMIF('Monthly Proforma'!$E$7:$DT$7,I$3,'Monthly Proforma'!$E18:$DT18)</f>
        <v>#VALUE!</v>
      </c>
      <c r="J13" s="13" t="e">
        <f>SUMIF('Monthly Proforma'!$E$7:$DT$7,J$3,'Monthly Proforma'!$E18:$DT18)</f>
        <v>#VALUE!</v>
      </c>
      <c r="K13" s="13" t="e">
        <f>SUMIF('Monthly Proforma'!$E$7:$DT$7,K$3,'Monthly Proforma'!$E18:$DT18)</f>
        <v>#VALUE!</v>
      </c>
      <c r="L13" s="13" t="e">
        <f>SUMIF('Monthly Proforma'!$E$7:$DT$7,L$3,'Monthly Proforma'!$E18:$DT18)</f>
        <v>#VALUE!</v>
      </c>
      <c r="M13" s="13" t="e">
        <f>SUMIF('Monthly Proforma'!$E$7:$DT$7,M$3,'Monthly Proforma'!$E18:$DT18)</f>
        <v>#VALUE!</v>
      </c>
    </row>
    <row r="14" spans="2:13" x14ac:dyDescent="0.25">
      <c r="B14" s="1" t="s">
        <v>132</v>
      </c>
      <c r="C14" s="41">
        <f>'Monthly Proforma'!D19</f>
        <v>0</v>
      </c>
      <c r="D14" s="13">
        <f ca="1">SUMIF('Monthly Proforma'!$E$7:$DT$7,D$3,'Monthly Proforma'!$E19:$DT19)</f>
        <v>0</v>
      </c>
      <c r="E14" s="13">
        <f ca="1">SUMIF('Monthly Proforma'!$E$7:$DT$7,E$3,'Monthly Proforma'!$E19:$DT19)</f>
        <v>0</v>
      </c>
      <c r="F14" s="13">
        <f ca="1">SUMIF('Monthly Proforma'!$E$7:$DT$7,F$3,'Monthly Proforma'!$E19:$DT19)</f>
        <v>0</v>
      </c>
      <c r="G14" s="13">
        <f ca="1">SUMIF('Monthly Proforma'!$E$7:$DT$7,G$3,'Monthly Proforma'!$E19:$DT19)</f>
        <v>0</v>
      </c>
      <c r="H14" s="13">
        <f ca="1">SUMIF('Monthly Proforma'!$E$7:$DT$7,H$3,'Monthly Proforma'!$E19:$DT19)</f>
        <v>0</v>
      </c>
      <c r="I14" s="13">
        <f ca="1">SUMIF('Monthly Proforma'!$E$7:$DT$7,I$3,'Monthly Proforma'!$E19:$DT19)</f>
        <v>0</v>
      </c>
      <c r="J14" s="13">
        <f ca="1">SUMIF('Monthly Proforma'!$E$7:$DT$7,J$3,'Monthly Proforma'!$E19:$DT19)</f>
        <v>0</v>
      </c>
      <c r="K14" s="13">
        <f ca="1">SUMIF('Monthly Proforma'!$E$7:$DT$7,K$3,'Monthly Proforma'!$E19:$DT19)</f>
        <v>0</v>
      </c>
      <c r="L14" s="13">
        <f ca="1">SUMIF('Monthly Proforma'!$E$7:$DT$7,L$3,'Monthly Proforma'!$E19:$DT19)</f>
        <v>0</v>
      </c>
      <c r="M14" s="13">
        <f ca="1">SUMIF('Monthly Proforma'!$E$7:$DT$7,M$3,'Monthly Proforma'!$E19:$DT19)</f>
        <v>0</v>
      </c>
    </row>
    <row r="15" spans="2:13" x14ac:dyDescent="0.25">
      <c r="B15" s="1" t="s">
        <v>85</v>
      </c>
      <c r="C15" s="41" t="str">
        <f>'Monthly Proforma'!D20</f>
        <v>n/a</v>
      </c>
      <c r="D15" s="13" t="e">
        <f>SUMIF('Monthly Proforma'!$E$7:$DT$7,D$3,'Monthly Proforma'!$E20:$DT20)</f>
        <v>#VALUE!</v>
      </c>
      <c r="E15" s="13" t="e">
        <f>SUMIF('Monthly Proforma'!$E$7:$DT$7,E$3,'Monthly Proforma'!$E20:$DT20)</f>
        <v>#VALUE!</v>
      </c>
      <c r="F15" s="13" t="e">
        <f>SUMIF('Monthly Proforma'!$E$7:$DT$7,F$3,'Monthly Proforma'!$E20:$DT20)</f>
        <v>#VALUE!</v>
      </c>
      <c r="G15" s="13" t="e">
        <f>SUMIF('Monthly Proforma'!$E$7:$DT$7,G$3,'Monthly Proforma'!$E20:$DT20)</f>
        <v>#VALUE!</v>
      </c>
      <c r="H15" s="13" t="e">
        <f>SUMIF('Monthly Proforma'!$E$7:$DT$7,H$3,'Monthly Proforma'!$E20:$DT20)</f>
        <v>#VALUE!</v>
      </c>
      <c r="I15" s="13" t="e">
        <f>SUMIF('Monthly Proforma'!$E$7:$DT$7,I$3,'Monthly Proforma'!$E20:$DT20)</f>
        <v>#VALUE!</v>
      </c>
      <c r="J15" s="13" t="e">
        <f>SUMIF('Monthly Proforma'!$E$7:$DT$7,J$3,'Monthly Proforma'!$E20:$DT20)</f>
        <v>#VALUE!</v>
      </c>
      <c r="K15" s="13" t="e">
        <f>SUMIF('Monthly Proforma'!$E$7:$DT$7,K$3,'Monthly Proforma'!$E20:$DT20)</f>
        <v>#VALUE!</v>
      </c>
      <c r="L15" s="13" t="e">
        <f>SUMIF('Monthly Proforma'!$E$7:$DT$7,L$3,'Monthly Proforma'!$E20:$DT20)</f>
        <v>#VALUE!</v>
      </c>
      <c r="M15" s="13" t="e">
        <f>SUMIF('Monthly Proforma'!$E$7:$DT$7,M$3,'Monthly Proforma'!$E20:$DT20)</f>
        <v>#VALUE!</v>
      </c>
    </row>
    <row r="16" spans="2:13" x14ac:dyDescent="0.25">
      <c r="B16" s="1" t="s">
        <v>203</v>
      </c>
      <c r="C16" s="42">
        <f>'Monthly Proforma'!D21</f>
        <v>0</v>
      </c>
      <c r="D16" s="36">
        <f ca="1">SUMIF('Monthly Proforma'!$E$7:$DT$7,D$3,'Monthly Proforma'!$E21:$DT21)</f>
        <v>0</v>
      </c>
      <c r="E16" s="36">
        <f ca="1">SUMIF('Monthly Proforma'!$E$7:$DT$7,E$3,'Monthly Proforma'!$E21:$DT21)</f>
        <v>0</v>
      </c>
      <c r="F16" s="36">
        <f ca="1">SUMIF('Monthly Proforma'!$E$7:$DT$7,F$3,'Monthly Proforma'!$E21:$DT21)</f>
        <v>0</v>
      </c>
      <c r="G16" s="36">
        <f ca="1">SUMIF('Monthly Proforma'!$E$7:$DT$7,G$3,'Monthly Proforma'!$E21:$DT21)</f>
        <v>0</v>
      </c>
      <c r="H16" s="36">
        <f ca="1">SUMIF('Monthly Proforma'!$E$7:$DT$7,H$3,'Monthly Proforma'!$E21:$DT21)</f>
        <v>0</v>
      </c>
      <c r="I16" s="36">
        <f ca="1">SUMIF('Monthly Proforma'!$E$7:$DT$7,I$3,'Monthly Proforma'!$E21:$DT21)</f>
        <v>0</v>
      </c>
      <c r="J16" s="36">
        <f ca="1">SUMIF('Monthly Proforma'!$E$7:$DT$7,J$3,'Monthly Proforma'!$E21:$DT21)</f>
        <v>0</v>
      </c>
      <c r="K16" s="36">
        <f ca="1">SUMIF('Monthly Proforma'!$E$7:$DT$7,K$3,'Monthly Proforma'!$E21:$DT21)</f>
        <v>0</v>
      </c>
      <c r="L16" s="36">
        <f ca="1">SUMIF('Monthly Proforma'!$E$7:$DT$7,L$3,'Monthly Proforma'!$E21:$DT21)</f>
        <v>0</v>
      </c>
      <c r="M16" s="36">
        <f ca="1">SUMIF('Monthly Proforma'!$E$7:$DT$7,M$3,'Monthly Proforma'!$E21:$DT21)</f>
        <v>0</v>
      </c>
    </row>
    <row r="17" spans="2:13" x14ac:dyDescent="0.25">
      <c r="B17" s="14" t="s">
        <v>16</v>
      </c>
      <c r="C17" s="31"/>
      <c r="D17" s="43" t="e">
        <f>SUM(D10:D16)</f>
        <v>#VALUE!</v>
      </c>
      <c r="E17" s="43" t="e">
        <f t="shared" ref="E17:M17" si="5">SUM(E10:E16)</f>
        <v>#VALUE!</v>
      </c>
      <c r="F17" s="43" t="e">
        <f t="shared" si="5"/>
        <v>#VALUE!</v>
      </c>
      <c r="G17" s="43" t="e">
        <f t="shared" si="5"/>
        <v>#VALUE!</v>
      </c>
      <c r="H17" s="43" t="e">
        <f t="shared" si="5"/>
        <v>#VALUE!</v>
      </c>
      <c r="I17" s="43" t="e">
        <f t="shared" si="5"/>
        <v>#VALUE!</v>
      </c>
      <c r="J17" s="43" t="e">
        <f t="shared" si="5"/>
        <v>#VALUE!</v>
      </c>
      <c r="K17" s="43" t="e">
        <f t="shared" si="5"/>
        <v>#VALUE!</v>
      </c>
      <c r="L17" s="43" t="e">
        <f t="shared" si="5"/>
        <v>#VALUE!</v>
      </c>
      <c r="M17" s="43" t="e">
        <f t="shared" si="5"/>
        <v>#VALUE!</v>
      </c>
    </row>
    <row r="18" spans="2:13" x14ac:dyDescent="0.25">
      <c r="B18" s="44" t="s">
        <v>32</v>
      </c>
      <c r="C18" s="31"/>
      <c r="D18" s="45" t="e">
        <f>D17/D7</f>
        <v>#VALUE!</v>
      </c>
      <c r="E18" s="45" t="e">
        <f t="shared" ref="E18:M18" si="6">E17/E7</f>
        <v>#VALUE!</v>
      </c>
      <c r="F18" s="45" t="e">
        <f t="shared" si="6"/>
        <v>#VALUE!</v>
      </c>
      <c r="G18" s="45" t="e">
        <f t="shared" si="6"/>
        <v>#VALUE!</v>
      </c>
      <c r="H18" s="45" t="e">
        <f t="shared" si="6"/>
        <v>#VALUE!</v>
      </c>
      <c r="I18" s="45" t="e">
        <f t="shared" si="6"/>
        <v>#VALUE!</v>
      </c>
      <c r="J18" s="45" t="e">
        <f t="shared" si="6"/>
        <v>#VALUE!</v>
      </c>
      <c r="K18" s="45" t="e">
        <f t="shared" si="6"/>
        <v>#VALUE!</v>
      </c>
      <c r="L18" s="45" t="e">
        <f t="shared" si="6"/>
        <v>#VALUE!</v>
      </c>
      <c r="M18" s="45" t="e">
        <f t="shared" si="6"/>
        <v>#VALUE!</v>
      </c>
    </row>
    <row r="19" spans="2:13" ht="15.75" customHeight="1" x14ac:dyDescent="0.25">
      <c r="B19" s="44" t="s">
        <v>82</v>
      </c>
      <c r="C19" s="31"/>
      <c r="D19" s="45"/>
      <c r="E19" s="45" t="e">
        <f>E17/D17-1</f>
        <v>#VALUE!</v>
      </c>
      <c r="F19" s="45" t="e">
        <f t="shared" ref="F19:M19" si="7">F17/E17-1</f>
        <v>#VALUE!</v>
      </c>
      <c r="G19" s="45" t="e">
        <f t="shared" si="7"/>
        <v>#VALUE!</v>
      </c>
      <c r="H19" s="45" t="e">
        <f t="shared" si="7"/>
        <v>#VALUE!</v>
      </c>
      <c r="I19" s="45" t="e">
        <f t="shared" si="7"/>
        <v>#VALUE!</v>
      </c>
      <c r="J19" s="45" t="e">
        <f t="shared" si="7"/>
        <v>#VALUE!</v>
      </c>
      <c r="K19" s="45" t="e">
        <f t="shared" si="7"/>
        <v>#VALUE!</v>
      </c>
      <c r="L19" s="45" t="e">
        <f t="shared" si="7"/>
        <v>#VALUE!</v>
      </c>
      <c r="M19" s="45" t="e">
        <f t="shared" si="7"/>
        <v>#VALUE!</v>
      </c>
    </row>
    <row r="20" spans="2:13" ht="15.75" customHeight="1" x14ac:dyDescent="0.25">
      <c r="B20" s="44" t="s">
        <v>84</v>
      </c>
      <c r="C20" s="31"/>
      <c r="D20" s="45" t="e">
        <f>(D17/-$C$31)*(D$3&lt;='Inputs &amp; Summary'!$O$4)</f>
        <v>#VALUE!</v>
      </c>
      <c r="E20" s="45" t="e">
        <f>(E17/-$C$31)*(E$3&lt;='Inputs &amp; Summary'!$O$4)</f>
        <v>#VALUE!</v>
      </c>
      <c r="F20" s="45" t="e">
        <f>(F17/-$C$31)*(F$3&lt;='Inputs &amp; Summary'!$O$4)</f>
        <v>#VALUE!</v>
      </c>
      <c r="G20" s="45" t="e">
        <f>(G17/-$C$31)*(G$3&lt;='Inputs &amp; Summary'!$O$4)</f>
        <v>#VALUE!</v>
      </c>
      <c r="H20" s="45" t="e">
        <f>(H17/-$C$31)*(H$3&lt;='Inputs &amp; Summary'!$O$4)</f>
        <v>#VALUE!</v>
      </c>
      <c r="I20" s="45" t="e">
        <f>(I17/-$C$31)*(I$3&lt;='Inputs &amp; Summary'!$O$4)</f>
        <v>#VALUE!</v>
      </c>
      <c r="J20" s="45" t="e">
        <f>(J17/-$C$31)*(J$3&lt;='Inputs &amp; Summary'!$O$4)</f>
        <v>#VALUE!</v>
      </c>
      <c r="K20" s="45" t="e">
        <f>(K17/-$C$31)*(K$3&lt;='Inputs &amp; Summary'!$O$4)</f>
        <v>#VALUE!</v>
      </c>
      <c r="L20" s="45" t="e">
        <f>(L17/-$C$31)*(L$3&lt;='Inputs &amp; Summary'!$O$4)</f>
        <v>#VALUE!</v>
      </c>
      <c r="M20" s="45" t="e">
        <f>(M17/-$C$31)*(M$3&lt;='Inputs &amp; Summary'!$O$4)</f>
        <v>#VALUE!</v>
      </c>
    </row>
    <row r="21" spans="2:13" x14ac:dyDescent="0.25">
      <c r="B21" s="1" t="s">
        <v>19</v>
      </c>
      <c r="C21" s="42" t="str">
        <f>'Monthly Proforma'!D24</f>
        <v>n/a</v>
      </c>
      <c r="D21" s="36" t="e">
        <f>SUMIF('Monthly Proforma'!$E$7:$DT$7,D$3,'Monthly Proforma'!$E24:$DT24)</f>
        <v>#VALUE!</v>
      </c>
      <c r="E21" s="36" t="e">
        <f>SUMIF('Monthly Proforma'!$E$7:$DT$7,E$3,'Monthly Proforma'!$E24:$DT24)</f>
        <v>#VALUE!</v>
      </c>
      <c r="F21" s="36" t="e">
        <f>SUMIF('Monthly Proforma'!$E$7:$DT$7,F$3,'Monthly Proforma'!$E24:$DT24)</f>
        <v>#VALUE!</v>
      </c>
      <c r="G21" s="36" t="e">
        <f>SUMIF('Monthly Proforma'!$E$7:$DT$7,G$3,'Monthly Proforma'!$E24:$DT24)</f>
        <v>#VALUE!</v>
      </c>
      <c r="H21" s="36" t="e">
        <f>SUMIF('Monthly Proforma'!$E$7:$DT$7,H$3,'Monthly Proforma'!$E24:$DT24)</f>
        <v>#VALUE!</v>
      </c>
      <c r="I21" s="36" t="e">
        <f>SUMIF('Monthly Proforma'!$E$7:$DT$7,I$3,'Monthly Proforma'!$E24:$DT24)</f>
        <v>#VALUE!</v>
      </c>
      <c r="J21" s="36" t="e">
        <f>SUMIF('Monthly Proforma'!$E$7:$DT$7,J$3,'Monthly Proforma'!$E24:$DT24)</f>
        <v>#VALUE!</v>
      </c>
      <c r="K21" s="36" t="e">
        <f>SUMIF('Monthly Proforma'!$E$7:$DT$7,K$3,'Monthly Proforma'!$E24:$DT24)</f>
        <v>#VALUE!</v>
      </c>
      <c r="L21" s="36" t="e">
        <f>SUMIF('Monthly Proforma'!$E$7:$DT$7,L$3,'Monthly Proforma'!$E24:$DT24)</f>
        <v>#VALUE!</v>
      </c>
      <c r="M21" s="36" t="e">
        <f>SUMIF('Monthly Proforma'!$E$7:$DT$7,M$3,'Monthly Proforma'!$E24:$DT24)</f>
        <v>#VALUE!</v>
      </c>
    </row>
    <row r="22" spans="2:13" x14ac:dyDescent="0.25">
      <c r="B22" s="14" t="s">
        <v>78</v>
      </c>
      <c r="C22" s="31"/>
      <c r="D22" s="43" t="e">
        <f>D17+D21</f>
        <v>#VALUE!</v>
      </c>
      <c r="E22" s="43" t="e">
        <f t="shared" ref="E22:M22" si="8">E17+E21</f>
        <v>#VALUE!</v>
      </c>
      <c r="F22" s="43" t="e">
        <f t="shared" si="8"/>
        <v>#VALUE!</v>
      </c>
      <c r="G22" s="43" t="e">
        <f t="shared" si="8"/>
        <v>#VALUE!</v>
      </c>
      <c r="H22" s="43" t="e">
        <f t="shared" si="8"/>
        <v>#VALUE!</v>
      </c>
      <c r="I22" s="43" t="e">
        <f t="shared" si="8"/>
        <v>#VALUE!</v>
      </c>
      <c r="J22" s="43" t="e">
        <f t="shared" si="8"/>
        <v>#VALUE!</v>
      </c>
      <c r="K22" s="43" t="e">
        <f t="shared" si="8"/>
        <v>#VALUE!</v>
      </c>
      <c r="L22" s="43" t="e">
        <f t="shared" si="8"/>
        <v>#VALUE!</v>
      </c>
      <c r="M22" s="43" t="e">
        <f t="shared" si="8"/>
        <v>#VALUE!</v>
      </c>
    </row>
    <row r="23" spans="2:13" x14ac:dyDescent="0.25">
      <c r="B23" s="44" t="s">
        <v>21</v>
      </c>
      <c r="C23" s="31"/>
      <c r="D23" s="120" t="e">
        <f>-D17/D21</f>
        <v>#VALUE!</v>
      </c>
      <c r="E23" s="120" t="e">
        <f t="shared" ref="E23:M23" si="9">-E17/E21</f>
        <v>#VALUE!</v>
      </c>
      <c r="F23" s="120" t="e">
        <f t="shared" si="9"/>
        <v>#VALUE!</v>
      </c>
      <c r="G23" s="120" t="e">
        <f t="shared" si="9"/>
        <v>#VALUE!</v>
      </c>
      <c r="H23" s="120" t="e">
        <f t="shared" si="9"/>
        <v>#VALUE!</v>
      </c>
      <c r="I23" s="120" t="e">
        <f t="shared" si="9"/>
        <v>#VALUE!</v>
      </c>
      <c r="J23" s="120" t="e">
        <f t="shared" si="9"/>
        <v>#VALUE!</v>
      </c>
      <c r="K23" s="120" t="e">
        <f t="shared" si="9"/>
        <v>#VALUE!</v>
      </c>
      <c r="L23" s="120" t="e">
        <f t="shared" si="9"/>
        <v>#VALUE!</v>
      </c>
      <c r="M23" s="120" t="e">
        <f t="shared" si="9"/>
        <v>#VALUE!</v>
      </c>
    </row>
    <row r="25" spans="2:13" x14ac:dyDescent="0.25">
      <c r="B25" s="63" t="s">
        <v>56</v>
      </c>
      <c r="C25" s="64"/>
      <c r="D25" s="64"/>
      <c r="E25" s="64"/>
      <c r="F25" s="64"/>
      <c r="G25" s="64"/>
      <c r="H25" s="64"/>
      <c r="I25" s="64"/>
      <c r="J25" s="64"/>
      <c r="K25" s="64"/>
      <c r="L25" s="64"/>
      <c r="M25" s="64"/>
    </row>
    <row r="26" spans="2:13" x14ac:dyDescent="0.25">
      <c r="B26" s="1" t="s">
        <v>48</v>
      </c>
      <c r="C26" s="41" t="e">
        <f>'Monthly Proforma'!D29</f>
        <v>#VALUE!</v>
      </c>
      <c r="D26" s="17">
        <f>SUMIF('Monthly Proforma'!$E$7:$DT$7,D$3,'Monthly Proforma'!$E29:$DT29)</f>
        <v>0</v>
      </c>
      <c r="E26" s="17">
        <f>SUMIF('Monthly Proforma'!$E$7:$DT$7,E$3,'Monthly Proforma'!$E29:$DT29)</f>
        <v>0</v>
      </c>
      <c r="F26" s="17">
        <f>SUMIF('Monthly Proforma'!$E$7:$DT$7,F$3,'Monthly Proforma'!$E29:$DT29)</f>
        <v>0</v>
      </c>
      <c r="G26" s="17">
        <f>SUMIF('Monthly Proforma'!$E$7:$DT$7,G$3,'Monthly Proforma'!$E29:$DT29)</f>
        <v>0</v>
      </c>
      <c r="H26" s="17">
        <f>SUMIF('Monthly Proforma'!$E$7:$DT$7,H$3,'Monthly Proforma'!$E29:$DT29)</f>
        <v>0</v>
      </c>
      <c r="I26" s="17">
        <f>SUMIF('Monthly Proforma'!$E$7:$DT$7,I$3,'Monthly Proforma'!$E29:$DT29)</f>
        <v>0</v>
      </c>
      <c r="J26" s="17">
        <f>SUMIF('Monthly Proforma'!$E$7:$DT$7,J$3,'Monthly Proforma'!$E29:$DT29)</f>
        <v>0</v>
      </c>
      <c r="K26" s="17">
        <f>SUMIF('Monthly Proforma'!$E$7:$DT$7,K$3,'Monthly Proforma'!$E29:$DT29)</f>
        <v>0</v>
      </c>
      <c r="L26" s="17">
        <f>SUMIF('Monthly Proforma'!$E$7:$DT$7,L$3,'Monthly Proforma'!$E29:$DT29)</f>
        <v>0</v>
      </c>
      <c r="M26" s="17">
        <f>SUMIF('Monthly Proforma'!$E$7:$DT$7,M$3,'Monthly Proforma'!$E29:$DT29)</f>
        <v>0</v>
      </c>
    </row>
    <row r="27" spans="2:13" x14ac:dyDescent="0.25">
      <c r="B27" s="1" t="str">
        <f>'Monthly Proforma'!B30</f>
        <v>(-) Closing Costs (Non-Financing)</v>
      </c>
      <c r="C27" s="41" t="e">
        <f>'Monthly Proforma'!D30</f>
        <v>#VALUE!</v>
      </c>
      <c r="D27" s="17">
        <f>SUMIF('Monthly Proforma'!$E$7:$DT$7,D$3,'Monthly Proforma'!$E30:$DT30)</f>
        <v>0</v>
      </c>
      <c r="E27" s="17">
        <f>SUMIF('Monthly Proforma'!$E$7:$DT$7,E$3,'Monthly Proforma'!$E30:$DT30)</f>
        <v>0</v>
      </c>
      <c r="F27" s="17">
        <f>SUMIF('Monthly Proforma'!$E$7:$DT$7,F$3,'Monthly Proforma'!$E30:$DT30)</f>
        <v>0</v>
      </c>
      <c r="G27" s="17">
        <f>SUMIF('Monthly Proforma'!$E$7:$DT$7,G$3,'Monthly Proforma'!$E30:$DT30)</f>
        <v>0</v>
      </c>
      <c r="H27" s="17">
        <f>SUMIF('Monthly Proforma'!$E$7:$DT$7,H$3,'Monthly Proforma'!$E30:$DT30)</f>
        <v>0</v>
      </c>
      <c r="I27" s="17">
        <f>SUMIF('Monthly Proforma'!$E$7:$DT$7,I$3,'Monthly Proforma'!$E30:$DT30)</f>
        <v>0</v>
      </c>
      <c r="J27" s="17">
        <f>SUMIF('Monthly Proforma'!$E$7:$DT$7,J$3,'Monthly Proforma'!$E30:$DT30)</f>
        <v>0</v>
      </c>
      <c r="K27" s="17">
        <f>SUMIF('Monthly Proforma'!$E$7:$DT$7,K$3,'Monthly Proforma'!$E30:$DT30)</f>
        <v>0</v>
      </c>
      <c r="L27" s="17">
        <f>SUMIF('Monthly Proforma'!$E$7:$DT$7,L$3,'Monthly Proforma'!$E30:$DT30)</f>
        <v>0</v>
      </c>
      <c r="M27" s="17">
        <f>SUMIF('Monthly Proforma'!$E$7:$DT$7,M$3,'Monthly Proforma'!$E30:$DT30)</f>
        <v>0</v>
      </c>
    </row>
    <row r="28" spans="2:13" x14ac:dyDescent="0.25">
      <c r="B28" s="1" t="str">
        <f>'Monthly Proforma'!B31</f>
        <v>(-) Net Buyer's Agent Fee</v>
      </c>
      <c r="C28" s="41" t="e">
        <f>'Monthly Proforma'!D31</f>
        <v>#VALUE!</v>
      </c>
      <c r="D28" s="17">
        <f>SUMIF('Monthly Proforma'!$E$7:$DT$7,D$3,'Monthly Proforma'!$E31:$DT31)</f>
        <v>0</v>
      </c>
      <c r="E28" s="17">
        <f>SUMIF('Monthly Proforma'!$E$7:$DT$7,E$3,'Monthly Proforma'!$E31:$DT31)</f>
        <v>0</v>
      </c>
      <c r="F28" s="17">
        <f>SUMIF('Monthly Proforma'!$E$7:$DT$7,F$3,'Monthly Proforma'!$E31:$DT31)</f>
        <v>0</v>
      </c>
      <c r="G28" s="17">
        <f>SUMIF('Monthly Proforma'!$E$7:$DT$7,G$3,'Monthly Proforma'!$E31:$DT31)</f>
        <v>0</v>
      </c>
      <c r="H28" s="17">
        <f>SUMIF('Monthly Proforma'!$E$7:$DT$7,H$3,'Monthly Proforma'!$E31:$DT31)</f>
        <v>0</v>
      </c>
      <c r="I28" s="17">
        <f>SUMIF('Monthly Proforma'!$E$7:$DT$7,I$3,'Monthly Proforma'!$E31:$DT31)</f>
        <v>0</v>
      </c>
      <c r="J28" s="17">
        <f>SUMIF('Monthly Proforma'!$E$7:$DT$7,J$3,'Monthly Proforma'!$E31:$DT31)</f>
        <v>0</v>
      </c>
      <c r="K28" s="17">
        <f>SUMIF('Monthly Proforma'!$E$7:$DT$7,K$3,'Monthly Proforma'!$E31:$DT31)</f>
        <v>0</v>
      </c>
      <c r="L28" s="17">
        <f>SUMIF('Monthly Proforma'!$E$7:$DT$7,L$3,'Monthly Proforma'!$E31:$DT31)</f>
        <v>0</v>
      </c>
      <c r="M28" s="17">
        <f>SUMIF('Monthly Proforma'!$E$7:$DT$7,M$3,'Monthly Proforma'!$E31:$DT31)</f>
        <v>0</v>
      </c>
    </row>
    <row r="29" spans="2:13" x14ac:dyDescent="0.25">
      <c r="B29" s="1" t="str">
        <f>'Monthly Proforma'!B32</f>
        <v>(+) Seller Concessions</v>
      </c>
      <c r="C29" s="41">
        <f>'Monthly Proforma'!D32</f>
        <v>0</v>
      </c>
      <c r="D29" s="17">
        <f>SUMIF('Monthly Proforma'!$E$7:$DT$7,D$3,'Monthly Proforma'!$E32:$DT32)</f>
        <v>0</v>
      </c>
      <c r="E29" s="17">
        <f>SUMIF('Monthly Proforma'!$E$7:$DT$7,E$3,'Monthly Proforma'!$E32:$DT32)</f>
        <v>0</v>
      </c>
      <c r="F29" s="17">
        <f>SUMIF('Monthly Proforma'!$E$7:$DT$7,F$3,'Monthly Proforma'!$E32:$DT32)</f>
        <v>0</v>
      </c>
      <c r="G29" s="17">
        <f>SUMIF('Monthly Proforma'!$E$7:$DT$7,G$3,'Monthly Proforma'!$E32:$DT32)</f>
        <v>0</v>
      </c>
      <c r="H29" s="17">
        <f>SUMIF('Monthly Proforma'!$E$7:$DT$7,H$3,'Monthly Proforma'!$E32:$DT32)</f>
        <v>0</v>
      </c>
      <c r="I29" s="17">
        <f>SUMIF('Monthly Proforma'!$E$7:$DT$7,I$3,'Monthly Proforma'!$E32:$DT32)</f>
        <v>0</v>
      </c>
      <c r="J29" s="17">
        <f>SUMIF('Monthly Proforma'!$E$7:$DT$7,J$3,'Monthly Proforma'!$E32:$DT32)</f>
        <v>0</v>
      </c>
      <c r="K29" s="17">
        <f>SUMIF('Monthly Proforma'!$E$7:$DT$7,K$3,'Monthly Proforma'!$E32:$DT32)</f>
        <v>0</v>
      </c>
      <c r="L29" s="17">
        <f>SUMIF('Monthly Proforma'!$E$7:$DT$7,L$3,'Monthly Proforma'!$E32:$DT32)</f>
        <v>0</v>
      </c>
      <c r="M29" s="17">
        <f>SUMIF('Monthly Proforma'!$E$7:$DT$7,M$3,'Monthly Proforma'!$E32:$DT32)</f>
        <v>0</v>
      </c>
    </row>
    <row r="30" spans="2:13" x14ac:dyDescent="0.25">
      <c r="B30" s="8" t="str">
        <f>'Monthly Proforma'!B33</f>
        <v>(-) Net CapEx (Post-Closing)</v>
      </c>
      <c r="C30" s="42">
        <f>'Monthly Proforma'!D33</f>
        <v>-250</v>
      </c>
      <c r="D30" s="70">
        <f>SUMIF('Monthly Proforma'!$E$7:$DT$7,D$3,'Monthly Proforma'!$E33:$DT33)</f>
        <v>0</v>
      </c>
      <c r="E30" s="70">
        <f>SUMIF('Monthly Proforma'!$E$7:$DT$7,E$3,'Monthly Proforma'!$E33:$DT33)</f>
        <v>0</v>
      </c>
      <c r="F30" s="70">
        <f>SUMIF('Monthly Proforma'!$E$7:$DT$7,F$3,'Monthly Proforma'!$E33:$DT33)</f>
        <v>0</v>
      </c>
      <c r="G30" s="70">
        <f>SUMIF('Monthly Proforma'!$E$7:$DT$7,G$3,'Monthly Proforma'!$E33:$DT33)</f>
        <v>0</v>
      </c>
      <c r="H30" s="70">
        <f>SUMIF('Monthly Proforma'!$E$7:$DT$7,H$3,'Monthly Proforma'!$E33:$DT33)</f>
        <v>0</v>
      </c>
      <c r="I30" s="70">
        <f>SUMIF('Monthly Proforma'!$E$7:$DT$7,I$3,'Monthly Proforma'!$E33:$DT33)</f>
        <v>0</v>
      </c>
      <c r="J30" s="70">
        <f>SUMIF('Monthly Proforma'!$E$7:$DT$7,J$3,'Monthly Proforma'!$E33:$DT33)</f>
        <v>0</v>
      </c>
      <c r="K30" s="70">
        <f>SUMIF('Monthly Proforma'!$E$7:$DT$7,K$3,'Monthly Proforma'!$E33:$DT33)</f>
        <v>0</v>
      </c>
      <c r="L30" s="70">
        <f>SUMIF('Monthly Proforma'!$E$7:$DT$7,L$3,'Monthly Proforma'!$E33:$DT33)</f>
        <v>0</v>
      </c>
      <c r="M30" s="70">
        <f>SUMIF('Monthly Proforma'!$E$7:$DT$7,M$3,'Monthly Proforma'!$E33:$DT33)</f>
        <v>0</v>
      </c>
    </row>
    <row r="31" spans="2:13" x14ac:dyDescent="0.25">
      <c r="B31" s="6" t="s">
        <v>50</v>
      </c>
      <c r="C31" s="49" t="e">
        <f>SUM(C26:C30)</f>
        <v>#VALUE!</v>
      </c>
      <c r="D31" s="43">
        <f t="shared" ref="D31:M31" si="10">SUM(D26:D27)</f>
        <v>0</v>
      </c>
      <c r="E31" s="43">
        <f t="shared" si="10"/>
        <v>0</v>
      </c>
      <c r="F31" s="43">
        <f t="shared" si="10"/>
        <v>0</v>
      </c>
      <c r="G31" s="43">
        <f t="shared" si="10"/>
        <v>0</v>
      </c>
      <c r="H31" s="43">
        <f t="shared" si="10"/>
        <v>0</v>
      </c>
      <c r="I31" s="43">
        <f t="shared" si="10"/>
        <v>0</v>
      </c>
      <c r="J31" s="43">
        <f t="shared" si="10"/>
        <v>0</v>
      </c>
      <c r="K31" s="43">
        <f t="shared" si="10"/>
        <v>0</v>
      </c>
      <c r="L31" s="43">
        <f t="shared" si="10"/>
        <v>0</v>
      </c>
      <c r="M31" s="43">
        <f t="shared" si="10"/>
        <v>0</v>
      </c>
    </row>
    <row r="33" spans="2:13" x14ac:dyDescent="0.25">
      <c r="B33" s="8" t="s">
        <v>49</v>
      </c>
      <c r="C33" s="32"/>
      <c r="D33" s="36" t="e">
        <f ca="1">SUMIF('Monthly Proforma'!$E$7:$DT$7,D$3,'Monthly Proforma'!$E36:$DT36)</f>
        <v>#VALUE!</v>
      </c>
      <c r="E33" s="36" t="e">
        <f ca="1">SUMIF('Monthly Proforma'!$E$7:$DT$7,E$3,'Monthly Proforma'!$E36:$DT36)</f>
        <v>#VALUE!</v>
      </c>
      <c r="F33" s="36" t="e">
        <f ca="1">SUMIF('Monthly Proforma'!$E$7:$DT$7,F$3,'Monthly Proforma'!$E36:$DT36)</f>
        <v>#VALUE!</v>
      </c>
      <c r="G33" s="36" t="e">
        <f ca="1">SUMIF('Monthly Proforma'!$E$7:$DT$7,G$3,'Monthly Proforma'!$E36:$DT36)</f>
        <v>#VALUE!</v>
      </c>
      <c r="H33" s="36" t="e">
        <f ca="1">SUMIF('Monthly Proforma'!$E$7:$DT$7,H$3,'Monthly Proforma'!$E36:$DT36)</f>
        <v>#VALUE!</v>
      </c>
      <c r="I33" s="36" t="e">
        <f ca="1">SUMIF('Monthly Proforma'!$E$7:$DT$7,I$3,'Monthly Proforma'!$E36:$DT36)</f>
        <v>#VALUE!</v>
      </c>
      <c r="J33" s="36" t="e">
        <f ca="1">SUMIF('Monthly Proforma'!$E$7:$DT$7,J$3,'Monthly Proforma'!$E36:$DT36)</f>
        <v>#VALUE!</v>
      </c>
      <c r="K33" s="36" t="e">
        <f ca="1">SUMIF('Monthly Proforma'!$E$7:$DT$7,K$3,'Monthly Proforma'!$E36:$DT36)</f>
        <v>#VALUE!</v>
      </c>
      <c r="L33" s="36" t="e">
        <f ca="1">SUMIF('Monthly Proforma'!$E$7:$DT$7,L$3,'Monthly Proforma'!$E36:$DT36)</f>
        <v>#VALUE!</v>
      </c>
      <c r="M33" s="36" t="e">
        <f ca="1">SUMIF('Monthly Proforma'!$E$7:$DT$7,M$3,'Monthly Proforma'!$E36:$DT36)</f>
        <v>#VALUE!</v>
      </c>
    </row>
    <row r="34" spans="2:13" x14ac:dyDescent="0.25">
      <c r="B34" s="6" t="s">
        <v>51</v>
      </c>
      <c r="C34" s="31"/>
      <c r="D34" s="43" t="e">
        <f t="shared" ref="D34:M34" ca="1" si="11">SUM(D33:D33)</f>
        <v>#VALUE!</v>
      </c>
      <c r="E34" s="43" t="e">
        <f t="shared" ca="1" si="11"/>
        <v>#VALUE!</v>
      </c>
      <c r="F34" s="43" t="e">
        <f t="shared" ca="1" si="11"/>
        <v>#VALUE!</v>
      </c>
      <c r="G34" s="43" t="e">
        <f t="shared" ca="1" si="11"/>
        <v>#VALUE!</v>
      </c>
      <c r="H34" s="43" t="e">
        <f t="shared" ca="1" si="11"/>
        <v>#VALUE!</v>
      </c>
      <c r="I34" s="43" t="e">
        <f t="shared" ca="1" si="11"/>
        <v>#VALUE!</v>
      </c>
      <c r="J34" s="43" t="e">
        <f t="shared" ca="1" si="11"/>
        <v>#VALUE!</v>
      </c>
      <c r="K34" s="43" t="e">
        <f t="shared" ca="1" si="11"/>
        <v>#VALUE!</v>
      </c>
      <c r="L34" s="43" t="e">
        <f t="shared" ca="1" si="11"/>
        <v>#VALUE!</v>
      </c>
      <c r="M34" s="43" t="e">
        <f t="shared" ca="1" si="11"/>
        <v>#VALUE!</v>
      </c>
    </row>
    <row r="36" spans="2:13" x14ac:dyDescent="0.25">
      <c r="B36" s="1" t="s">
        <v>57</v>
      </c>
      <c r="C36" s="31"/>
      <c r="D36" s="13">
        <f>SUMIF('Monthly Proforma'!$E$7:$DT$7,D$3,'Monthly Proforma'!$E39:$DT39)</f>
        <v>0</v>
      </c>
      <c r="E36" s="13">
        <f>SUMIF('Monthly Proforma'!$E$7:$DT$7,E$3,'Monthly Proforma'!$E39:$DT39)</f>
        <v>0</v>
      </c>
      <c r="F36" s="13">
        <f>SUMIF('Monthly Proforma'!$E$7:$DT$7,F$3,'Monthly Proforma'!$E39:$DT39)</f>
        <v>0</v>
      </c>
      <c r="G36" s="13">
        <f>SUMIF('Monthly Proforma'!$E$7:$DT$7,G$3,'Monthly Proforma'!$E39:$DT39)</f>
        <v>0</v>
      </c>
      <c r="H36" s="13">
        <f>SUMIF('Monthly Proforma'!$E$7:$DT$7,H$3,'Monthly Proforma'!$E39:$DT39)</f>
        <v>0</v>
      </c>
      <c r="I36" s="13">
        <f>SUMIF('Monthly Proforma'!$E$7:$DT$7,I$3,'Monthly Proforma'!$E39:$DT39)</f>
        <v>0</v>
      </c>
      <c r="J36" s="13">
        <f>SUMIF('Monthly Proforma'!$E$7:$DT$7,J$3,'Monthly Proforma'!$E39:$DT39)</f>
        <v>0</v>
      </c>
      <c r="K36" s="13">
        <f>SUMIF('Monthly Proforma'!$E$7:$DT$7,K$3,'Monthly Proforma'!$E39:$DT39)</f>
        <v>0</v>
      </c>
      <c r="L36" s="13">
        <f>SUMIF('Monthly Proforma'!$E$7:$DT$7,L$3,'Monthly Proforma'!$E39:$DT39)</f>
        <v>0</v>
      </c>
      <c r="M36" s="13">
        <f>SUMIF('Monthly Proforma'!$E$7:$DT$7,M$3,'Monthly Proforma'!$E39:$DT39)</f>
        <v>0</v>
      </c>
    </row>
    <row r="37" spans="2:13" x14ac:dyDescent="0.25">
      <c r="B37" s="8" t="s">
        <v>58</v>
      </c>
      <c r="C37" s="32"/>
      <c r="D37" s="36">
        <f>SUMIF('Monthly Proforma'!$E$7:$DT$7,D$3,'Monthly Proforma'!$E40:$DT40)</f>
        <v>0</v>
      </c>
      <c r="E37" s="36">
        <f>SUMIF('Monthly Proforma'!$E$7:$DT$7,E$3,'Monthly Proforma'!$E40:$DT40)</f>
        <v>0</v>
      </c>
      <c r="F37" s="36">
        <f>SUMIF('Monthly Proforma'!$E$7:$DT$7,F$3,'Monthly Proforma'!$E40:$DT40)</f>
        <v>0</v>
      </c>
      <c r="G37" s="36">
        <f>SUMIF('Monthly Proforma'!$E$7:$DT$7,G$3,'Monthly Proforma'!$E40:$DT40)</f>
        <v>0</v>
      </c>
      <c r="H37" s="36">
        <f>SUMIF('Monthly Proforma'!$E$7:$DT$7,H$3,'Monthly Proforma'!$E40:$DT40)</f>
        <v>0</v>
      </c>
      <c r="I37" s="36">
        <f>SUMIF('Monthly Proforma'!$E$7:$DT$7,I$3,'Monthly Proforma'!$E40:$DT40)</f>
        <v>0</v>
      </c>
      <c r="J37" s="36">
        <f>SUMIF('Monthly Proforma'!$E$7:$DT$7,J$3,'Monthly Proforma'!$E40:$DT40)</f>
        <v>0</v>
      </c>
      <c r="K37" s="36" t="e">
        <f>SUMIF('Monthly Proforma'!$E$7:$DT$7,K$3,'Monthly Proforma'!$E40:$DT40)</f>
        <v>#VALUE!</v>
      </c>
      <c r="L37" s="36">
        <f>SUMIF('Monthly Proforma'!$E$7:$DT$7,L$3,'Monthly Proforma'!$E40:$DT40)</f>
        <v>0</v>
      </c>
      <c r="M37" s="36">
        <f>SUMIF('Monthly Proforma'!$E$7:$DT$7,M$3,'Monthly Proforma'!$E40:$DT40)</f>
        <v>0</v>
      </c>
    </row>
    <row r="38" spans="2:13" x14ac:dyDescent="0.25">
      <c r="B38" s="6" t="s">
        <v>55</v>
      </c>
      <c r="C38" s="49" t="e">
        <f>SUM(C31,C34,C36:C37)</f>
        <v>#VALUE!</v>
      </c>
      <c r="D38" s="43" t="e">
        <f ca="1">SUM(D36:D37,D34)</f>
        <v>#VALUE!</v>
      </c>
      <c r="E38" s="43" t="e">
        <f t="shared" ref="E38:M38" ca="1" si="12">SUM(E36:E37,E34)</f>
        <v>#VALUE!</v>
      </c>
      <c r="F38" s="43" t="e">
        <f t="shared" ca="1" si="12"/>
        <v>#VALUE!</v>
      </c>
      <c r="G38" s="43" t="e">
        <f t="shared" ca="1" si="12"/>
        <v>#VALUE!</v>
      </c>
      <c r="H38" s="43" t="e">
        <f t="shared" ca="1" si="12"/>
        <v>#VALUE!</v>
      </c>
      <c r="I38" s="43" t="e">
        <f t="shared" ca="1" si="12"/>
        <v>#VALUE!</v>
      </c>
      <c r="J38" s="43" t="e">
        <f t="shared" ca="1" si="12"/>
        <v>#VALUE!</v>
      </c>
      <c r="K38" s="43" t="e">
        <f t="shared" si="12"/>
        <v>#VALUE!</v>
      </c>
      <c r="L38" s="43" t="e">
        <f t="shared" ca="1" si="12"/>
        <v>#VALUE!</v>
      </c>
      <c r="M38" s="43" t="e">
        <f t="shared" ca="1" si="12"/>
        <v>#VALUE!</v>
      </c>
    </row>
    <row r="39" spans="2:13" x14ac:dyDescent="0.25">
      <c r="B39" s="58" t="s">
        <v>66</v>
      </c>
      <c r="C39" s="59" t="e">
        <f>SUM($C$38:C38)</f>
        <v>#VALUE!</v>
      </c>
      <c r="D39" s="59" t="e">
        <f>SUM($C$38:D38)</f>
        <v>#VALUE!</v>
      </c>
      <c r="E39" s="59" t="e">
        <f>SUM($C$38:E38)</f>
        <v>#VALUE!</v>
      </c>
      <c r="F39" s="59" t="e">
        <f>SUM($C$38:F38)</f>
        <v>#VALUE!</v>
      </c>
      <c r="G39" s="59" t="e">
        <f>SUM($C$38:G38)</f>
        <v>#VALUE!</v>
      </c>
      <c r="H39" s="59" t="e">
        <f>SUM($C$38:H38)</f>
        <v>#VALUE!</v>
      </c>
      <c r="I39" s="59" t="e">
        <f>SUM($C$38:I38)</f>
        <v>#VALUE!</v>
      </c>
      <c r="J39" s="59" t="e">
        <f>SUM($C$38:J38)</f>
        <v>#VALUE!</v>
      </c>
      <c r="K39" s="59" t="e">
        <f>SUM($C$38:K38)</f>
        <v>#VALUE!</v>
      </c>
      <c r="L39" s="59" t="e">
        <f>SUM($C$38:L38)</f>
        <v>#VALUE!</v>
      </c>
      <c r="M39" s="59" t="e">
        <f>SUM($C$38:M38)</f>
        <v>#VALUE!</v>
      </c>
    </row>
    <row r="41" spans="2:13" x14ac:dyDescent="0.25">
      <c r="B41" s="50" t="s">
        <v>60</v>
      </c>
      <c r="C41" s="51"/>
    </row>
    <row r="42" spans="2:13" x14ac:dyDescent="0.25">
      <c r="B42" s="74" t="s">
        <v>61</v>
      </c>
      <c r="C42" s="53" t="e">
        <f ca="1">'Monthly Proforma'!C45</f>
        <v>#VALUE!</v>
      </c>
    </row>
    <row r="43" spans="2:13" x14ac:dyDescent="0.25">
      <c r="B43" s="52" t="s">
        <v>62</v>
      </c>
      <c r="C43" s="54" t="e">
        <f ca="1">'Monthly Proforma'!C46</f>
        <v>#DIV/0!</v>
      </c>
    </row>
    <row r="44" spans="2:13" x14ac:dyDescent="0.25">
      <c r="B44" s="52" t="s">
        <v>63</v>
      </c>
      <c r="C44" s="55" t="e">
        <f>'Monthly Proforma'!C47</f>
        <v>#VALUE!</v>
      </c>
    </row>
    <row r="45" spans="2:13" x14ac:dyDescent="0.25">
      <c r="B45" s="56" t="s">
        <v>64</v>
      </c>
      <c r="C45" s="57" t="e">
        <f>'Monthly Proforma'!C48</f>
        <v>#VALUE!</v>
      </c>
    </row>
    <row r="47" spans="2:13" x14ac:dyDescent="0.25">
      <c r="B47" s="63" t="s">
        <v>65</v>
      </c>
      <c r="C47" s="64"/>
      <c r="D47" s="64"/>
      <c r="E47" s="64"/>
      <c r="F47" s="64"/>
      <c r="G47" s="64"/>
      <c r="H47" s="64"/>
      <c r="I47" s="64"/>
      <c r="J47" s="64"/>
      <c r="K47" s="64"/>
      <c r="L47" s="64"/>
      <c r="M47" s="64"/>
    </row>
    <row r="48" spans="2:13" x14ac:dyDescent="0.25">
      <c r="B48" s="65" t="s">
        <v>67</v>
      </c>
      <c r="C48" s="48" t="e">
        <f>C31+C34</f>
        <v>#VALUE!</v>
      </c>
      <c r="D48" s="13" t="e">
        <f ca="1">SUMIF('Monthly Proforma'!$E$7:$DT$7,D$3,'Monthly Proforma'!$E51:$DT51)</f>
        <v>#VALUE!</v>
      </c>
      <c r="E48" s="13" t="e">
        <f ca="1">SUMIF('Monthly Proforma'!$E$7:$DT$7,E$3,'Monthly Proforma'!$E51:$DT51)</f>
        <v>#VALUE!</v>
      </c>
      <c r="F48" s="13" t="e">
        <f ca="1">SUMIF('Monthly Proforma'!$E$7:$DT$7,F$3,'Monthly Proforma'!$E51:$DT51)</f>
        <v>#VALUE!</v>
      </c>
      <c r="G48" s="13" t="e">
        <f ca="1">SUMIF('Monthly Proforma'!$E$7:$DT$7,G$3,'Monthly Proforma'!$E51:$DT51)</f>
        <v>#VALUE!</v>
      </c>
      <c r="H48" s="13" t="e">
        <f ca="1">SUMIF('Monthly Proforma'!$E$7:$DT$7,H$3,'Monthly Proforma'!$E51:$DT51)</f>
        <v>#VALUE!</v>
      </c>
      <c r="I48" s="13" t="e">
        <f ca="1">SUMIF('Monthly Proforma'!$E$7:$DT$7,I$3,'Monthly Proforma'!$E51:$DT51)</f>
        <v>#VALUE!</v>
      </c>
      <c r="J48" s="13" t="e">
        <f ca="1">SUMIF('Monthly Proforma'!$E$7:$DT$7,J$3,'Monthly Proforma'!$E51:$DT51)</f>
        <v>#VALUE!</v>
      </c>
      <c r="K48" s="13" t="e">
        <f ca="1">SUMIF('Monthly Proforma'!$E$7:$DT$7,K$3,'Monthly Proforma'!$E51:$DT51)</f>
        <v>#VALUE!</v>
      </c>
      <c r="L48" s="13" t="e">
        <f ca="1">SUMIF('Monthly Proforma'!$E$7:$DT$7,L$3,'Monthly Proforma'!$E51:$DT51)</f>
        <v>#VALUE!</v>
      </c>
      <c r="M48" s="13" t="e">
        <f ca="1">SUMIF('Monthly Proforma'!$E$7:$DT$7,M$3,'Monthly Proforma'!$E51:$DT51)</f>
        <v>#VALUE!</v>
      </c>
    </row>
    <row r="49" spans="2:13" x14ac:dyDescent="0.25">
      <c r="B49" s="65" t="s">
        <v>68</v>
      </c>
      <c r="C49" s="31"/>
      <c r="D49" s="13" t="e">
        <f>SUMIF('Monthly Proforma'!$E$7:$DT$7,D$3,'Monthly Proforma'!$E52:$DT52)</f>
        <v>#VALUE!</v>
      </c>
      <c r="E49" s="13" t="e">
        <f>SUMIF('Monthly Proforma'!$E$7:$DT$7,E$3,'Monthly Proforma'!$E52:$DT52)</f>
        <v>#VALUE!</v>
      </c>
      <c r="F49" s="13" t="e">
        <f>SUMIF('Monthly Proforma'!$E$7:$DT$7,F$3,'Monthly Proforma'!$E52:$DT52)</f>
        <v>#VALUE!</v>
      </c>
      <c r="G49" s="13" t="e">
        <f>SUMIF('Monthly Proforma'!$E$7:$DT$7,G$3,'Monthly Proforma'!$E52:$DT52)</f>
        <v>#VALUE!</v>
      </c>
      <c r="H49" s="13" t="e">
        <f>SUMIF('Monthly Proforma'!$E$7:$DT$7,H$3,'Monthly Proforma'!$E52:$DT52)</f>
        <v>#VALUE!</v>
      </c>
      <c r="I49" s="13" t="e">
        <f>SUMIF('Monthly Proforma'!$E$7:$DT$7,I$3,'Monthly Proforma'!$E52:$DT52)</f>
        <v>#VALUE!</v>
      </c>
      <c r="J49" s="13" t="e">
        <f>SUMIF('Monthly Proforma'!$E$7:$DT$7,J$3,'Monthly Proforma'!$E52:$DT52)</f>
        <v>#VALUE!</v>
      </c>
      <c r="K49" s="13" t="e">
        <f>SUMIF('Monthly Proforma'!$E$7:$DT$7,K$3,'Monthly Proforma'!$E52:$DT52)</f>
        <v>#VALUE!</v>
      </c>
      <c r="L49" s="13" t="e">
        <f>SUMIF('Monthly Proforma'!$E$7:$DT$7,L$3,'Monthly Proforma'!$E52:$DT52)</f>
        <v>#VALUE!</v>
      </c>
      <c r="M49" s="13" t="e">
        <f>SUMIF('Monthly Proforma'!$E$7:$DT$7,M$3,'Monthly Proforma'!$E52:$DT52)</f>
        <v>#VALUE!</v>
      </c>
    </row>
    <row r="50" spans="2:13" x14ac:dyDescent="0.25">
      <c r="B50" s="67" t="s">
        <v>69</v>
      </c>
      <c r="C50" s="32"/>
      <c r="D50" s="36" t="e">
        <f>SUMIF('Monthly Proforma'!$E$7:$DT$7,D$3,'Monthly Proforma'!$E53:$DT53)</f>
        <v>#VALUE!</v>
      </c>
      <c r="E50" s="36" t="e">
        <f>SUMIF('Monthly Proforma'!$E$7:$DT$7,E$3,'Monthly Proforma'!$E53:$DT53)</f>
        <v>#VALUE!</v>
      </c>
      <c r="F50" s="36" t="e">
        <f>SUMIF('Monthly Proforma'!$E$7:$DT$7,F$3,'Monthly Proforma'!$E53:$DT53)</f>
        <v>#VALUE!</v>
      </c>
      <c r="G50" s="36" t="e">
        <f>SUMIF('Monthly Proforma'!$E$7:$DT$7,G$3,'Monthly Proforma'!$E53:$DT53)</f>
        <v>#VALUE!</v>
      </c>
      <c r="H50" s="36" t="e">
        <f>SUMIF('Monthly Proforma'!$E$7:$DT$7,H$3,'Monthly Proforma'!$E53:$DT53)</f>
        <v>#VALUE!</v>
      </c>
      <c r="I50" s="36" t="e">
        <f>SUMIF('Monthly Proforma'!$E$7:$DT$7,I$3,'Monthly Proforma'!$E53:$DT53)</f>
        <v>#VALUE!</v>
      </c>
      <c r="J50" s="36" t="e">
        <f>SUMIF('Monthly Proforma'!$E$7:$DT$7,J$3,'Monthly Proforma'!$E53:$DT53)</f>
        <v>#VALUE!</v>
      </c>
      <c r="K50" s="36" t="e">
        <f>SUMIF('Monthly Proforma'!$E$7:$DT$7,K$3,'Monthly Proforma'!$E53:$DT53)</f>
        <v>#VALUE!</v>
      </c>
      <c r="L50" s="36" t="e">
        <f>SUMIF('Monthly Proforma'!$E$7:$DT$7,L$3,'Monthly Proforma'!$E53:$DT53)</f>
        <v>#VALUE!</v>
      </c>
      <c r="M50" s="36" t="e">
        <f>SUMIF('Monthly Proforma'!$E$7:$DT$7,M$3,'Monthly Proforma'!$E53:$DT53)</f>
        <v>#VALUE!</v>
      </c>
    </row>
    <row r="51" spans="2:13" x14ac:dyDescent="0.25">
      <c r="B51" s="6" t="s">
        <v>71</v>
      </c>
      <c r="C51" s="49" t="e">
        <f>SUM(C48:C50)</f>
        <v>#VALUE!</v>
      </c>
      <c r="D51" s="43" t="e">
        <f ca="1">SUM(D48:D50)</f>
        <v>#VALUE!</v>
      </c>
      <c r="E51" s="43" t="e">
        <f t="shared" ref="E51:M51" ca="1" si="13">SUM(E48:E50)</f>
        <v>#VALUE!</v>
      </c>
      <c r="F51" s="43" t="e">
        <f t="shared" ca="1" si="13"/>
        <v>#VALUE!</v>
      </c>
      <c r="G51" s="43" t="e">
        <f t="shared" ca="1" si="13"/>
        <v>#VALUE!</v>
      </c>
      <c r="H51" s="43" t="e">
        <f t="shared" ca="1" si="13"/>
        <v>#VALUE!</v>
      </c>
      <c r="I51" s="43" t="e">
        <f t="shared" ca="1" si="13"/>
        <v>#VALUE!</v>
      </c>
      <c r="J51" s="43" t="e">
        <f t="shared" ca="1" si="13"/>
        <v>#VALUE!</v>
      </c>
      <c r="K51" s="43" t="e">
        <f t="shared" ca="1" si="13"/>
        <v>#VALUE!</v>
      </c>
      <c r="L51" s="43" t="e">
        <f t="shared" ca="1" si="13"/>
        <v>#VALUE!</v>
      </c>
      <c r="M51" s="43" t="e">
        <f t="shared" ca="1" si="13"/>
        <v>#VALUE!</v>
      </c>
    </row>
    <row r="53" spans="2:13" x14ac:dyDescent="0.25">
      <c r="B53" s="1" t="str">
        <f>'Monthly Proforma'!B56</f>
        <v>(-) Initial Equity (Down Payment)</v>
      </c>
      <c r="C53" s="41" t="str">
        <f>'Monthly Proforma'!D56</f>
        <v>n/a</v>
      </c>
      <c r="D53" s="17">
        <f>SUMIF('Monthly Proforma'!$E$7:$DT$7,D$3,'Monthly Proforma'!$E56:$DT56)</f>
        <v>0</v>
      </c>
      <c r="E53" s="17">
        <f>SUMIF('Monthly Proforma'!$E$7:$DT$7,E$3,'Monthly Proforma'!$E56:$DT56)</f>
        <v>0</v>
      </c>
      <c r="F53" s="17">
        <f>SUMIF('Monthly Proforma'!$E$7:$DT$7,F$3,'Monthly Proforma'!$E56:$DT56)</f>
        <v>0</v>
      </c>
      <c r="G53" s="17">
        <f>SUMIF('Monthly Proforma'!$E$7:$DT$7,G$3,'Monthly Proforma'!$E56:$DT56)</f>
        <v>0</v>
      </c>
      <c r="H53" s="17">
        <f>SUMIF('Monthly Proforma'!$E$7:$DT$7,H$3,'Monthly Proforma'!$E56:$DT56)</f>
        <v>0</v>
      </c>
      <c r="I53" s="17">
        <f>SUMIF('Monthly Proforma'!$E$7:$DT$7,I$3,'Monthly Proforma'!$E56:$DT56)</f>
        <v>0</v>
      </c>
      <c r="J53" s="17">
        <f>SUMIF('Monthly Proforma'!$E$7:$DT$7,J$3,'Monthly Proforma'!$E56:$DT56)</f>
        <v>0</v>
      </c>
      <c r="K53" s="17">
        <f>SUMIF('Monthly Proforma'!$E$7:$DT$7,K$3,'Monthly Proforma'!$E56:$DT56)</f>
        <v>0</v>
      </c>
      <c r="L53" s="17">
        <f>SUMIF('Monthly Proforma'!$E$7:$DT$7,L$3,'Monthly Proforma'!$E56:$DT56)</f>
        <v>0</v>
      </c>
      <c r="M53" s="17">
        <f>SUMIF('Monthly Proforma'!$E$7:$DT$7,M$3,'Monthly Proforma'!$E56:$DT56)</f>
        <v>0</v>
      </c>
    </row>
    <row r="54" spans="2:13" x14ac:dyDescent="0.25">
      <c r="B54" s="1" t="str">
        <f>'Monthly Proforma'!B57</f>
        <v>(-) Financing Fees</v>
      </c>
      <c r="C54" s="41" t="e">
        <f>'Monthly Proforma'!D57</f>
        <v>#VALUE!</v>
      </c>
      <c r="D54" s="17">
        <f>SUMIF('Monthly Proforma'!$E$7:$DT$7,D$3,'Monthly Proforma'!$E57:$DT57)</f>
        <v>0</v>
      </c>
      <c r="E54" s="17">
        <f>SUMIF('Monthly Proforma'!$E$7:$DT$7,E$3,'Monthly Proforma'!$E57:$DT57)</f>
        <v>0</v>
      </c>
      <c r="F54" s="17">
        <f>SUMIF('Monthly Proforma'!$E$7:$DT$7,F$3,'Monthly Proforma'!$E57:$DT57)</f>
        <v>0</v>
      </c>
      <c r="G54" s="17">
        <f>SUMIF('Monthly Proforma'!$E$7:$DT$7,G$3,'Monthly Proforma'!$E57:$DT57)</f>
        <v>0</v>
      </c>
      <c r="H54" s="17">
        <f>SUMIF('Monthly Proforma'!$E$7:$DT$7,H$3,'Monthly Proforma'!$E57:$DT57)</f>
        <v>0</v>
      </c>
      <c r="I54" s="17">
        <f>SUMIF('Monthly Proforma'!$E$7:$DT$7,I$3,'Monthly Proforma'!$E57:$DT57)</f>
        <v>0</v>
      </c>
      <c r="J54" s="17">
        <f>SUMIF('Monthly Proforma'!$E$7:$DT$7,J$3,'Monthly Proforma'!$E57:$DT57)</f>
        <v>0</v>
      </c>
      <c r="K54" s="17">
        <f>SUMIF('Monthly Proforma'!$E$7:$DT$7,K$3,'Monthly Proforma'!$E57:$DT57)</f>
        <v>0</v>
      </c>
      <c r="L54" s="17">
        <f>SUMIF('Monthly Proforma'!$E$7:$DT$7,L$3,'Monthly Proforma'!$E57:$DT57)</f>
        <v>0</v>
      </c>
      <c r="M54" s="17">
        <f>SUMIF('Monthly Proforma'!$E$7:$DT$7,M$3,'Monthly Proforma'!$E57:$DT57)</f>
        <v>0</v>
      </c>
    </row>
    <row r="55" spans="2:13" x14ac:dyDescent="0.25">
      <c r="B55" s="1" t="s">
        <v>70</v>
      </c>
      <c r="C55" s="69"/>
      <c r="D55" s="13">
        <f>SUMIF('Monthly Proforma'!$E$7:$DT$7,D$3,'Monthly Proforma'!$E58:$DT58)</f>
        <v>0</v>
      </c>
      <c r="E55" s="13">
        <f>SUMIF('Monthly Proforma'!$E$7:$DT$7,E$3,'Monthly Proforma'!$E58:$DT58)</f>
        <v>0</v>
      </c>
      <c r="F55" s="13">
        <f>SUMIF('Monthly Proforma'!$E$7:$DT$7,F$3,'Monthly Proforma'!$E58:$DT58)</f>
        <v>0</v>
      </c>
      <c r="G55" s="13">
        <f>SUMIF('Monthly Proforma'!$E$7:$DT$7,G$3,'Monthly Proforma'!$E58:$DT58)</f>
        <v>0</v>
      </c>
      <c r="H55" s="13">
        <f>SUMIF('Monthly Proforma'!$E$7:$DT$7,H$3,'Monthly Proforma'!$E58:$DT58)</f>
        <v>0</v>
      </c>
      <c r="I55" s="13">
        <f>SUMIF('Monthly Proforma'!$E$7:$DT$7,I$3,'Monthly Proforma'!$E58:$DT58)</f>
        <v>0</v>
      </c>
      <c r="J55" s="13">
        <f>SUMIF('Monthly Proforma'!$E$7:$DT$7,J$3,'Monthly Proforma'!$E58:$DT58)</f>
        <v>0</v>
      </c>
      <c r="K55" s="13" t="e">
        <f>SUMIF('Monthly Proforma'!$E$7:$DT$7,K$3,'Monthly Proforma'!$E58:$DT58)</f>
        <v>#VALUE!</v>
      </c>
      <c r="L55" s="13">
        <f>SUMIF('Monthly Proforma'!$E$7:$DT$7,L$3,'Monthly Proforma'!$E58:$DT58)</f>
        <v>0</v>
      </c>
      <c r="M55" s="13">
        <f>SUMIF('Monthly Proforma'!$E$7:$DT$7,M$3,'Monthly Proforma'!$E58:$DT58)</f>
        <v>0</v>
      </c>
    </row>
    <row r="56" spans="2:13" x14ac:dyDescent="0.25">
      <c r="B56" s="1" t="s">
        <v>57</v>
      </c>
      <c r="C56" s="31"/>
      <c r="D56" s="13">
        <f>SUMIF('Monthly Proforma'!$E$7:$DT$7,D$3,'Monthly Proforma'!$E59:$DT59)</f>
        <v>0</v>
      </c>
      <c r="E56" s="13">
        <f>SUMIF('Monthly Proforma'!$E$7:$DT$7,E$3,'Monthly Proforma'!$E59:$DT59)</f>
        <v>0</v>
      </c>
      <c r="F56" s="13">
        <f>SUMIF('Monthly Proforma'!$E$7:$DT$7,F$3,'Monthly Proforma'!$E59:$DT59)</f>
        <v>0</v>
      </c>
      <c r="G56" s="13">
        <f>SUMIF('Monthly Proforma'!$E$7:$DT$7,G$3,'Monthly Proforma'!$E59:$DT59)</f>
        <v>0</v>
      </c>
      <c r="H56" s="13">
        <f>SUMIF('Monthly Proforma'!$E$7:$DT$7,H$3,'Monthly Proforma'!$E59:$DT59)</f>
        <v>0</v>
      </c>
      <c r="I56" s="13">
        <f>SUMIF('Monthly Proforma'!$E$7:$DT$7,I$3,'Monthly Proforma'!$E59:$DT59)</f>
        <v>0</v>
      </c>
      <c r="J56" s="13">
        <f>SUMIF('Monthly Proforma'!$E$7:$DT$7,J$3,'Monthly Proforma'!$E59:$DT59)</f>
        <v>0</v>
      </c>
      <c r="K56" s="13">
        <f>SUMIF('Monthly Proforma'!$E$7:$DT$7,K$3,'Monthly Proforma'!$E59:$DT59)</f>
        <v>0</v>
      </c>
      <c r="L56" s="13">
        <f>SUMIF('Monthly Proforma'!$E$7:$DT$7,L$3,'Monthly Proforma'!$E59:$DT59)</f>
        <v>0</v>
      </c>
      <c r="M56" s="13">
        <f>SUMIF('Monthly Proforma'!$E$7:$DT$7,M$3,'Monthly Proforma'!$E59:$DT59)</f>
        <v>0</v>
      </c>
    </row>
    <row r="57" spans="2:13" x14ac:dyDescent="0.25">
      <c r="B57" s="8" t="s">
        <v>58</v>
      </c>
      <c r="C57" s="32"/>
      <c r="D57" s="36">
        <f>SUMIF('Monthly Proforma'!$E$7:$DT$7,D$3,'Monthly Proforma'!$E60:$DT60)</f>
        <v>0</v>
      </c>
      <c r="E57" s="36">
        <f>SUMIF('Monthly Proforma'!$E$7:$DT$7,E$3,'Monthly Proforma'!$E60:$DT60)</f>
        <v>0</v>
      </c>
      <c r="F57" s="36">
        <f>SUMIF('Monthly Proforma'!$E$7:$DT$7,F$3,'Monthly Proforma'!$E60:$DT60)</f>
        <v>0</v>
      </c>
      <c r="G57" s="36">
        <f>SUMIF('Monthly Proforma'!$E$7:$DT$7,G$3,'Monthly Proforma'!$E60:$DT60)</f>
        <v>0</v>
      </c>
      <c r="H57" s="36">
        <f>SUMIF('Monthly Proforma'!$E$7:$DT$7,H$3,'Monthly Proforma'!$E60:$DT60)</f>
        <v>0</v>
      </c>
      <c r="I57" s="36">
        <f>SUMIF('Monthly Proforma'!$E$7:$DT$7,I$3,'Monthly Proforma'!$E60:$DT60)</f>
        <v>0</v>
      </c>
      <c r="J57" s="36">
        <f>SUMIF('Monthly Proforma'!$E$7:$DT$7,J$3,'Monthly Proforma'!$E60:$DT60)</f>
        <v>0</v>
      </c>
      <c r="K57" s="36" t="e">
        <f>SUMIF('Monthly Proforma'!$E$7:$DT$7,K$3,'Monthly Proforma'!$E60:$DT60)</f>
        <v>#VALUE!</v>
      </c>
      <c r="L57" s="36">
        <f>SUMIF('Monthly Proforma'!$E$7:$DT$7,L$3,'Monthly Proforma'!$E60:$DT60)</f>
        <v>0</v>
      </c>
      <c r="M57" s="36">
        <f>SUMIF('Monthly Proforma'!$E$7:$DT$7,M$3,'Monthly Proforma'!$E60:$DT60)</f>
        <v>0</v>
      </c>
    </row>
    <row r="58" spans="2:13" x14ac:dyDescent="0.25">
      <c r="B58" s="6" t="s">
        <v>72</v>
      </c>
      <c r="C58" s="49" t="e">
        <f>SUM(C51,C53:C57)</f>
        <v>#VALUE!</v>
      </c>
      <c r="D58" s="43">
        <f t="shared" ref="D58:M58" si="14">SUM(D53:D57)</f>
        <v>0</v>
      </c>
      <c r="E58" s="43">
        <f t="shared" si="14"/>
        <v>0</v>
      </c>
      <c r="F58" s="43">
        <f t="shared" si="14"/>
        <v>0</v>
      </c>
      <c r="G58" s="43">
        <f t="shared" si="14"/>
        <v>0</v>
      </c>
      <c r="H58" s="43">
        <f t="shared" si="14"/>
        <v>0</v>
      </c>
      <c r="I58" s="43">
        <f t="shared" si="14"/>
        <v>0</v>
      </c>
      <c r="J58" s="43">
        <f t="shared" si="14"/>
        <v>0</v>
      </c>
      <c r="K58" s="43" t="e">
        <f t="shared" si="14"/>
        <v>#VALUE!</v>
      </c>
      <c r="L58" s="43">
        <f t="shared" si="14"/>
        <v>0</v>
      </c>
      <c r="M58" s="43">
        <f t="shared" si="14"/>
        <v>0</v>
      </c>
    </row>
    <row r="59" spans="2:13" x14ac:dyDescent="0.25">
      <c r="B59" s="58" t="s">
        <v>66</v>
      </c>
      <c r="C59" s="59" t="e">
        <f>SUM($C$58:C58)</f>
        <v>#VALUE!</v>
      </c>
      <c r="D59" s="59" t="e">
        <f>SUM($C$58:D58)</f>
        <v>#VALUE!</v>
      </c>
      <c r="E59" s="59" t="e">
        <f>SUM($C$58:E58)</f>
        <v>#VALUE!</v>
      </c>
      <c r="F59" s="59" t="e">
        <f>SUM($C$58:F58)</f>
        <v>#VALUE!</v>
      </c>
      <c r="G59" s="59" t="e">
        <f>SUM($C$58:G58)</f>
        <v>#VALUE!</v>
      </c>
      <c r="H59" s="59" t="e">
        <f>SUM($C$58:H58)</f>
        <v>#VALUE!</v>
      </c>
      <c r="I59" s="59" t="e">
        <f>SUM($C$58:I58)</f>
        <v>#VALUE!</v>
      </c>
      <c r="J59" s="59" t="e">
        <f>SUM($C$58:J58)</f>
        <v>#VALUE!</v>
      </c>
      <c r="K59" s="59" t="e">
        <f>SUM($C$58:K58)</f>
        <v>#VALUE!</v>
      </c>
      <c r="L59" s="59" t="e">
        <f>SUM($C$58:L58)</f>
        <v>#VALUE!</v>
      </c>
      <c r="M59" s="59" t="e">
        <f>SUM($C$58:M58)</f>
        <v>#VALUE!</v>
      </c>
    </row>
    <row r="61" spans="2:13" x14ac:dyDescent="0.25">
      <c r="B61" s="50" t="s">
        <v>75</v>
      </c>
      <c r="C61" s="51"/>
    </row>
    <row r="62" spans="2:13" x14ac:dyDescent="0.25">
      <c r="B62" s="52" t="s">
        <v>61</v>
      </c>
      <c r="C62" s="53" t="e">
        <f ca="1">'Monthly Proforma'!C65</f>
        <v>#VALUE!</v>
      </c>
    </row>
    <row r="63" spans="2:13" x14ac:dyDescent="0.25">
      <c r="B63" s="52" t="s">
        <v>62</v>
      </c>
      <c r="C63" s="54" t="e">
        <f ca="1">'Monthly Proforma'!C66</f>
        <v>#DIV/0!</v>
      </c>
    </row>
    <row r="64" spans="2:13" x14ac:dyDescent="0.25">
      <c r="B64" s="52" t="s">
        <v>63</v>
      </c>
      <c r="C64" s="55" t="e">
        <f>'Monthly Proforma'!C67</f>
        <v>#VALUE!</v>
      </c>
    </row>
    <row r="65" spans="2:7" x14ac:dyDescent="0.25">
      <c r="B65" s="56" t="s">
        <v>64</v>
      </c>
      <c r="C65" s="57" t="e">
        <f>'Monthly Proforma'!C68</f>
        <v>#VALUE!</v>
      </c>
    </row>
    <row r="67" spans="2:7" x14ac:dyDescent="0.25">
      <c r="D67" s="18"/>
      <c r="E67" s="18"/>
      <c r="F67" s="18"/>
      <c r="G67" s="18"/>
    </row>
    <row r="69" spans="2:7" x14ac:dyDescent="0.25">
      <c r="D69" s="71"/>
    </row>
  </sheetData>
  <pageMargins left="0.25" right="0.25" top="0.25" bottom="0.25" header="0.25" footer="0.25"/>
  <pageSetup scale="54" orientation="landscape" r:id="rId1"/>
  <headerFooter>
    <oddFooter>&amp;C_x000D_&amp;1#&amp;"Aptos"&amp;10&amp;K000000 Barings-Public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2CFC9-8E3A-4819-9136-D977F8728FC6}">
  <dimension ref="B2:F32"/>
  <sheetViews>
    <sheetView showGridLines="0" workbookViewId="0"/>
  </sheetViews>
  <sheetFormatPr defaultColWidth="9" defaultRowHeight="15" x14ac:dyDescent="0.25"/>
  <cols>
    <col min="1" max="1" width="4.75" style="1" customWidth="1"/>
    <col min="2" max="2" width="4.5" style="135" bestFit="1" customWidth="1"/>
    <col min="3" max="3" width="10.75" style="135" bestFit="1" customWidth="1"/>
    <col min="4" max="4" width="12.5" style="135" bestFit="1" customWidth="1"/>
    <col min="5" max="5" width="11.5" style="135" bestFit="1" customWidth="1"/>
    <col min="6" max="6" width="13.625" style="135" bestFit="1" customWidth="1"/>
    <col min="7" max="16384" width="9" style="1"/>
  </cols>
  <sheetData>
    <row r="2" spans="2:6" x14ac:dyDescent="0.25">
      <c r="B2" s="134" t="s">
        <v>26</v>
      </c>
      <c r="C2" s="134" t="s">
        <v>35</v>
      </c>
      <c r="D2" s="134" t="s">
        <v>33</v>
      </c>
      <c r="E2" s="134" t="s">
        <v>34</v>
      </c>
      <c r="F2" s="134" t="s">
        <v>36</v>
      </c>
    </row>
    <row r="3" spans="2:6" x14ac:dyDescent="0.25">
      <c r="B3" s="135">
        <v>1</v>
      </c>
      <c r="C3" s="136" t="str">
        <f>'Inputs &amp; Summary'!P12</f>
        <v>n/a</v>
      </c>
      <c r="D3" s="136" t="e">
        <f t="shared" ref="D3:D32" si="0">PPMT(LoanRate,$B3,LoanAmortization,-LoanAmount)</f>
        <v>#VALUE!</v>
      </c>
      <c r="E3" s="136" t="e">
        <f t="shared" ref="E3:E32" si="1">IPMT(LoanRate,$B3,LoanAmortization,-LoanAmount)</f>
        <v>#VALUE!</v>
      </c>
      <c r="F3" s="136" t="e">
        <f>C3-D3</f>
        <v>#VALUE!</v>
      </c>
    </row>
    <row r="4" spans="2:6" x14ac:dyDescent="0.25">
      <c r="B4" s="135">
        <f>B3+1</f>
        <v>2</v>
      </c>
      <c r="C4" s="136" t="e">
        <f>F3</f>
        <v>#VALUE!</v>
      </c>
      <c r="D4" s="136" t="e">
        <f t="shared" si="0"/>
        <v>#VALUE!</v>
      </c>
      <c r="E4" s="136" t="e">
        <f t="shared" si="1"/>
        <v>#VALUE!</v>
      </c>
      <c r="F4" s="136" t="e">
        <f t="shared" ref="F4:F32" si="2">C4-D4</f>
        <v>#VALUE!</v>
      </c>
    </row>
    <row r="5" spans="2:6" x14ac:dyDescent="0.25">
      <c r="B5" s="135">
        <f t="shared" ref="B5:B32" si="3">B4+1</f>
        <v>3</v>
      </c>
      <c r="C5" s="136" t="e">
        <f t="shared" ref="C5:C32" si="4">F4</f>
        <v>#VALUE!</v>
      </c>
      <c r="D5" s="136" t="e">
        <f t="shared" si="0"/>
        <v>#VALUE!</v>
      </c>
      <c r="E5" s="136" t="e">
        <f t="shared" si="1"/>
        <v>#VALUE!</v>
      </c>
      <c r="F5" s="136" t="e">
        <f t="shared" si="2"/>
        <v>#VALUE!</v>
      </c>
    </row>
    <row r="6" spans="2:6" x14ac:dyDescent="0.25">
      <c r="B6" s="135">
        <f t="shared" si="3"/>
        <v>4</v>
      </c>
      <c r="C6" s="136" t="e">
        <f t="shared" si="4"/>
        <v>#VALUE!</v>
      </c>
      <c r="D6" s="136" t="e">
        <f t="shared" si="0"/>
        <v>#VALUE!</v>
      </c>
      <c r="E6" s="136" t="e">
        <f t="shared" si="1"/>
        <v>#VALUE!</v>
      </c>
      <c r="F6" s="136" t="e">
        <f t="shared" si="2"/>
        <v>#VALUE!</v>
      </c>
    </row>
    <row r="7" spans="2:6" x14ac:dyDescent="0.25">
      <c r="B7" s="135">
        <f t="shared" si="3"/>
        <v>5</v>
      </c>
      <c r="C7" s="136" t="e">
        <f t="shared" si="4"/>
        <v>#VALUE!</v>
      </c>
      <c r="D7" s="136" t="e">
        <f t="shared" si="0"/>
        <v>#VALUE!</v>
      </c>
      <c r="E7" s="136" t="e">
        <f t="shared" si="1"/>
        <v>#VALUE!</v>
      </c>
      <c r="F7" s="136" t="e">
        <f t="shared" si="2"/>
        <v>#VALUE!</v>
      </c>
    </row>
    <row r="8" spans="2:6" x14ac:dyDescent="0.25">
      <c r="B8" s="135">
        <f t="shared" si="3"/>
        <v>6</v>
      </c>
      <c r="C8" s="136" t="e">
        <f t="shared" si="4"/>
        <v>#VALUE!</v>
      </c>
      <c r="D8" s="136" t="e">
        <f t="shared" si="0"/>
        <v>#VALUE!</v>
      </c>
      <c r="E8" s="136" t="e">
        <f t="shared" si="1"/>
        <v>#VALUE!</v>
      </c>
      <c r="F8" s="136" t="e">
        <f t="shared" si="2"/>
        <v>#VALUE!</v>
      </c>
    </row>
    <row r="9" spans="2:6" x14ac:dyDescent="0.25">
      <c r="B9" s="135">
        <f t="shared" si="3"/>
        <v>7</v>
      </c>
      <c r="C9" s="136" t="e">
        <f t="shared" si="4"/>
        <v>#VALUE!</v>
      </c>
      <c r="D9" s="136" t="e">
        <f t="shared" si="0"/>
        <v>#VALUE!</v>
      </c>
      <c r="E9" s="136" t="e">
        <f t="shared" si="1"/>
        <v>#VALUE!</v>
      </c>
      <c r="F9" s="136" t="e">
        <f t="shared" si="2"/>
        <v>#VALUE!</v>
      </c>
    </row>
    <row r="10" spans="2:6" x14ac:dyDescent="0.25">
      <c r="B10" s="135">
        <f t="shared" si="3"/>
        <v>8</v>
      </c>
      <c r="C10" s="136" t="e">
        <f t="shared" si="4"/>
        <v>#VALUE!</v>
      </c>
      <c r="D10" s="136" t="e">
        <f t="shared" si="0"/>
        <v>#VALUE!</v>
      </c>
      <c r="E10" s="136" t="e">
        <f t="shared" si="1"/>
        <v>#VALUE!</v>
      </c>
      <c r="F10" s="136" t="e">
        <f t="shared" si="2"/>
        <v>#VALUE!</v>
      </c>
    </row>
    <row r="11" spans="2:6" x14ac:dyDescent="0.25">
      <c r="B11" s="135">
        <f t="shared" si="3"/>
        <v>9</v>
      </c>
      <c r="C11" s="136" t="e">
        <f t="shared" si="4"/>
        <v>#VALUE!</v>
      </c>
      <c r="D11" s="136" t="e">
        <f t="shared" si="0"/>
        <v>#VALUE!</v>
      </c>
      <c r="E11" s="136" t="e">
        <f t="shared" si="1"/>
        <v>#VALUE!</v>
      </c>
      <c r="F11" s="136" t="e">
        <f t="shared" si="2"/>
        <v>#VALUE!</v>
      </c>
    </row>
    <row r="12" spans="2:6" x14ac:dyDescent="0.25">
      <c r="B12" s="135">
        <f t="shared" si="3"/>
        <v>10</v>
      </c>
      <c r="C12" s="136" t="e">
        <f t="shared" si="4"/>
        <v>#VALUE!</v>
      </c>
      <c r="D12" s="136" t="e">
        <f t="shared" si="0"/>
        <v>#VALUE!</v>
      </c>
      <c r="E12" s="136" t="e">
        <f t="shared" si="1"/>
        <v>#VALUE!</v>
      </c>
      <c r="F12" s="136" t="e">
        <f t="shared" si="2"/>
        <v>#VALUE!</v>
      </c>
    </row>
    <row r="13" spans="2:6" x14ac:dyDescent="0.25">
      <c r="B13" s="135">
        <f t="shared" si="3"/>
        <v>11</v>
      </c>
      <c r="C13" s="136" t="e">
        <f t="shared" si="4"/>
        <v>#VALUE!</v>
      </c>
      <c r="D13" s="136" t="e">
        <f t="shared" si="0"/>
        <v>#VALUE!</v>
      </c>
      <c r="E13" s="136" t="e">
        <f t="shared" si="1"/>
        <v>#VALUE!</v>
      </c>
      <c r="F13" s="136" t="e">
        <f t="shared" si="2"/>
        <v>#VALUE!</v>
      </c>
    </row>
    <row r="14" spans="2:6" x14ac:dyDescent="0.25">
      <c r="B14" s="135">
        <f t="shared" si="3"/>
        <v>12</v>
      </c>
      <c r="C14" s="136" t="e">
        <f t="shared" si="4"/>
        <v>#VALUE!</v>
      </c>
      <c r="D14" s="136" t="e">
        <f t="shared" si="0"/>
        <v>#VALUE!</v>
      </c>
      <c r="E14" s="136" t="e">
        <f t="shared" si="1"/>
        <v>#VALUE!</v>
      </c>
      <c r="F14" s="136" t="e">
        <f t="shared" si="2"/>
        <v>#VALUE!</v>
      </c>
    </row>
    <row r="15" spans="2:6" x14ac:dyDescent="0.25">
      <c r="B15" s="135">
        <f t="shared" si="3"/>
        <v>13</v>
      </c>
      <c r="C15" s="136" t="e">
        <f t="shared" si="4"/>
        <v>#VALUE!</v>
      </c>
      <c r="D15" s="136" t="e">
        <f t="shared" si="0"/>
        <v>#VALUE!</v>
      </c>
      <c r="E15" s="136" t="e">
        <f t="shared" si="1"/>
        <v>#VALUE!</v>
      </c>
      <c r="F15" s="136" t="e">
        <f t="shared" si="2"/>
        <v>#VALUE!</v>
      </c>
    </row>
    <row r="16" spans="2:6" x14ac:dyDescent="0.25">
      <c r="B16" s="135">
        <f t="shared" si="3"/>
        <v>14</v>
      </c>
      <c r="C16" s="136" t="e">
        <f t="shared" si="4"/>
        <v>#VALUE!</v>
      </c>
      <c r="D16" s="136" t="e">
        <f t="shared" si="0"/>
        <v>#VALUE!</v>
      </c>
      <c r="E16" s="136" t="e">
        <f t="shared" si="1"/>
        <v>#VALUE!</v>
      </c>
      <c r="F16" s="136" t="e">
        <f t="shared" si="2"/>
        <v>#VALUE!</v>
      </c>
    </row>
    <row r="17" spans="2:6" x14ac:dyDescent="0.25">
      <c r="B17" s="135">
        <f t="shared" si="3"/>
        <v>15</v>
      </c>
      <c r="C17" s="136" t="e">
        <f t="shared" si="4"/>
        <v>#VALUE!</v>
      </c>
      <c r="D17" s="136" t="e">
        <f t="shared" si="0"/>
        <v>#VALUE!</v>
      </c>
      <c r="E17" s="136" t="e">
        <f t="shared" si="1"/>
        <v>#VALUE!</v>
      </c>
      <c r="F17" s="136" t="e">
        <f t="shared" si="2"/>
        <v>#VALUE!</v>
      </c>
    </row>
    <row r="18" spans="2:6" x14ac:dyDescent="0.25">
      <c r="B18" s="135">
        <f t="shared" si="3"/>
        <v>16</v>
      </c>
      <c r="C18" s="136" t="e">
        <f t="shared" si="4"/>
        <v>#VALUE!</v>
      </c>
      <c r="D18" s="136" t="e">
        <f t="shared" si="0"/>
        <v>#VALUE!</v>
      </c>
      <c r="E18" s="136" t="e">
        <f t="shared" si="1"/>
        <v>#VALUE!</v>
      </c>
      <c r="F18" s="136" t="e">
        <f t="shared" si="2"/>
        <v>#VALUE!</v>
      </c>
    </row>
    <row r="19" spans="2:6" x14ac:dyDescent="0.25">
      <c r="B19" s="135">
        <f t="shared" si="3"/>
        <v>17</v>
      </c>
      <c r="C19" s="136" t="e">
        <f t="shared" si="4"/>
        <v>#VALUE!</v>
      </c>
      <c r="D19" s="136" t="e">
        <f t="shared" si="0"/>
        <v>#VALUE!</v>
      </c>
      <c r="E19" s="136" t="e">
        <f t="shared" si="1"/>
        <v>#VALUE!</v>
      </c>
      <c r="F19" s="136" t="e">
        <f t="shared" si="2"/>
        <v>#VALUE!</v>
      </c>
    </row>
    <row r="20" spans="2:6" x14ac:dyDescent="0.25">
      <c r="B20" s="135">
        <f t="shared" si="3"/>
        <v>18</v>
      </c>
      <c r="C20" s="136" t="e">
        <f t="shared" si="4"/>
        <v>#VALUE!</v>
      </c>
      <c r="D20" s="136" t="e">
        <f t="shared" si="0"/>
        <v>#VALUE!</v>
      </c>
      <c r="E20" s="136" t="e">
        <f t="shared" si="1"/>
        <v>#VALUE!</v>
      </c>
      <c r="F20" s="136" t="e">
        <f t="shared" si="2"/>
        <v>#VALUE!</v>
      </c>
    </row>
    <row r="21" spans="2:6" x14ac:dyDescent="0.25">
      <c r="B21" s="135">
        <f t="shared" si="3"/>
        <v>19</v>
      </c>
      <c r="C21" s="136" t="e">
        <f t="shared" si="4"/>
        <v>#VALUE!</v>
      </c>
      <c r="D21" s="136" t="e">
        <f t="shared" si="0"/>
        <v>#VALUE!</v>
      </c>
      <c r="E21" s="136" t="e">
        <f t="shared" si="1"/>
        <v>#VALUE!</v>
      </c>
      <c r="F21" s="136" t="e">
        <f t="shared" si="2"/>
        <v>#VALUE!</v>
      </c>
    </row>
    <row r="22" spans="2:6" x14ac:dyDescent="0.25">
      <c r="B22" s="135">
        <f t="shared" si="3"/>
        <v>20</v>
      </c>
      <c r="C22" s="136" t="e">
        <f t="shared" si="4"/>
        <v>#VALUE!</v>
      </c>
      <c r="D22" s="136" t="e">
        <f t="shared" si="0"/>
        <v>#VALUE!</v>
      </c>
      <c r="E22" s="136" t="e">
        <f t="shared" si="1"/>
        <v>#VALUE!</v>
      </c>
      <c r="F22" s="136" t="e">
        <f t="shared" si="2"/>
        <v>#VALUE!</v>
      </c>
    </row>
    <row r="23" spans="2:6" x14ac:dyDescent="0.25">
      <c r="B23" s="135">
        <f t="shared" si="3"/>
        <v>21</v>
      </c>
      <c r="C23" s="136" t="e">
        <f t="shared" si="4"/>
        <v>#VALUE!</v>
      </c>
      <c r="D23" s="136" t="e">
        <f t="shared" si="0"/>
        <v>#VALUE!</v>
      </c>
      <c r="E23" s="136" t="e">
        <f t="shared" si="1"/>
        <v>#VALUE!</v>
      </c>
      <c r="F23" s="136" t="e">
        <f t="shared" si="2"/>
        <v>#VALUE!</v>
      </c>
    </row>
    <row r="24" spans="2:6" x14ac:dyDescent="0.25">
      <c r="B24" s="135">
        <f t="shared" si="3"/>
        <v>22</v>
      </c>
      <c r="C24" s="136" t="e">
        <f t="shared" si="4"/>
        <v>#VALUE!</v>
      </c>
      <c r="D24" s="136" t="e">
        <f t="shared" si="0"/>
        <v>#VALUE!</v>
      </c>
      <c r="E24" s="136" t="e">
        <f t="shared" si="1"/>
        <v>#VALUE!</v>
      </c>
      <c r="F24" s="136" t="e">
        <f t="shared" si="2"/>
        <v>#VALUE!</v>
      </c>
    </row>
    <row r="25" spans="2:6" x14ac:dyDescent="0.25">
      <c r="B25" s="135">
        <f t="shared" si="3"/>
        <v>23</v>
      </c>
      <c r="C25" s="136" t="e">
        <f t="shared" si="4"/>
        <v>#VALUE!</v>
      </c>
      <c r="D25" s="136" t="e">
        <f t="shared" si="0"/>
        <v>#VALUE!</v>
      </c>
      <c r="E25" s="136" t="e">
        <f t="shared" si="1"/>
        <v>#VALUE!</v>
      </c>
      <c r="F25" s="136" t="e">
        <f t="shared" si="2"/>
        <v>#VALUE!</v>
      </c>
    </row>
    <row r="26" spans="2:6" x14ac:dyDescent="0.25">
      <c r="B26" s="135">
        <f t="shared" si="3"/>
        <v>24</v>
      </c>
      <c r="C26" s="136" t="e">
        <f t="shared" si="4"/>
        <v>#VALUE!</v>
      </c>
      <c r="D26" s="136" t="e">
        <f t="shared" si="0"/>
        <v>#VALUE!</v>
      </c>
      <c r="E26" s="136" t="e">
        <f t="shared" si="1"/>
        <v>#VALUE!</v>
      </c>
      <c r="F26" s="136" t="e">
        <f t="shared" si="2"/>
        <v>#VALUE!</v>
      </c>
    </row>
    <row r="27" spans="2:6" x14ac:dyDescent="0.25">
      <c r="B27" s="135">
        <f t="shared" si="3"/>
        <v>25</v>
      </c>
      <c r="C27" s="136" t="e">
        <f t="shared" si="4"/>
        <v>#VALUE!</v>
      </c>
      <c r="D27" s="136" t="e">
        <f t="shared" si="0"/>
        <v>#VALUE!</v>
      </c>
      <c r="E27" s="136" t="e">
        <f t="shared" si="1"/>
        <v>#VALUE!</v>
      </c>
      <c r="F27" s="136" t="e">
        <f t="shared" si="2"/>
        <v>#VALUE!</v>
      </c>
    </row>
    <row r="28" spans="2:6" x14ac:dyDescent="0.25">
      <c r="B28" s="135">
        <f t="shared" si="3"/>
        <v>26</v>
      </c>
      <c r="C28" s="136" t="e">
        <f t="shared" si="4"/>
        <v>#VALUE!</v>
      </c>
      <c r="D28" s="136" t="e">
        <f t="shared" si="0"/>
        <v>#VALUE!</v>
      </c>
      <c r="E28" s="136" t="e">
        <f t="shared" si="1"/>
        <v>#VALUE!</v>
      </c>
      <c r="F28" s="136" t="e">
        <f t="shared" si="2"/>
        <v>#VALUE!</v>
      </c>
    </row>
    <row r="29" spans="2:6" x14ac:dyDescent="0.25">
      <c r="B29" s="135">
        <f t="shared" si="3"/>
        <v>27</v>
      </c>
      <c r="C29" s="136" t="e">
        <f t="shared" si="4"/>
        <v>#VALUE!</v>
      </c>
      <c r="D29" s="136" t="e">
        <f t="shared" si="0"/>
        <v>#VALUE!</v>
      </c>
      <c r="E29" s="136" t="e">
        <f t="shared" si="1"/>
        <v>#VALUE!</v>
      </c>
      <c r="F29" s="136" t="e">
        <f t="shared" si="2"/>
        <v>#VALUE!</v>
      </c>
    </row>
    <row r="30" spans="2:6" x14ac:dyDescent="0.25">
      <c r="B30" s="135">
        <f t="shared" si="3"/>
        <v>28</v>
      </c>
      <c r="C30" s="136" t="e">
        <f t="shared" si="4"/>
        <v>#VALUE!</v>
      </c>
      <c r="D30" s="136" t="e">
        <f t="shared" si="0"/>
        <v>#VALUE!</v>
      </c>
      <c r="E30" s="136" t="e">
        <f t="shared" si="1"/>
        <v>#VALUE!</v>
      </c>
      <c r="F30" s="136" t="e">
        <f t="shared" si="2"/>
        <v>#VALUE!</v>
      </c>
    </row>
    <row r="31" spans="2:6" x14ac:dyDescent="0.25">
      <c r="B31" s="135">
        <f t="shared" si="3"/>
        <v>29</v>
      </c>
      <c r="C31" s="136" t="e">
        <f t="shared" si="4"/>
        <v>#VALUE!</v>
      </c>
      <c r="D31" s="136" t="e">
        <f t="shared" si="0"/>
        <v>#VALUE!</v>
      </c>
      <c r="E31" s="136" t="e">
        <f t="shared" si="1"/>
        <v>#VALUE!</v>
      </c>
      <c r="F31" s="136" t="e">
        <f t="shared" si="2"/>
        <v>#VALUE!</v>
      </c>
    </row>
    <row r="32" spans="2:6" x14ac:dyDescent="0.25">
      <c r="B32" s="135">
        <f t="shared" si="3"/>
        <v>30</v>
      </c>
      <c r="C32" s="136" t="e">
        <f t="shared" si="4"/>
        <v>#VALUE!</v>
      </c>
      <c r="D32" s="136" t="e">
        <f t="shared" si="0"/>
        <v>#VALUE!</v>
      </c>
      <c r="E32" s="136" t="e">
        <f t="shared" si="1"/>
        <v>#VALUE!</v>
      </c>
      <c r="F32" s="136" t="e">
        <f t="shared" si="2"/>
        <v>#VALUE!</v>
      </c>
    </row>
  </sheetData>
  <pageMargins left="0.7" right="0.7" top="0.75" bottom="0.75" header="0.3" footer="0.3"/>
  <headerFooter>
    <oddFooter>&amp;C_x000D_&amp;1#&amp;"Aptos"&amp;10&amp;K000000 Barings-Public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A2D29-05A6-4351-AE6D-AD2A8096DE22}">
  <dimension ref="B2:F362"/>
  <sheetViews>
    <sheetView showGridLines="0" workbookViewId="0"/>
  </sheetViews>
  <sheetFormatPr defaultColWidth="9" defaultRowHeight="15" x14ac:dyDescent="0.25"/>
  <cols>
    <col min="1" max="1" width="4" style="1" customWidth="1"/>
    <col min="2" max="2" width="6.25" style="135" bestFit="1" customWidth="1"/>
    <col min="3" max="3" width="10.75" style="135" bestFit="1" customWidth="1"/>
    <col min="4" max="4" width="12.5" style="135" bestFit="1" customWidth="1"/>
    <col min="5" max="5" width="11.5" style="135" bestFit="1" customWidth="1"/>
    <col min="6" max="6" width="13.625" style="135" bestFit="1" customWidth="1"/>
    <col min="7" max="16384" width="9" style="1"/>
  </cols>
  <sheetData>
    <row r="2" spans="2:6" x14ac:dyDescent="0.25">
      <c r="B2" s="134" t="s">
        <v>25</v>
      </c>
      <c r="C2" s="134" t="s">
        <v>35</v>
      </c>
      <c r="D2" s="134" t="s">
        <v>33</v>
      </c>
      <c r="E2" s="134" t="s">
        <v>34</v>
      </c>
      <c r="F2" s="134" t="s">
        <v>36</v>
      </c>
    </row>
    <row r="3" spans="2:6" x14ac:dyDescent="0.25">
      <c r="B3" s="135">
        <v>1</v>
      </c>
      <c r="C3" s="136" t="str">
        <f>'Inputs &amp; Summary'!P12</f>
        <v>n/a</v>
      </c>
      <c r="D3" s="136" t="e">
        <f t="shared" ref="D3:D66" si="0">PPMT(LoanRate/12,$B3,LoanAmortization*12,-LoanAmount)</f>
        <v>#VALUE!</v>
      </c>
      <c r="E3" s="136" t="e">
        <f t="shared" ref="E3:E66" si="1">IPMT(LoanRate/12,$B3,LoanAmortization*12,-LoanAmount)</f>
        <v>#VALUE!</v>
      </c>
      <c r="F3" s="136" t="e">
        <f>C3-D3</f>
        <v>#VALUE!</v>
      </c>
    </row>
    <row r="4" spans="2:6" x14ac:dyDescent="0.25">
      <c r="B4" s="135">
        <f>B3+1</f>
        <v>2</v>
      </c>
      <c r="C4" s="136" t="e">
        <f>F3</f>
        <v>#VALUE!</v>
      </c>
      <c r="D4" s="136" t="e">
        <f t="shared" si="0"/>
        <v>#VALUE!</v>
      </c>
      <c r="E4" s="136" t="e">
        <f t="shared" si="1"/>
        <v>#VALUE!</v>
      </c>
      <c r="F4" s="136" t="e">
        <f t="shared" ref="F4:F67" si="2">C4-D4</f>
        <v>#VALUE!</v>
      </c>
    </row>
    <row r="5" spans="2:6" x14ac:dyDescent="0.25">
      <c r="B5" s="135">
        <f t="shared" ref="B5:B68" si="3">B4+1</f>
        <v>3</v>
      </c>
      <c r="C5" s="136" t="e">
        <f t="shared" ref="C5:C68" si="4">F4</f>
        <v>#VALUE!</v>
      </c>
      <c r="D5" s="136" t="e">
        <f t="shared" si="0"/>
        <v>#VALUE!</v>
      </c>
      <c r="E5" s="136" t="e">
        <f t="shared" si="1"/>
        <v>#VALUE!</v>
      </c>
      <c r="F5" s="136" t="e">
        <f t="shared" si="2"/>
        <v>#VALUE!</v>
      </c>
    </row>
    <row r="6" spans="2:6" x14ac:dyDescent="0.25">
      <c r="B6" s="135">
        <f t="shared" si="3"/>
        <v>4</v>
      </c>
      <c r="C6" s="136" t="e">
        <f t="shared" si="4"/>
        <v>#VALUE!</v>
      </c>
      <c r="D6" s="136" t="e">
        <f t="shared" si="0"/>
        <v>#VALUE!</v>
      </c>
      <c r="E6" s="136" t="e">
        <f t="shared" si="1"/>
        <v>#VALUE!</v>
      </c>
      <c r="F6" s="136" t="e">
        <f t="shared" si="2"/>
        <v>#VALUE!</v>
      </c>
    </row>
    <row r="7" spans="2:6" x14ac:dyDescent="0.25">
      <c r="B7" s="135">
        <f t="shared" si="3"/>
        <v>5</v>
      </c>
      <c r="C7" s="136" t="e">
        <f t="shared" si="4"/>
        <v>#VALUE!</v>
      </c>
      <c r="D7" s="136" t="e">
        <f t="shared" si="0"/>
        <v>#VALUE!</v>
      </c>
      <c r="E7" s="136" t="e">
        <f t="shared" si="1"/>
        <v>#VALUE!</v>
      </c>
      <c r="F7" s="136" t="e">
        <f t="shared" si="2"/>
        <v>#VALUE!</v>
      </c>
    </row>
    <row r="8" spans="2:6" x14ac:dyDescent="0.25">
      <c r="B8" s="135">
        <f t="shared" si="3"/>
        <v>6</v>
      </c>
      <c r="C8" s="136" t="e">
        <f t="shared" si="4"/>
        <v>#VALUE!</v>
      </c>
      <c r="D8" s="136" t="e">
        <f t="shared" si="0"/>
        <v>#VALUE!</v>
      </c>
      <c r="E8" s="136" t="e">
        <f t="shared" si="1"/>
        <v>#VALUE!</v>
      </c>
      <c r="F8" s="136" t="e">
        <f t="shared" si="2"/>
        <v>#VALUE!</v>
      </c>
    </row>
    <row r="9" spans="2:6" x14ac:dyDescent="0.25">
      <c r="B9" s="135">
        <f t="shared" si="3"/>
        <v>7</v>
      </c>
      <c r="C9" s="136" t="e">
        <f t="shared" si="4"/>
        <v>#VALUE!</v>
      </c>
      <c r="D9" s="136" t="e">
        <f t="shared" si="0"/>
        <v>#VALUE!</v>
      </c>
      <c r="E9" s="136" t="e">
        <f t="shared" si="1"/>
        <v>#VALUE!</v>
      </c>
      <c r="F9" s="136" t="e">
        <f t="shared" si="2"/>
        <v>#VALUE!</v>
      </c>
    </row>
    <row r="10" spans="2:6" x14ac:dyDescent="0.25">
      <c r="B10" s="135">
        <f t="shared" si="3"/>
        <v>8</v>
      </c>
      <c r="C10" s="136" t="e">
        <f t="shared" si="4"/>
        <v>#VALUE!</v>
      </c>
      <c r="D10" s="136" t="e">
        <f t="shared" si="0"/>
        <v>#VALUE!</v>
      </c>
      <c r="E10" s="136" t="e">
        <f t="shared" si="1"/>
        <v>#VALUE!</v>
      </c>
      <c r="F10" s="136" t="e">
        <f t="shared" si="2"/>
        <v>#VALUE!</v>
      </c>
    </row>
    <row r="11" spans="2:6" x14ac:dyDescent="0.25">
      <c r="B11" s="135">
        <f t="shared" si="3"/>
        <v>9</v>
      </c>
      <c r="C11" s="136" t="e">
        <f t="shared" si="4"/>
        <v>#VALUE!</v>
      </c>
      <c r="D11" s="136" t="e">
        <f t="shared" si="0"/>
        <v>#VALUE!</v>
      </c>
      <c r="E11" s="136" t="e">
        <f t="shared" si="1"/>
        <v>#VALUE!</v>
      </c>
      <c r="F11" s="136" t="e">
        <f t="shared" si="2"/>
        <v>#VALUE!</v>
      </c>
    </row>
    <row r="12" spans="2:6" x14ac:dyDescent="0.25">
      <c r="B12" s="135">
        <f t="shared" si="3"/>
        <v>10</v>
      </c>
      <c r="C12" s="136" t="e">
        <f t="shared" si="4"/>
        <v>#VALUE!</v>
      </c>
      <c r="D12" s="136" t="e">
        <f t="shared" si="0"/>
        <v>#VALUE!</v>
      </c>
      <c r="E12" s="136" t="e">
        <f t="shared" si="1"/>
        <v>#VALUE!</v>
      </c>
      <c r="F12" s="136" t="e">
        <f t="shared" si="2"/>
        <v>#VALUE!</v>
      </c>
    </row>
    <row r="13" spans="2:6" x14ac:dyDescent="0.25">
      <c r="B13" s="135">
        <f t="shared" si="3"/>
        <v>11</v>
      </c>
      <c r="C13" s="136" t="e">
        <f t="shared" si="4"/>
        <v>#VALUE!</v>
      </c>
      <c r="D13" s="136" t="e">
        <f t="shared" si="0"/>
        <v>#VALUE!</v>
      </c>
      <c r="E13" s="136" t="e">
        <f t="shared" si="1"/>
        <v>#VALUE!</v>
      </c>
      <c r="F13" s="136" t="e">
        <f t="shared" si="2"/>
        <v>#VALUE!</v>
      </c>
    </row>
    <row r="14" spans="2:6" x14ac:dyDescent="0.25">
      <c r="B14" s="135">
        <f t="shared" si="3"/>
        <v>12</v>
      </c>
      <c r="C14" s="136" t="e">
        <f t="shared" si="4"/>
        <v>#VALUE!</v>
      </c>
      <c r="D14" s="136" t="e">
        <f t="shared" si="0"/>
        <v>#VALUE!</v>
      </c>
      <c r="E14" s="136" t="e">
        <f t="shared" si="1"/>
        <v>#VALUE!</v>
      </c>
      <c r="F14" s="136" t="e">
        <f t="shared" si="2"/>
        <v>#VALUE!</v>
      </c>
    </row>
    <row r="15" spans="2:6" x14ac:dyDescent="0.25">
      <c r="B15" s="135">
        <f t="shared" si="3"/>
        <v>13</v>
      </c>
      <c r="C15" s="136" t="e">
        <f t="shared" si="4"/>
        <v>#VALUE!</v>
      </c>
      <c r="D15" s="136" t="e">
        <f t="shared" si="0"/>
        <v>#VALUE!</v>
      </c>
      <c r="E15" s="136" t="e">
        <f t="shared" si="1"/>
        <v>#VALUE!</v>
      </c>
      <c r="F15" s="136" t="e">
        <f t="shared" si="2"/>
        <v>#VALUE!</v>
      </c>
    </row>
    <row r="16" spans="2:6" x14ac:dyDescent="0.25">
      <c r="B16" s="135">
        <f t="shared" si="3"/>
        <v>14</v>
      </c>
      <c r="C16" s="136" t="e">
        <f t="shared" si="4"/>
        <v>#VALUE!</v>
      </c>
      <c r="D16" s="136" t="e">
        <f t="shared" si="0"/>
        <v>#VALUE!</v>
      </c>
      <c r="E16" s="136" t="e">
        <f t="shared" si="1"/>
        <v>#VALUE!</v>
      </c>
      <c r="F16" s="136" t="e">
        <f t="shared" si="2"/>
        <v>#VALUE!</v>
      </c>
    </row>
    <row r="17" spans="2:6" x14ac:dyDescent="0.25">
      <c r="B17" s="135">
        <f t="shared" si="3"/>
        <v>15</v>
      </c>
      <c r="C17" s="136" t="e">
        <f t="shared" si="4"/>
        <v>#VALUE!</v>
      </c>
      <c r="D17" s="136" t="e">
        <f t="shared" si="0"/>
        <v>#VALUE!</v>
      </c>
      <c r="E17" s="136" t="e">
        <f t="shared" si="1"/>
        <v>#VALUE!</v>
      </c>
      <c r="F17" s="136" t="e">
        <f t="shared" si="2"/>
        <v>#VALUE!</v>
      </c>
    </row>
    <row r="18" spans="2:6" x14ac:dyDescent="0.25">
      <c r="B18" s="135">
        <f t="shared" si="3"/>
        <v>16</v>
      </c>
      <c r="C18" s="136" t="e">
        <f t="shared" si="4"/>
        <v>#VALUE!</v>
      </c>
      <c r="D18" s="136" t="e">
        <f t="shared" si="0"/>
        <v>#VALUE!</v>
      </c>
      <c r="E18" s="136" t="e">
        <f t="shared" si="1"/>
        <v>#VALUE!</v>
      </c>
      <c r="F18" s="136" t="e">
        <f t="shared" si="2"/>
        <v>#VALUE!</v>
      </c>
    </row>
    <row r="19" spans="2:6" x14ac:dyDescent="0.25">
      <c r="B19" s="135">
        <f t="shared" si="3"/>
        <v>17</v>
      </c>
      <c r="C19" s="136" t="e">
        <f t="shared" si="4"/>
        <v>#VALUE!</v>
      </c>
      <c r="D19" s="136" t="e">
        <f t="shared" si="0"/>
        <v>#VALUE!</v>
      </c>
      <c r="E19" s="136" t="e">
        <f t="shared" si="1"/>
        <v>#VALUE!</v>
      </c>
      <c r="F19" s="136" t="e">
        <f t="shared" si="2"/>
        <v>#VALUE!</v>
      </c>
    </row>
    <row r="20" spans="2:6" x14ac:dyDescent="0.25">
      <c r="B20" s="135">
        <f t="shared" si="3"/>
        <v>18</v>
      </c>
      <c r="C20" s="136" t="e">
        <f t="shared" si="4"/>
        <v>#VALUE!</v>
      </c>
      <c r="D20" s="136" t="e">
        <f t="shared" si="0"/>
        <v>#VALUE!</v>
      </c>
      <c r="E20" s="136" t="e">
        <f t="shared" si="1"/>
        <v>#VALUE!</v>
      </c>
      <c r="F20" s="136" t="e">
        <f t="shared" si="2"/>
        <v>#VALUE!</v>
      </c>
    </row>
    <row r="21" spans="2:6" x14ac:dyDescent="0.25">
      <c r="B21" s="135">
        <f t="shared" si="3"/>
        <v>19</v>
      </c>
      <c r="C21" s="136" t="e">
        <f t="shared" si="4"/>
        <v>#VALUE!</v>
      </c>
      <c r="D21" s="136" t="e">
        <f t="shared" si="0"/>
        <v>#VALUE!</v>
      </c>
      <c r="E21" s="136" t="e">
        <f t="shared" si="1"/>
        <v>#VALUE!</v>
      </c>
      <c r="F21" s="136" t="e">
        <f t="shared" si="2"/>
        <v>#VALUE!</v>
      </c>
    </row>
    <row r="22" spans="2:6" x14ac:dyDescent="0.25">
      <c r="B22" s="135">
        <f t="shared" si="3"/>
        <v>20</v>
      </c>
      <c r="C22" s="136" t="e">
        <f t="shared" si="4"/>
        <v>#VALUE!</v>
      </c>
      <c r="D22" s="136" t="e">
        <f t="shared" si="0"/>
        <v>#VALUE!</v>
      </c>
      <c r="E22" s="136" t="e">
        <f t="shared" si="1"/>
        <v>#VALUE!</v>
      </c>
      <c r="F22" s="136" t="e">
        <f t="shared" si="2"/>
        <v>#VALUE!</v>
      </c>
    </row>
    <row r="23" spans="2:6" x14ac:dyDescent="0.25">
      <c r="B23" s="135">
        <f t="shared" si="3"/>
        <v>21</v>
      </c>
      <c r="C23" s="136" t="e">
        <f t="shared" si="4"/>
        <v>#VALUE!</v>
      </c>
      <c r="D23" s="136" t="e">
        <f t="shared" si="0"/>
        <v>#VALUE!</v>
      </c>
      <c r="E23" s="136" t="e">
        <f t="shared" si="1"/>
        <v>#VALUE!</v>
      </c>
      <c r="F23" s="136" t="e">
        <f t="shared" si="2"/>
        <v>#VALUE!</v>
      </c>
    </row>
    <row r="24" spans="2:6" x14ac:dyDescent="0.25">
      <c r="B24" s="135">
        <f t="shared" si="3"/>
        <v>22</v>
      </c>
      <c r="C24" s="136" t="e">
        <f t="shared" si="4"/>
        <v>#VALUE!</v>
      </c>
      <c r="D24" s="136" t="e">
        <f t="shared" si="0"/>
        <v>#VALUE!</v>
      </c>
      <c r="E24" s="136" t="e">
        <f t="shared" si="1"/>
        <v>#VALUE!</v>
      </c>
      <c r="F24" s="136" t="e">
        <f t="shared" si="2"/>
        <v>#VALUE!</v>
      </c>
    </row>
    <row r="25" spans="2:6" x14ac:dyDescent="0.25">
      <c r="B25" s="135">
        <f t="shared" si="3"/>
        <v>23</v>
      </c>
      <c r="C25" s="136" t="e">
        <f t="shared" si="4"/>
        <v>#VALUE!</v>
      </c>
      <c r="D25" s="136" t="e">
        <f t="shared" si="0"/>
        <v>#VALUE!</v>
      </c>
      <c r="E25" s="136" t="e">
        <f t="shared" si="1"/>
        <v>#VALUE!</v>
      </c>
      <c r="F25" s="136" t="e">
        <f t="shared" si="2"/>
        <v>#VALUE!</v>
      </c>
    </row>
    <row r="26" spans="2:6" x14ac:dyDescent="0.25">
      <c r="B26" s="135">
        <f t="shared" si="3"/>
        <v>24</v>
      </c>
      <c r="C26" s="136" t="e">
        <f t="shared" si="4"/>
        <v>#VALUE!</v>
      </c>
      <c r="D26" s="136" t="e">
        <f t="shared" si="0"/>
        <v>#VALUE!</v>
      </c>
      <c r="E26" s="136" t="e">
        <f t="shared" si="1"/>
        <v>#VALUE!</v>
      </c>
      <c r="F26" s="136" t="e">
        <f t="shared" si="2"/>
        <v>#VALUE!</v>
      </c>
    </row>
    <row r="27" spans="2:6" x14ac:dyDescent="0.25">
      <c r="B27" s="135">
        <f t="shared" si="3"/>
        <v>25</v>
      </c>
      <c r="C27" s="136" t="e">
        <f t="shared" si="4"/>
        <v>#VALUE!</v>
      </c>
      <c r="D27" s="136" t="e">
        <f t="shared" si="0"/>
        <v>#VALUE!</v>
      </c>
      <c r="E27" s="136" t="e">
        <f t="shared" si="1"/>
        <v>#VALUE!</v>
      </c>
      <c r="F27" s="136" t="e">
        <f t="shared" si="2"/>
        <v>#VALUE!</v>
      </c>
    </row>
    <row r="28" spans="2:6" x14ac:dyDescent="0.25">
      <c r="B28" s="135">
        <f t="shared" si="3"/>
        <v>26</v>
      </c>
      <c r="C28" s="136" t="e">
        <f t="shared" si="4"/>
        <v>#VALUE!</v>
      </c>
      <c r="D28" s="136" t="e">
        <f t="shared" si="0"/>
        <v>#VALUE!</v>
      </c>
      <c r="E28" s="136" t="e">
        <f t="shared" si="1"/>
        <v>#VALUE!</v>
      </c>
      <c r="F28" s="136" t="e">
        <f t="shared" si="2"/>
        <v>#VALUE!</v>
      </c>
    </row>
    <row r="29" spans="2:6" x14ac:dyDescent="0.25">
      <c r="B29" s="135">
        <f t="shared" si="3"/>
        <v>27</v>
      </c>
      <c r="C29" s="136" t="e">
        <f t="shared" si="4"/>
        <v>#VALUE!</v>
      </c>
      <c r="D29" s="136" t="e">
        <f t="shared" si="0"/>
        <v>#VALUE!</v>
      </c>
      <c r="E29" s="136" t="e">
        <f t="shared" si="1"/>
        <v>#VALUE!</v>
      </c>
      <c r="F29" s="136" t="e">
        <f t="shared" si="2"/>
        <v>#VALUE!</v>
      </c>
    </row>
    <row r="30" spans="2:6" x14ac:dyDescent="0.25">
      <c r="B30" s="135">
        <f t="shared" si="3"/>
        <v>28</v>
      </c>
      <c r="C30" s="136" t="e">
        <f t="shared" si="4"/>
        <v>#VALUE!</v>
      </c>
      <c r="D30" s="136" t="e">
        <f t="shared" si="0"/>
        <v>#VALUE!</v>
      </c>
      <c r="E30" s="136" t="e">
        <f t="shared" si="1"/>
        <v>#VALUE!</v>
      </c>
      <c r="F30" s="136" t="e">
        <f t="shared" si="2"/>
        <v>#VALUE!</v>
      </c>
    </row>
    <row r="31" spans="2:6" x14ac:dyDescent="0.25">
      <c r="B31" s="135">
        <f t="shared" si="3"/>
        <v>29</v>
      </c>
      <c r="C31" s="136" t="e">
        <f t="shared" si="4"/>
        <v>#VALUE!</v>
      </c>
      <c r="D31" s="136" t="e">
        <f t="shared" si="0"/>
        <v>#VALUE!</v>
      </c>
      <c r="E31" s="136" t="e">
        <f t="shared" si="1"/>
        <v>#VALUE!</v>
      </c>
      <c r="F31" s="136" t="e">
        <f t="shared" si="2"/>
        <v>#VALUE!</v>
      </c>
    </row>
    <row r="32" spans="2:6" x14ac:dyDescent="0.25">
      <c r="B32" s="135">
        <f t="shared" si="3"/>
        <v>30</v>
      </c>
      <c r="C32" s="136" t="e">
        <f t="shared" si="4"/>
        <v>#VALUE!</v>
      </c>
      <c r="D32" s="136" t="e">
        <f t="shared" si="0"/>
        <v>#VALUE!</v>
      </c>
      <c r="E32" s="136" t="e">
        <f t="shared" si="1"/>
        <v>#VALUE!</v>
      </c>
      <c r="F32" s="136" t="e">
        <f t="shared" si="2"/>
        <v>#VALUE!</v>
      </c>
    </row>
    <row r="33" spans="2:6" x14ac:dyDescent="0.25">
      <c r="B33" s="135">
        <f t="shared" si="3"/>
        <v>31</v>
      </c>
      <c r="C33" s="136" t="e">
        <f t="shared" si="4"/>
        <v>#VALUE!</v>
      </c>
      <c r="D33" s="136" t="e">
        <f t="shared" si="0"/>
        <v>#VALUE!</v>
      </c>
      <c r="E33" s="136" t="e">
        <f t="shared" si="1"/>
        <v>#VALUE!</v>
      </c>
      <c r="F33" s="136" t="e">
        <f t="shared" si="2"/>
        <v>#VALUE!</v>
      </c>
    </row>
    <row r="34" spans="2:6" x14ac:dyDescent="0.25">
      <c r="B34" s="135">
        <f t="shared" si="3"/>
        <v>32</v>
      </c>
      <c r="C34" s="136" t="e">
        <f t="shared" si="4"/>
        <v>#VALUE!</v>
      </c>
      <c r="D34" s="136" t="e">
        <f t="shared" si="0"/>
        <v>#VALUE!</v>
      </c>
      <c r="E34" s="136" t="e">
        <f t="shared" si="1"/>
        <v>#VALUE!</v>
      </c>
      <c r="F34" s="136" t="e">
        <f t="shared" si="2"/>
        <v>#VALUE!</v>
      </c>
    </row>
    <row r="35" spans="2:6" x14ac:dyDescent="0.25">
      <c r="B35" s="135">
        <f t="shared" si="3"/>
        <v>33</v>
      </c>
      <c r="C35" s="136" t="e">
        <f t="shared" si="4"/>
        <v>#VALUE!</v>
      </c>
      <c r="D35" s="136" t="e">
        <f t="shared" si="0"/>
        <v>#VALUE!</v>
      </c>
      <c r="E35" s="136" t="e">
        <f t="shared" si="1"/>
        <v>#VALUE!</v>
      </c>
      <c r="F35" s="136" t="e">
        <f t="shared" si="2"/>
        <v>#VALUE!</v>
      </c>
    </row>
    <row r="36" spans="2:6" x14ac:dyDescent="0.25">
      <c r="B36" s="135">
        <f t="shared" si="3"/>
        <v>34</v>
      </c>
      <c r="C36" s="136" t="e">
        <f t="shared" si="4"/>
        <v>#VALUE!</v>
      </c>
      <c r="D36" s="136" t="e">
        <f t="shared" si="0"/>
        <v>#VALUE!</v>
      </c>
      <c r="E36" s="136" t="e">
        <f t="shared" si="1"/>
        <v>#VALUE!</v>
      </c>
      <c r="F36" s="136" t="e">
        <f t="shared" si="2"/>
        <v>#VALUE!</v>
      </c>
    </row>
    <row r="37" spans="2:6" x14ac:dyDescent="0.25">
      <c r="B37" s="135">
        <f t="shared" si="3"/>
        <v>35</v>
      </c>
      <c r="C37" s="136" t="e">
        <f t="shared" si="4"/>
        <v>#VALUE!</v>
      </c>
      <c r="D37" s="136" t="e">
        <f t="shared" si="0"/>
        <v>#VALUE!</v>
      </c>
      <c r="E37" s="136" t="e">
        <f t="shared" si="1"/>
        <v>#VALUE!</v>
      </c>
      <c r="F37" s="136" t="e">
        <f t="shared" si="2"/>
        <v>#VALUE!</v>
      </c>
    </row>
    <row r="38" spans="2:6" x14ac:dyDescent="0.25">
      <c r="B38" s="135">
        <f t="shared" si="3"/>
        <v>36</v>
      </c>
      <c r="C38" s="136" t="e">
        <f t="shared" si="4"/>
        <v>#VALUE!</v>
      </c>
      <c r="D38" s="136" t="e">
        <f t="shared" si="0"/>
        <v>#VALUE!</v>
      </c>
      <c r="E38" s="136" t="e">
        <f t="shared" si="1"/>
        <v>#VALUE!</v>
      </c>
      <c r="F38" s="136" t="e">
        <f t="shared" si="2"/>
        <v>#VALUE!</v>
      </c>
    </row>
    <row r="39" spans="2:6" x14ac:dyDescent="0.25">
      <c r="B39" s="135">
        <f t="shared" si="3"/>
        <v>37</v>
      </c>
      <c r="C39" s="136" t="e">
        <f t="shared" si="4"/>
        <v>#VALUE!</v>
      </c>
      <c r="D39" s="136" t="e">
        <f t="shared" si="0"/>
        <v>#VALUE!</v>
      </c>
      <c r="E39" s="136" t="e">
        <f t="shared" si="1"/>
        <v>#VALUE!</v>
      </c>
      <c r="F39" s="136" t="e">
        <f t="shared" si="2"/>
        <v>#VALUE!</v>
      </c>
    </row>
    <row r="40" spans="2:6" x14ac:dyDescent="0.25">
      <c r="B40" s="135">
        <f t="shared" si="3"/>
        <v>38</v>
      </c>
      <c r="C40" s="136" t="e">
        <f t="shared" si="4"/>
        <v>#VALUE!</v>
      </c>
      <c r="D40" s="136" t="e">
        <f t="shared" si="0"/>
        <v>#VALUE!</v>
      </c>
      <c r="E40" s="136" t="e">
        <f t="shared" si="1"/>
        <v>#VALUE!</v>
      </c>
      <c r="F40" s="136" t="e">
        <f t="shared" si="2"/>
        <v>#VALUE!</v>
      </c>
    </row>
    <row r="41" spans="2:6" x14ac:dyDescent="0.25">
      <c r="B41" s="135">
        <f t="shared" si="3"/>
        <v>39</v>
      </c>
      <c r="C41" s="136" t="e">
        <f t="shared" si="4"/>
        <v>#VALUE!</v>
      </c>
      <c r="D41" s="136" t="e">
        <f t="shared" si="0"/>
        <v>#VALUE!</v>
      </c>
      <c r="E41" s="136" t="e">
        <f t="shared" si="1"/>
        <v>#VALUE!</v>
      </c>
      <c r="F41" s="136" t="e">
        <f t="shared" si="2"/>
        <v>#VALUE!</v>
      </c>
    </row>
    <row r="42" spans="2:6" x14ac:dyDescent="0.25">
      <c r="B42" s="135">
        <f t="shared" si="3"/>
        <v>40</v>
      </c>
      <c r="C42" s="136" t="e">
        <f t="shared" si="4"/>
        <v>#VALUE!</v>
      </c>
      <c r="D42" s="136" t="e">
        <f t="shared" si="0"/>
        <v>#VALUE!</v>
      </c>
      <c r="E42" s="136" t="e">
        <f t="shared" si="1"/>
        <v>#VALUE!</v>
      </c>
      <c r="F42" s="136" t="e">
        <f t="shared" si="2"/>
        <v>#VALUE!</v>
      </c>
    </row>
    <row r="43" spans="2:6" x14ac:dyDescent="0.25">
      <c r="B43" s="135">
        <f t="shared" si="3"/>
        <v>41</v>
      </c>
      <c r="C43" s="136" t="e">
        <f t="shared" si="4"/>
        <v>#VALUE!</v>
      </c>
      <c r="D43" s="136" t="e">
        <f t="shared" si="0"/>
        <v>#VALUE!</v>
      </c>
      <c r="E43" s="136" t="e">
        <f t="shared" si="1"/>
        <v>#VALUE!</v>
      </c>
      <c r="F43" s="136" t="e">
        <f t="shared" si="2"/>
        <v>#VALUE!</v>
      </c>
    </row>
    <row r="44" spans="2:6" x14ac:dyDescent="0.25">
      <c r="B44" s="135">
        <f t="shared" si="3"/>
        <v>42</v>
      </c>
      <c r="C44" s="136" t="e">
        <f t="shared" si="4"/>
        <v>#VALUE!</v>
      </c>
      <c r="D44" s="136" t="e">
        <f t="shared" si="0"/>
        <v>#VALUE!</v>
      </c>
      <c r="E44" s="136" t="e">
        <f t="shared" si="1"/>
        <v>#VALUE!</v>
      </c>
      <c r="F44" s="136" t="e">
        <f t="shared" si="2"/>
        <v>#VALUE!</v>
      </c>
    </row>
    <row r="45" spans="2:6" x14ac:dyDescent="0.25">
      <c r="B45" s="135">
        <f t="shared" si="3"/>
        <v>43</v>
      </c>
      <c r="C45" s="136" t="e">
        <f t="shared" si="4"/>
        <v>#VALUE!</v>
      </c>
      <c r="D45" s="136" t="e">
        <f t="shared" si="0"/>
        <v>#VALUE!</v>
      </c>
      <c r="E45" s="136" t="e">
        <f t="shared" si="1"/>
        <v>#VALUE!</v>
      </c>
      <c r="F45" s="136" t="e">
        <f t="shared" si="2"/>
        <v>#VALUE!</v>
      </c>
    </row>
    <row r="46" spans="2:6" x14ac:dyDescent="0.25">
      <c r="B46" s="135">
        <f t="shared" si="3"/>
        <v>44</v>
      </c>
      <c r="C46" s="136" t="e">
        <f t="shared" si="4"/>
        <v>#VALUE!</v>
      </c>
      <c r="D46" s="136" t="e">
        <f t="shared" si="0"/>
        <v>#VALUE!</v>
      </c>
      <c r="E46" s="136" t="e">
        <f t="shared" si="1"/>
        <v>#VALUE!</v>
      </c>
      <c r="F46" s="136" t="e">
        <f t="shared" si="2"/>
        <v>#VALUE!</v>
      </c>
    </row>
    <row r="47" spans="2:6" x14ac:dyDescent="0.25">
      <c r="B47" s="135">
        <f t="shared" si="3"/>
        <v>45</v>
      </c>
      <c r="C47" s="136" t="e">
        <f t="shared" si="4"/>
        <v>#VALUE!</v>
      </c>
      <c r="D47" s="136" t="e">
        <f t="shared" si="0"/>
        <v>#VALUE!</v>
      </c>
      <c r="E47" s="136" t="e">
        <f t="shared" si="1"/>
        <v>#VALUE!</v>
      </c>
      <c r="F47" s="136" t="e">
        <f t="shared" si="2"/>
        <v>#VALUE!</v>
      </c>
    </row>
    <row r="48" spans="2:6" x14ac:dyDescent="0.25">
      <c r="B48" s="135">
        <f t="shared" si="3"/>
        <v>46</v>
      </c>
      <c r="C48" s="136" t="e">
        <f t="shared" si="4"/>
        <v>#VALUE!</v>
      </c>
      <c r="D48" s="136" t="e">
        <f t="shared" si="0"/>
        <v>#VALUE!</v>
      </c>
      <c r="E48" s="136" t="e">
        <f t="shared" si="1"/>
        <v>#VALUE!</v>
      </c>
      <c r="F48" s="136" t="e">
        <f t="shared" si="2"/>
        <v>#VALUE!</v>
      </c>
    </row>
    <row r="49" spans="2:6" x14ac:dyDescent="0.25">
      <c r="B49" s="135">
        <f t="shared" si="3"/>
        <v>47</v>
      </c>
      <c r="C49" s="136" t="e">
        <f t="shared" si="4"/>
        <v>#VALUE!</v>
      </c>
      <c r="D49" s="136" t="e">
        <f t="shared" si="0"/>
        <v>#VALUE!</v>
      </c>
      <c r="E49" s="136" t="e">
        <f t="shared" si="1"/>
        <v>#VALUE!</v>
      </c>
      <c r="F49" s="136" t="e">
        <f t="shared" si="2"/>
        <v>#VALUE!</v>
      </c>
    </row>
    <row r="50" spans="2:6" x14ac:dyDescent="0.25">
      <c r="B50" s="135">
        <f t="shared" si="3"/>
        <v>48</v>
      </c>
      <c r="C50" s="136" t="e">
        <f t="shared" si="4"/>
        <v>#VALUE!</v>
      </c>
      <c r="D50" s="136" t="e">
        <f t="shared" si="0"/>
        <v>#VALUE!</v>
      </c>
      <c r="E50" s="136" t="e">
        <f t="shared" si="1"/>
        <v>#VALUE!</v>
      </c>
      <c r="F50" s="136" t="e">
        <f t="shared" si="2"/>
        <v>#VALUE!</v>
      </c>
    </row>
    <row r="51" spans="2:6" x14ac:dyDescent="0.25">
      <c r="B51" s="135">
        <f t="shared" si="3"/>
        <v>49</v>
      </c>
      <c r="C51" s="136" t="e">
        <f t="shared" si="4"/>
        <v>#VALUE!</v>
      </c>
      <c r="D51" s="136" t="e">
        <f t="shared" si="0"/>
        <v>#VALUE!</v>
      </c>
      <c r="E51" s="136" t="e">
        <f t="shared" si="1"/>
        <v>#VALUE!</v>
      </c>
      <c r="F51" s="136" t="e">
        <f t="shared" si="2"/>
        <v>#VALUE!</v>
      </c>
    </row>
    <row r="52" spans="2:6" x14ac:dyDescent="0.25">
      <c r="B52" s="135">
        <f t="shared" si="3"/>
        <v>50</v>
      </c>
      <c r="C52" s="136" t="e">
        <f t="shared" si="4"/>
        <v>#VALUE!</v>
      </c>
      <c r="D52" s="136" t="e">
        <f t="shared" si="0"/>
        <v>#VALUE!</v>
      </c>
      <c r="E52" s="136" t="e">
        <f t="shared" si="1"/>
        <v>#VALUE!</v>
      </c>
      <c r="F52" s="136" t="e">
        <f t="shared" si="2"/>
        <v>#VALUE!</v>
      </c>
    </row>
    <row r="53" spans="2:6" x14ac:dyDescent="0.25">
      <c r="B53" s="135">
        <f t="shared" si="3"/>
        <v>51</v>
      </c>
      <c r="C53" s="136" t="e">
        <f t="shared" si="4"/>
        <v>#VALUE!</v>
      </c>
      <c r="D53" s="136" t="e">
        <f t="shared" si="0"/>
        <v>#VALUE!</v>
      </c>
      <c r="E53" s="136" t="e">
        <f t="shared" si="1"/>
        <v>#VALUE!</v>
      </c>
      <c r="F53" s="136" t="e">
        <f t="shared" si="2"/>
        <v>#VALUE!</v>
      </c>
    </row>
    <row r="54" spans="2:6" x14ac:dyDescent="0.25">
      <c r="B54" s="135">
        <f t="shared" si="3"/>
        <v>52</v>
      </c>
      <c r="C54" s="136" t="e">
        <f t="shared" si="4"/>
        <v>#VALUE!</v>
      </c>
      <c r="D54" s="136" t="e">
        <f t="shared" si="0"/>
        <v>#VALUE!</v>
      </c>
      <c r="E54" s="136" t="e">
        <f t="shared" si="1"/>
        <v>#VALUE!</v>
      </c>
      <c r="F54" s="136" t="e">
        <f t="shared" si="2"/>
        <v>#VALUE!</v>
      </c>
    </row>
    <row r="55" spans="2:6" x14ac:dyDescent="0.25">
      <c r="B55" s="135">
        <f t="shared" si="3"/>
        <v>53</v>
      </c>
      <c r="C55" s="136" t="e">
        <f t="shared" si="4"/>
        <v>#VALUE!</v>
      </c>
      <c r="D55" s="136" t="e">
        <f t="shared" si="0"/>
        <v>#VALUE!</v>
      </c>
      <c r="E55" s="136" t="e">
        <f t="shared" si="1"/>
        <v>#VALUE!</v>
      </c>
      <c r="F55" s="136" t="e">
        <f t="shared" si="2"/>
        <v>#VALUE!</v>
      </c>
    </row>
    <row r="56" spans="2:6" x14ac:dyDescent="0.25">
      <c r="B56" s="135">
        <f t="shared" si="3"/>
        <v>54</v>
      </c>
      <c r="C56" s="136" t="e">
        <f t="shared" si="4"/>
        <v>#VALUE!</v>
      </c>
      <c r="D56" s="136" t="e">
        <f t="shared" si="0"/>
        <v>#VALUE!</v>
      </c>
      <c r="E56" s="136" t="e">
        <f t="shared" si="1"/>
        <v>#VALUE!</v>
      </c>
      <c r="F56" s="136" t="e">
        <f t="shared" si="2"/>
        <v>#VALUE!</v>
      </c>
    </row>
    <row r="57" spans="2:6" x14ac:dyDescent="0.25">
      <c r="B57" s="135">
        <f t="shared" si="3"/>
        <v>55</v>
      </c>
      <c r="C57" s="136" t="e">
        <f t="shared" si="4"/>
        <v>#VALUE!</v>
      </c>
      <c r="D57" s="136" t="e">
        <f t="shared" si="0"/>
        <v>#VALUE!</v>
      </c>
      <c r="E57" s="136" t="e">
        <f t="shared" si="1"/>
        <v>#VALUE!</v>
      </c>
      <c r="F57" s="136" t="e">
        <f t="shared" si="2"/>
        <v>#VALUE!</v>
      </c>
    </row>
    <row r="58" spans="2:6" x14ac:dyDescent="0.25">
      <c r="B58" s="135">
        <f t="shared" si="3"/>
        <v>56</v>
      </c>
      <c r="C58" s="136" t="e">
        <f t="shared" si="4"/>
        <v>#VALUE!</v>
      </c>
      <c r="D58" s="136" t="e">
        <f t="shared" si="0"/>
        <v>#VALUE!</v>
      </c>
      <c r="E58" s="136" t="e">
        <f t="shared" si="1"/>
        <v>#VALUE!</v>
      </c>
      <c r="F58" s="136" t="e">
        <f t="shared" si="2"/>
        <v>#VALUE!</v>
      </c>
    </row>
    <row r="59" spans="2:6" x14ac:dyDescent="0.25">
      <c r="B59" s="135">
        <f t="shared" si="3"/>
        <v>57</v>
      </c>
      <c r="C59" s="136" t="e">
        <f t="shared" si="4"/>
        <v>#VALUE!</v>
      </c>
      <c r="D59" s="136" t="e">
        <f t="shared" si="0"/>
        <v>#VALUE!</v>
      </c>
      <c r="E59" s="136" t="e">
        <f t="shared" si="1"/>
        <v>#VALUE!</v>
      </c>
      <c r="F59" s="136" t="e">
        <f t="shared" si="2"/>
        <v>#VALUE!</v>
      </c>
    </row>
    <row r="60" spans="2:6" x14ac:dyDescent="0.25">
      <c r="B60" s="135">
        <f t="shared" si="3"/>
        <v>58</v>
      </c>
      <c r="C60" s="136" t="e">
        <f t="shared" si="4"/>
        <v>#VALUE!</v>
      </c>
      <c r="D60" s="136" t="e">
        <f t="shared" si="0"/>
        <v>#VALUE!</v>
      </c>
      <c r="E60" s="136" t="e">
        <f t="shared" si="1"/>
        <v>#VALUE!</v>
      </c>
      <c r="F60" s="136" t="e">
        <f t="shared" si="2"/>
        <v>#VALUE!</v>
      </c>
    </row>
    <row r="61" spans="2:6" x14ac:dyDescent="0.25">
      <c r="B61" s="135">
        <f t="shared" si="3"/>
        <v>59</v>
      </c>
      <c r="C61" s="136" t="e">
        <f t="shared" si="4"/>
        <v>#VALUE!</v>
      </c>
      <c r="D61" s="136" t="e">
        <f t="shared" si="0"/>
        <v>#VALUE!</v>
      </c>
      <c r="E61" s="136" t="e">
        <f t="shared" si="1"/>
        <v>#VALUE!</v>
      </c>
      <c r="F61" s="136" t="e">
        <f t="shared" si="2"/>
        <v>#VALUE!</v>
      </c>
    </row>
    <row r="62" spans="2:6" x14ac:dyDescent="0.25">
      <c r="B62" s="135">
        <f t="shared" si="3"/>
        <v>60</v>
      </c>
      <c r="C62" s="136" t="e">
        <f t="shared" si="4"/>
        <v>#VALUE!</v>
      </c>
      <c r="D62" s="136" t="e">
        <f t="shared" si="0"/>
        <v>#VALUE!</v>
      </c>
      <c r="E62" s="136" t="e">
        <f t="shared" si="1"/>
        <v>#VALUE!</v>
      </c>
      <c r="F62" s="136" t="e">
        <f t="shared" si="2"/>
        <v>#VALUE!</v>
      </c>
    </row>
    <row r="63" spans="2:6" x14ac:dyDescent="0.25">
      <c r="B63" s="135">
        <f t="shared" si="3"/>
        <v>61</v>
      </c>
      <c r="C63" s="136" t="e">
        <f t="shared" si="4"/>
        <v>#VALUE!</v>
      </c>
      <c r="D63" s="136" t="e">
        <f t="shared" si="0"/>
        <v>#VALUE!</v>
      </c>
      <c r="E63" s="136" t="e">
        <f t="shared" si="1"/>
        <v>#VALUE!</v>
      </c>
      <c r="F63" s="136" t="e">
        <f t="shared" si="2"/>
        <v>#VALUE!</v>
      </c>
    </row>
    <row r="64" spans="2:6" x14ac:dyDescent="0.25">
      <c r="B64" s="135">
        <f t="shared" si="3"/>
        <v>62</v>
      </c>
      <c r="C64" s="136" t="e">
        <f t="shared" si="4"/>
        <v>#VALUE!</v>
      </c>
      <c r="D64" s="136" t="e">
        <f t="shared" si="0"/>
        <v>#VALUE!</v>
      </c>
      <c r="E64" s="136" t="e">
        <f t="shared" si="1"/>
        <v>#VALUE!</v>
      </c>
      <c r="F64" s="136" t="e">
        <f t="shared" si="2"/>
        <v>#VALUE!</v>
      </c>
    </row>
    <row r="65" spans="2:6" x14ac:dyDescent="0.25">
      <c r="B65" s="135">
        <f t="shared" si="3"/>
        <v>63</v>
      </c>
      <c r="C65" s="136" t="e">
        <f t="shared" si="4"/>
        <v>#VALUE!</v>
      </c>
      <c r="D65" s="136" t="e">
        <f t="shared" si="0"/>
        <v>#VALUE!</v>
      </c>
      <c r="E65" s="136" t="e">
        <f t="shared" si="1"/>
        <v>#VALUE!</v>
      </c>
      <c r="F65" s="136" t="e">
        <f t="shared" si="2"/>
        <v>#VALUE!</v>
      </c>
    </row>
    <row r="66" spans="2:6" x14ac:dyDescent="0.25">
      <c r="B66" s="135">
        <f t="shared" si="3"/>
        <v>64</v>
      </c>
      <c r="C66" s="136" t="e">
        <f t="shared" si="4"/>
        <v>#VALUE!</v>
      </c>
      <c r="D66" s="136" t="e">
        <f t="shared" si="0"/>
        <v>#VALUE!</v>
      </c>
      <c r="E66" s="136" t="e">
        <f t="shared" si="1"/>
        <v>#VALUE!</v>
      </c>
      <c r="F66" s="136" t="e">
        <f t="shared" si="2"/>
        <v>#VALUE!</v>
      </c>
    </row>
    <row r="67" spans="2:6" x14ac:dyDescent="0.25">
      <c r="B67" s="135">
        <f t="shared" si="3"/>
        <v>65</v>
      </c>
      <c r="C67" s="136" t="e">
        <f t="shared" si="4"/>
        <v>#VALUE!</v>
      </c>
      <c r="D67" s="136" t="e">
        <f t="shared" ref="D67:D130" si="5">PPMT(LoanRate/12,$B67,LoanAmortization*12,-LoanAmount)</f>
        <v>#VALUE!</v>
      </c>
      <c r="E67" s="136" t="e">
        <f t="shared" ref="E67:E130" si="6">IPMT(LoanRate/12,$B67,LoanAmortization*12,-LoanAmount)</f>
        <v>#VALUE!</v>
      </c>
      <c r="F67" s="136" t="e">
        <f t="shared" si="2"/>
        <v>#VALUE!</v>
      </c>
    </row>
    <row r="68" spans="2:6" x14ac:dyDescent="0.25">
      <c r="B68" s="135">
        <f t="shared" si="3"/>
        <v>66</v>
      </c>
      <c r="C68" s="136" t="e">
        <f t="shared" si="4"/>
        <v>#VALUE!</v>
      </c>
      <c r="D68" s="136" t="e">
        <f t="shared" si="5"/>
        <v>#VALUE!</v>
      </c>
      <c r="E68" s="136" t="e">
        <f t="shared" si="6"/>
        <v>#VALUE!</v>
      </c>
      <c r="F68" s="136" t="e">
        <f t="shared" ref="F68:F131" si="7">C68-D68</f>
        <v>#VALUE!</v>
      </c>
    </row>
    <row r="69" spans="2:6" x14ac:dyDescent="0.25">
      <c r="B69" s="135">
        <f t="shared" ref="B69:B132" si="8">B68+1</f>
        <v>67</v>
      </c>
      <c r="C69" s="136" t="e">
        <f t="shared" ref="C69:C132" si="9">F68</f>
        <v>#VALUE!</v>
      </c>
      <c r="D69" s="136" t="e">
        <f t="shared" si="5"/>
        <v>#VALUE!</v>
      </c>
      <c r="E69" s="136" t="e">
        <f t="shared" si="6"/>
        <v>#VALUE!</v>
      </c>
      <c r="F69" s="136" t="e">
        <f t="shared" si="7"/>
        <v>#VALUE!</v>
      </c>
    </row>
    <row r="70" spans="2:6" x14ac:dyDescent="0.25">
      <c r="B70" s="135">
        <f t="shared" si="8"/>
        <v>68</v>
      </c>
      <c r="C70" s="136" t="e">
        <f t="shared" si="9"/>
        <v>#VALUE!</v>
      </c>
      <c r="D70" s="136" t="e">
        <f t="shared" si="5"/>
        <v>#VALUE!</v>
      </c>
      <c r="E70" s="136" t="e">
        <f t="shared" si="6"/>
        <v>#VALUE!</v>
      </c>
      <c r="F70" s="136" t="e">
        <f t="shared" si="7"/>
        <v>#VALUE!</v>
      </c>
    </row>
    <row r="71" spans="2:6" x14ac:dyDescent="0.25">
      <c r="B71" s="135">
        <f t="shared" si="8"/>
        <v>69</v>
      </c>
      <c r="C71" s="136" t="e">
        <f t="shared" si="9"/>
        <v>#VALUE!</v>
      </c>
      <c r="D71" s="136" t="e">
        <f t="shared" si="5"/>
        <v>#VALUE!</v>
      </c>
      <c r="E71" s="136" t="e">
        <f t="shared" si="6"/>
        <v>#VALUE!</v>
      </c>
      <c r="F71" s="136" t="e">
        <f t="shared" si="7"/>
        <v>#VALUE!</v>
      </c>
    </row>
    <row r="72" spans="2:6" x14ac:dyDescent="0.25">
      <c r="B72" s="135">
        <f t="shared" si="8"/>
        <v>70</v>
      </c>
      <c r="C72" s="136" t="e">
        <f t="shared" si="9"/>
        <v>#VALUE!</v>
      </c>
      <c r="D72" s="136" t="e">
        <f t="shared" si="5"/>
        <v>#VALUE!</v>
      </c>
      <c r="E72" s="136" t="e">
        <f t="shared" si="6"/>
        <v>#VALUE!</v>
      </c>
      <c r="F72" s="136" t="e">
        <f t="shared" si="7"/>
        <v>#VALUE!</v>
      </c>
    </row>
    <row r="73" spans="2:6" x14ac:dyDescent="0.25">
      <c r="B73" s="135">
        <f t="shared" si="8"/>
        <v>71</v>
      </c>
      <c r="C73" s="136" t="e">
        <f t="shared" si="9"/>
        <v>#VALUE!</v>
      </c>
      <c r="D73" s="136" t="e">
        <f t="shared" si="5"/>
        <v>#VALUE!</v>
      </c>
      <c r="E73" s="136" t="e">
        <f t="shared" si="6"/>
        <v>#VALUE!</v>
      </c>
      <c r="F73" s="136" t="e">
        <f t="shared" si="7"/>
        <v>#VALUE!</v>
      </c>
    </row>
    <row r="74" spans="2:6" x14ac:dyDescent="0.25">
      <c r="B74" s="135">
        <f t="shared" si="8"/>
        <v>72</v>
      </c>
      <c r="C74" s="136" t="e">
        <f t="shared" si="9"/>
        <v>#VALUE!</v>
      </c>
      <c r="D74" s="136" t="e">
        <f t="shared" si="5"/>
        <v>#VALUE!</v>
      </c>
      <c r="E74" s="136" t="e">
        <f t="shared" si="6"/>
        <v>#VALUE!</v>
      </c>
      <c r="F74" s="136" t="e">
        <f t="shared" si="7"/>
        <v>#VALUE!</v>
      </c>
    </row>
    <row r="75" spans="2:6" x14ac:dyDescent="0.25">
      <c r="B75" s="135">
        <f t="shared" si="8"/>
        <v>73</v>
      </c>
      <c r="C75" s="136" t="e">
        <f t="shared" si="9"/>
        <v>#VALUE!</v>
      </c>
      <c r="D75" s="136" t="e">
        <f t="shared" si="5"/>
        <v>#VALUE!</v>
      </c>
      <c r="E75" s="136" t="e">
        <f t="shared" si="6"/>
        <v>#VALUE!</v>
      </c>
      <c r="F75" s="136" t="e">
        <f t="shared" si="7"/>
        <v>#VALUE!</v>
      </c>
    </row>
    <row r="76" spans="2:6" x14ac:dyDescent="0.25">
      <c r="B76" s="135">
        <f t="shared" si="8"/>
        <v>74</v>
      </c>
      <c r="C76" s="136" t="e">
        <f t="shared" si="9"/>
        <v>#VALUE!</v>
      </c>
      <c r="D76" s="136" t="e">
        <f t="shared" si="5"/>
        <v>#VALUE!</v>
      </c>
      <c r="E76" s="136" t="e">
        <f t="shared" si="6"/>
        <v>#VALUE!</v>
      </c>
      <c r="F76" s="136" t="e">
        <f t="shared" si="7"/>
        <v>#VALUE!</v>
      </c>
    </row>
    <row r="77" spans="2:6" x14ac:dyDescent="0.25">
      <c r="B77" s="135">
        <f t="shared" si="8"/>
        <v>75</v>
      </c>
      <c r="C77" s="136" t="e">
        <f t="shared" si="9"/>
        <v>#VALUE!</v>
      </c>
      <c r="D77" s="136" t="e">
        <f t="shared" si="5"/>
        <v>#VALUE!</v>
      </c>
      <c r="E77" s="136" t="e">
        <f t="shared" si="6"/>
        <v>#VALUE!</v>
      </c>
      <c r="F77" s="136" t="e">
        <f t="shared" si="7"/>
        <v>#VALUE!</v>
      </c>
    </row>
    <row r="78" spans="2:6" x14ac:dyDescent="0.25">
      <c r="B78" s="135">
        <f t="shared" si="8"/>
        <v>76</v>
      </c>
      <c r="C78" s="136" t="e">
        <f t="shared" si="9"/>
        <v>#VALUE!</v>
      </c>
      <c r="D78" s="136" t="e">
        <f t="shared" si="5"/>
        <v>#VALUE!</v>
      </c>
      <c r="E78" s="136" t="e">
        <f t="shared" si="6"/>
        <v>#VALUE!</v>
      </c>
      <c r="F78" s="136" t="e">
        <f t="shared" si="7"/>
        <v>#VALUE!</v>
      </c>
    </row>
    <row r="79" spans="2:6" x14ac:dyDescent="0.25">
      <c r="B79" s="135">
        <f t="shared" si="8"/>
        <v>77</v>
      </c>
      <c r="C79" s="136" t="e">
        <f t="shared" si="9"/>
        <v>#VALUE!</v>
      </c>
      <c r="D79" s="136" t="e">
        <f t="shared" si="5"/>
        <v>#VALUE!</v>
      </c>
      <c r="E79" s="136" t="e">
        <f t="shared" si="6"/>
        <v>#VALUE!</v>
      </c>
      <c r="F79" s="136" t="e">
        <f t="shared" si="7"/>
        <v>#VALUE!</v>
      </c>
    </row>
    <row r="80" spans="2:6" x14ac:dyDescent="0.25">
      <c r="B80" s="135">
        <f t="shared" si="8"/>
        <v>78</v>
      </c>
      <c r="C80" s="136" t="e">
        <f t="shared" si="9"/>
        <v>#VALUE!</v>
      </c>
      <c r="D80" s="136" t="e">
        <f t="shared" si="5"/>
        <v>#VALUE!</v>
      </c>
      <c r="E80" s="136" t="e">
        <f t="shared" si="6"/>
        <v>#VALUE!</v>
      </c>
      <c r="F80" s="136" t="e">
        <f t="shared" si="7"/>
        <v>#VALUE!</v>
      </c>
    </row>
    <row r="81" spans="2:6" x14ac:dyDescent="0.25">
      <c r="B81" s="135">
        <f t="shared" si="8"/>
        <v>79</v>
      </c>
      <c r="C81" s="136" t="e">
        <f t="shared" si="9"/>
        <v>#VALUE!</v>
      </c>
      <c r="D81" s="136" t="e">
        <f t="shared" si="5"/>
        <v>#VALUE!</v>
      </c>
      <c r="E81" s="136" t="e">
        <f t="shared" si="6"/>
        <v>#VALUE!</v>
      </c>
      <c r="F81" s="136" t="e">
        <f t="shared" si="7"/>
        <v>#VALUE!</v>
      </c>
    </row>
    <row r="82" spans="2:6" x14ac:dyDescent="0.25">
      <c r="B82" s="135">
        <f t="shared" si="8"/>
        <v>80</v>
      </c>
      <c r="C82" s="136" t="e">
        <f t="shared" si="9"/>
        <v>#VALUE!</v>
      </c>
      <c r="D82" s="136" t="e">
        <f t="shared" si="5"/>
        <v>#VALUE!</v>
      </c>
      <c r="E82" s="136" t="e">
        <f t="shared" si="6"/>
        <v>#VALUE!</v>
      </c>
      <c r="F82" s="136" t="e">
        <f t="shared" si="7"/>
        <v>#VALUE!</v>
      </c>
    </row>
    <row r="83" spans="2:6" x14ac:dyDescent="0.25">
      <c r="B83" s="135">
        <f t="shared" si="8"/>
        <v>81</v>
      </c>
      <c r="C83" s="136" t="e">
        <f t="shared" si="9"/>
        <v>#VALUE!</v>
      </c>
      <c r="D83" s="136" t="e">
        <f t="shared" si="5"/>
        <v>#VALUE!</v>
      </c>
      <c r="E83" s="136" t="e">
        <f t="shared" si="6"/>
        <v>#VALUE!</v>
      </c>
      <c r="F83" s="136" t="e">
        <f t="shared" si="7"/>
        <v>#VALUE!</v>
      </c>
    </row>
    <row r="84" spans="2:6" x14ac:dyDescent="0.25">
      <c r="B84" s="135">
        <f t="shared" si="8"/>
        <v>82</v>
      </c>
      <c r="C84" s="136" t="e">
        <f t="shared" si="9"/>
        <v>#VALUE!</v>
      </c>
      <c r="D84" s="136" t="e">
        <f t="shared" si="5"/>
        <v>#VALUE!</v>
      </c>
      <c r="E84" s="136" t="e">
        <f t="shared" si="6"/>
        <v>#VALUE!</v>
      </c>
      <c r="F84" s="136" t="e">
        <f t="shared" si="7"/>
        <v>#VALUE!</v>
      </c>
    </row>
    <row r="85" spans="2:6" x14ac:dyDescent="0.25">
      <c r="B85" s="135">
        <f t="shared" si="8"/>
        <v>83</v>
      </c>
      <c r="C85" s="136" t="e">
        <f t="shared" si="9"/>
        <v>#VALUE!</v>
      </c>
      <c r="D85" s="136" t="e">
        <f t="shared" si="5"/>
        <v>#VALUE!</v>
      </c>
      <c r="E85" s="136" t="e">
        <f t="shared" si="6"/>
        <v>#VALUE!</v>
      </c>
      <c r="F85" s="136" t="e">
        <f t="shared" si="7"/>
        <v>#VALUE!</v>
      </c>
    </row>
    <row r="86" spans="2:6" x14ac:dyDescent="0.25">
      <c r="B86" s="135">
        <f t="shared" si="8"/>
        <v>84</v>
      </c>
      <c r="C86" s="136" t="e">
        <f t="shared" si="9"/>
        <v>#VALUE!</v>
      </c>
      <c r="D86" s="136" t="e">
        <f t="shared" si="5"/>
        <v>#VALUE!</v>
      </c>
      <c r="E86" s="136" t="e">
        <f t="shared" si="6"/>
        <v>#VALUE!</v>
      </c>
      <c r="F86" s="136" t="e">
        <f t="shared" si="7"/>
        <v>#VALUE!</v>
      </c>
    </row>
    <row r="87" spans="2:6" x14ac:dyDescent="0.25">
      <c r="B87" s="135">
        <f t="shared" si="8"/>
        <v>85</v>
      </c>
      <c r="C87" s="136" t="e">
        <f t="shared" si="9"/>
        <v>#VALUE!</v>
      </c>
      <c r="D87" s="136" t="e">
        <f t="shared" si="5"/>
        <v>#VALUE!</v>
      </c>
      <c r="E87" s="136" t="e">
        <f t="shared" si="6"/>
        <v>#VALUE!</v>
      </c>
      <c r="F87" s="136" t="e">
        <f t="shared" si="7"/>
        <v>#VALUE!</v>
      </c>
    </row>
    <row r="88" spans="2:6" x14ac:dyDescent="0.25">
      <c r="B88" s="135">
        <f t="shared" si="8"/>
        <v>86</v>
      </c>
      <c r="C88" s="136" t="e">
        <f t="shared" si="9"/>
        <v>#VALUE!</v>
      </c>
      <c r="D88" s="136" t="e">
        <f t="shared" si="5"/>
        <v>#VALUE!</v>
      </c>
      <c r="E88" s="136" t="e">
        <f t="shared" si="6"/>
        <v>#VALUE!</v>
      </c>
      <c r="F88" s="136" t="e">
        <f t="shared" si="7"/>
        <v>#VALUE!</v>
      </c>
    </row>
    <row r="89" spans="2:6" x14ac:dyDescent="0.25">
      <c r="B89" s="135">
        <f t="shared" si="8"/>
        <v>87</v>
      </c>
      <c r="C89" s="136" t="e">
        <f t="shared" si="9"/>
        <v>#VALUE!</v>
      </c>
      <c r="D89" s="136" t="e">
        <f t="shared" si="5"/>
        <v>#VALUE!</v>
      </c>
      <c r="E89" s="136" t="e">
        <f t="shared" si="6"/>
        <v>#VALUE!</v>
      </c>
      <c r="F89" s="136" t="e">
        <f t="shared" si="7"/>
        <v>#VALUE!</v>
      </c>
    </row>
    <row r="90" spans="2:6" x14ac:dyDescent="0.25">
      <c r="B90" s="135">
        <f t="shared" si="8"/>
        <v>88</v>
      </c>
      <c r="C90" s="136" t="e">
        <f t="shared" si="9"/>
        <v>#VALUE!</v>
      </c>
      <c r="D90" s="136" t="e">
        <f t="shared" si="5"/>
        <v>#VALUE!</v>
      </c>
      <c r="E90" s="136" t="e">
        <f t="shared" si="6"/>
        <v>#VALUE!</v>
      </c>
      <c r="F90" s="136" t="e">
        <f t="shared" si="7"/>
        <v>#VALUE!</v>
      </c>
    </row>
    <row r="91" spans="2:6" x14ac:dyDescent="0.25">
      <c r="B91" s="135">
        <f t="shared" si="8"/>
        <v>89</v>
      </c>
      <c r="C91" s="136" t="e">
        <f t="shared" si="9"/>
        <v>#VALUE!</v>
      </c>
      <c r="D91" s="136" t="e">
        <f t="shared" si="5"/>
        <v>#VALUE!</v>
      </c>
      <c r="E91" s="136" t="e">
        <f t="shared" si="6"/>
        <v>#VALUE!</v>
      </c>
      <c r="F91" s="136" t="e">
        <f t="shared" si="7"/>
        <v>#VALUE!</v>
      </c>
    </row>
    <row r="92" spans="2:6" x14ac:dyDescent="0.25">
      <c r="B92" s="135">
        <f t="shared" si="8"/>
        <v>90</v>
      </c>
      <c r="C92" s="136" t="e">
        <f t="shared" si="9"/>
        <v>#VALUE!</v>
      </c>
      <c r="D92" s="136" t="e">
        <f t="shared" si="5"/>
        <v>#VALUE!</v>
      </c>
      <c r="E92" s="136" t="e">
        <f t="shared" si="6"/>
        <v>#VALUE!</v>
      </c>
      <c r="F92" s="136" t="e">
        <f t="shared" si="7"/>
        <v>#VALUE!</v>
      </c>
    </row>
    <row r="93" spans="2:6" x14ac:dyDescent="0.25">
      <c r="B93" s="135">
        <f t="shared" si="8"/>
        <v>91</v>
      </c>
      <c r="C93" s="136" t="e">
        <f t="shared" si="9"/>
        <v>#VALUE!</v>
      </c>
      <c r="D93" s="136" t="e">
        <f t="shared" si="5"/>
        <v>#VALUE!</v>
      </c>
      <c r="E93" s="136" t="e">
        <f t="shared" si="6"/>
        <v>#VALUE!</v>
      </c>
      <c r="F93" s="136" t="e">
        <f t="shared" si="7"/>
        <v>#VALUE!</v>
      </c>
    </row>
    <row r="94" spans="2:6" x14ac:dyDescent="0.25">
      <c r="B94" s="135">
        <f t="shared" si="8"/>
        <v>92</v>
      </c>
      <c r="C94" s="136" t="e">
        <f t="shared" si="9"/>
        <v>#VALUE!</v>
      </c>
      <c r="D94" s="136" t="e">
        <f t="shared" si="5"/>
        <v>#VALUE!</v>
      </c>
      <c r="E94" s="136" t="e">
        <f t="shared" si="6"/>
        <v>#VALUE!</v>
      </c>
      <c r="F94" s="136" t="e">
        <f t="shared" si="7"/>
        <v>#VALUE!</v>
      </c>
    </row>
    <row r="95" spans="2:6" x14ac:dyDescent="0.25">
      <c r="B95" s="135">
        <f t="shared" si="8"/>
        <v>93</v>
      </c>
      <c r="C95" s="136" t="e">
        <f t="shared" si="9"/>
        <v>#VALUE!</v>
      </c>
      <c r="D95" s="136" t="e">
        <f t="shared" si="5"/>
        <v>#VALUE!</v>
      </c>
      <c r="E95" s="136" t="e">
        <f t="shared" si="6"/>
        <v>#VALUE!</v>
      </c>
      <c r="F95" s="136" t="e">
        <f t="shared" si="7"/>
        <v>#VALUE!</v>
      </c>
    </row>
    <row r="96" spans="2:6" x14ac:dyDescent="0.25">
      <c r="B96" s="135">
        <f t="shared" si="8"/>
        <v>94</v>
      </c>
      <c r="C96" s="136" t="e">
        <f t="shared" si="9"/>
        <v>#VALUE!</v>
      </c>
      <c r="D96" s="136" t="e">
        <f t="shared" si="5"/>
        <v>#VALUE!</v>
      </c>
      <c r="E96" s="136" t="e">
        <f t="shared" si="6"/>
        <v>#VALUE!</v>
      </c>
      <c r="F96" s="136" t="e">
        <f t="shared" si="7"/>
        <v>#VALUE!</v>
      </c>
    </row>
    <row r="97" spans="2:6" x14ac:dyDescent="0.25">
      <c r="B97" s="135">
        <f t="shared" si="8"/>
        <v>95</v>
      </c>
      <c r="C97" s="136" t="e">
        <f t="shared" si="9"/>
        <v>#VALUE!</v>
      </c>
      <c r="D97" s="136" t="e">
        <f t="shared" si="5"/>
        <v>#VALUE!</v>
      </c>
      <c r="E97" s="136" t="e">
        <f t="shared" si="6"/>
        <v>#VALUE!</v>
      </c>
      <c r="F97" s="136" t="e">
        <f t="shared" si="7"/>
        <v>#VALUE!</v>
      </c>
    </row>
    <row r="98" spans="2:6" x14ac:dyDescent="0.25">
      <c r="B98" s="135">
        <f t="shared" si="8"/>
        <v>96</v>
      </c>
      <c r="C98" s="136" t="e">
        <f t="shared" si="9"/>
        <v>#VALUE!</v>
      </c>
      <c r="D98" s="136" t="e">
        <f t="shared" si="5"/>
        <v>#VALUE!</v>
      </c>
      <c r="E98" s="136" t="e">
        <f t="shared" si="6"/>
        <v>#VALUE!</v>
      </c>
      <c r="F98" s="136" t="e">
        <f t="shared" si="7"/>
        <v>#VALUE!</v>
      </c>
    </row>
    <row r="99" spans="2:6" x14ac:dyDescent="0.25">
      <c r="B99" s="135">
        <f t="shared" si="8"/>
        <v>97</v>
      </c>
      <c r="C99" s="136" t="e">
        <f t="shared" si="9"/>
        <v>#VALUE!</v>
      </c>
      <c r="D99" s="136" t="e">
        <f t="shared" si="5"/>
        <v>#VALUE!</v>
      </c>
      <c r="E99" s="136" t="e">
        <f t="shared" si="6"/>
        <v>#VALUE!</v>
      </c>
      <c r="F99" s="136" t="e">
        <f t="shared" si="7"/>
        <v>#VALUE!</v>
      </c>
    </row>
    <row r="100" spans="2:6" x14ac:dyDescent="0.25">
      <c r="B100" s="135">
        <f t="shared" si="8"/>
        <v>98</v>
      </c>
      <c r="C100" s="136" t="e">
        <f t="shared" si="9"/>
        <v>#VALUE!</v>
      </c>
      <c r="D100" s="136" t="e">
        <f t="shared" si="5"/>
        <v>#VALUE!</v>
      </c>
      <c r="E100" s="136" t="e">
        <f t="shared" si="6"/>
        <v>#VALUE!</v>
      </c>
      <c r="F100" s="136" t="e">
        <f t="shared" si="7"/>
        <v>#VALUE!</v>
      </c>
    </row>
    <row r="101" spans="2:6" x14ac:dyDescent="0.25">
      <c r="B101" s="135">
        <f t="shared" si="8"/>
        <v>99</v>
      </c>
      <c r="C101" s="136" t="e">
        <f t="shared" si="9"/>
        <v>#VALUE!</v>
      </c>
      <c r="D101" s="136" t="e">
        <f t="shared" si="5"/>
        <v>#VALUE!</v>
      </c>
      <c r="E101" s="136" t="e">
        <f t="shared" si="6"/>
        <v>#VALUE!</v>
      </c>
      <c r="F101" s="136" t="e">
        <f t="shared" si="7"/>
        <v>#VALUE!</v>
      </c>
    </row>
    <row r="102" spans="2:6" x14ac:dyDescent="0.25">
      <c r="B102" s="135">
        <f t="shared" si="8"/>
        <v>100</v>
      </c>
      <c r="C102" s="136" t="e">
        <f t="shared" si="9"/>
        <v>#VALUE!</v>
      </c>
      <c r="D102" s="136" t="e">
        <f t="shared" si="5"/>
        <v>#VALUE!</v>
      </c>
      <c r="E102" s="136" t="e">
        <f t="shared" si="6"/>
        <v>#VALUE!</v>
      </c>
      <c r="F102" s="136" t="e">
        <f t="shared" si="7"/>
        <v>#VALUE!</v>
      </c>
    </row>
    <row r="103" spans="2:6" x14ac:dyDescent="0.25">
      <c r="B103" s="135">
        <f t="shared" si="8"/>
        <v>101</v>
      </c>
      <c r="C103" s="136" t="e">
        <f t="shared" si="9"/>
        <v>#VALUE!</v>
      </c>
      <c r="D103" s="136" t="e">
        <f t="shared" si="5"/>
        <v>#VALUE!</v>
      </c>
      <c r="E103" s="136" t="e">
        <f t="shared" si="6"/>
        <v>#VALUE!</v>
      </c>
      <c r="F103" s="136" t="e">
        <f t="shared" si="7"/>
        <v>#VALUE!</v>
      </c>
    </row>
    <row r="104" spans="2:6" x14ac:dyDescent="0.25">
      <c r="B104" s="135">
        <f t="shared" si="8"/>
        <v>102</v>
      </c>
      <c r="C104" s="136" t="e">
        <f t="shared" si="9"/>
        <v>#VALUE!</v>
      </c>
      <c r="D104" s="136" t="e">
        <f t="shared" si="5"/>
        <v>#VALUE!</v>
      </c>
      <c r="E104" s="136" t="e">
        <f t="shared" si="6"/>
        <v>#VALUE!</v>
      </c>
      <c r="F104" s="136" t="e">
        <f t="shared" si="7"/>
        <v>#VALUE!</v>
      </c>
    </row>
    <row r="105" spans="2:6" x14ac:dyDescent="0.25">
      <c r="B105" s="135">
        <f t="shared" si="8"/>
        <v>103</v>
      </c>
      <c r="C105" s="136" t="e">
        <f t="shared" si="9"/>
        <v>#VALUE!</v>
      </c>
      <c r="D105" s="136" t="e">
        <f t="shared" si="5"/>
        <v>#VALUE!</v>
      </c>
      <c r="E105" s="136" t="e">
        <f t="shared" si="6"/>
        <v>#VALUE!</v>
      </c>
      <c r="F105" s="136" t="e">
        <f t="shared" si="7"/>
        <v>#VALUE!</v>
      </c>
    </row>
    <row r="106" spans="2:6" x14ac:dyDescent="0.25">
      <c r="B106" s="135">
        <f t="shared" si="8"/>
        <v>104</v>
      </c>
      <c r="C106" s="136" t="e">
        <f t="shared" si="9"/>
        <v>#VALUE!</v>
      </c>
      <c r="D106" s="136" t="e">
        <f t="shared" si="5"/>
        <v>#VALUE!</v>
      </c>
      <c r="E106" s="136" t="e">
        <f t="shared" si="6"/>
        <v>#VALUE!</v>
      </c>
      <c r="F106" s="136" t="e">
        <f t="shared" si="7"/>
        <v>#VALUE!</v>
      </c>
    </row>
    <row r="107" spans="2:6" x14ac:dyDescent="0.25">
      <c r="B107" s="135">
        <f t="shared" si="8"/>
        <v>105</v>
      </c>
      <c r="C107" s="136" t="e">
        <f t="shared" si="9"/>
        <v>#VALUE!</v>
      </c>
      <c r="D107" s="136" t="e">
        <f t="shared" si="5"/>
        <v>#VALUE!</v>
      </c>
      <c r="E107" s="136" t="e">
        <f t="shared" si="6"/>
        <v>#VALUE!</v>
      </c>
      <c r="F107" s="136" t="e">
        <f t="shared" si="7"/>
        <v>#VALUE!</v>
      </c>
    </row>
    <row r="108" spans="2:6" x14ac:dyDescent="0.25">
      <c r="B108" s="135">
        <f t="shared" si="8"/>
        <v>106</v>
      </c>
      <c r="C108" s="136" t="e">
        <f t="shared" si="9"/>
        <v>#VALUE!</v>
      </c>
      <c r="D108" s="136" t="e">
        <f t="shared" si="5"/>
        <v>#VALUE!</v>
      </c>
      <c r="E108" s="136" t="e">
        <f t="shared" si="6"/>
        <v>#VALUE!</v>
      </c>
      <c r="F108" s="136" t="e">
        <f t="shared" si="7"/>
        <v>#VALUE!</v>
      </c>
    </row>
    <row r="109" spans="2:6" x14ac:dyDescent="0.25">
      <c r="B109" s="135">
        <f t="shared" si="8"/>
        <v>107</v>
      </c>
      <c r="C109" s="136" t="e">
        <f t="shared" si="9"/>
        <v>#VALUE!</v>
      </c>
      <c r="D109" s="136" t="e">
        <f t="shared" si="5"/>
        <v>#VALUE!</v>
      </c>
      <c r="E109" s="136" t="e">
        <f t="shared" si="6"/>
        <v>#VALUE!</v>
      </c>
      <c r="F109" s="136" t="e">
        <f t="shared" si="7"/>
        <v>#VALUE!</v>
      </c>
    </row>
    <row r="110" spans="2:6" x14ac:dyDescent="0.25">
      <c r="B110" s="135">
        <f t="shared" si="8"/>
        <v>108</v>
      </c>
      <c r="C110" s="136" t="e">
        <f t="shared" si="9"/>
        <v>#VALUE!</v>
      </c>
      <c r="D110" s="136" t="e">
        <f t="shared" si="5"/>
        <v>#VALUE!</v>
      </c>
      <c r="E110" s="136" t="e">
        <f t="shared" si="6"/>
        <v>#VALUE!</v>
      </c>
      <c r="F110" s="136" t="e">
        <f t="shared" si="7"/>
        <v>#VALUE!</v>
      </c>
    </row>
    <row r="111" spans="2:6" x14ac:dyDescent="0.25">
      <c r="B111" s="135">
        <f t="shared" si="8"/>
        <v>109</v>
      </c>
      <c r="C111" s="136" t="e">
        <f t="shared" si="9"/>
        <v>#VALUE!</v>
      </c>
      <c r="D111" s="136" t="e">
        <f t="shared" si="5"/>
        <v>#VALUE!</v>
      </c>
      <c r="E111" s="136" t="e">
        <f t="shared" si="6"/>
        <v>#VALUE!</v>
      </c>
      <c r="F111" s="136" t="e">
        <f t="shared" si="7"/>
        <v>#VALUE!</v>
      </c>
    </row>
    <row r="112" spans="2:6" x14ac:dyDescent="0.25">
      <c r="B112" s="135">
        <f t="shared" si="8"/>
        <v>110</v>
      </c>
      <c r="C112" s="136" t="e">
        <f t="shared" si="9"/>
        <v>#VALUE!</v>
      </c>
      <c r="D112" s="136" t="e">
        <f t="shared" si="5"/>
        <v>#VALUE!</v>
      </c>
      <c r="E112" s="136" t="e">
        <f t="shared" si="6"/>
        <v>#VALUE!</v>
      </c>
      <c r="F112" s="136" t="e">
        <f t="shared" si="7"/>
        <v>#VALUE!</v>
      </c>
    </row>
    <row r="113" spans="2:6" x14ac:dyDescent="0.25">
      <c r="B113" s="135">
        <f t="shared" si="8"/>
        <v>111</v>
      </c>
      <c r="C113" s="136" t="e">
        <f t="shared" si="9"/>
        <v>#VALUE!</v>
      </c>
      <c r="D113" s="136" t="e">
        <f t="shared" si="5"/>
        <v>#VALUE!</v>
      </c>
      <c r="E113" s="136" t="e">
        <f t="shared" si="6"/>
        <v>#VALUE!</v>
      </c>
      <c r="F113" s="136" t="e">
        <f t="shared" si="7"/>
        <v>#VALUE!</v>
      </c>
    </row>
    <row r="114" spans="2:6" x14ac:dyDescent="0.25">
      <c r="B114" s="135">
        <f t="shared" si="8"/>
        <v>112</v>
      </c>
      <c r="C114" s="136" t="e">
        <f t="shared" si="9"/>
        <v>#VALUE!</v>
      </c>
      <c r="D114" s="136" t="e">
        <f t="shared" si="5"/>
        <v>#VALUE!</v>
      </c>
      <c r="E114" s="136" t="e">
        <f t="shared" si="6"/>
        <v>#VALUE!</v>
      </c>
      <c r="F114" s="136" t="e">
        <f t="shared" si="7"/>
        <v>#VALUE!</v>
      </c>
    </row>
    <row r="115" spans="2:6" x14ac:dyDescent="0.25">
      <c r="B115" s="135">
        <f t="shared" si="8"/>
        <v>113</v>
      </c>
      <c r="C115" s="136" t="e">
        <f t="shared" si="9"/>
        <v>#VALUE!</v>
      </c>
      <c r="D115" s="136" t="e">
        <f t="shared" si="5"/>
        <v>#VALUE!</v>
      </c>
      <c r="E115" s="136" t="e">
        <f t="shared" si="6"/>
        <v>#VALUE!</v>
      </c>
      <c r="F115" s="136" t="e">
        <f t="shared" si="7"/>
        <v>#VALUE!</v>
      </c>
    </row>
    <row r="116" spans="2:6" x14ac:dyDescent="0.25">
      <c r="B116" s="135">
        <f t="shared" si="8"/>
        <v>114</v>
      </c>
      <c r="C116" s="136" t="e">
        <f t="shared" si="9"/>
        <v>#VALUE!</v>
      </c>
      <c r="D116" s="136" t="e">
        <f t="shared" si="5"/>
        <v>#VALUE!</v>
      </c>
      <c r="E116" s="136" t="e">
        <f t="shared" si="6"/>
        <v>#VALUE!</v>
      </c>
      <c r="F116" s="136" t="e">
        <f t="shared" si="7"/>
        <v>#VALUE!</v>
      </c>
    </row>
    <row r="117" spans="2:6" x14ac:dyDescent="0.25">
      <c r="B117" s="135">
        <f t="shared" si="8"/>
        <v>115</v>
      </c>
      <c r="C117" s="136" t="e">
        <f t="shared" si="9"/>
        <v>#VALUE!</v>
      </c>
      <c r="D117" s="136" t="e">
        <f t="shared" si="5"/>
        <v>#VALUE!</v>
      </c>
      <c r="E117" s="136" t="e">
        <f t="shared" si="6"/>
        <v>#VALUE!</v>
      </c>
      <c r="F117" s="136" t="e">
        <f t="shared" si="7"/>
        <v>#VALUE!</v>
      </c>
    </row>
    <row r="118" spans="2:6" x14ac:dyDescent="0.25">
      <c r="B118" s="135">
        <f t="shared" si="8"/>
        <v>116</v>
      </c>
      <c r="C118" s="136" t="e">
        <f t="shared" si="9"/>
        <v>#VALUE!</v>
      </c>
      <c r="D118" s="136" t="e">
        <f t="shared" si="5"/>
        <v>#VALUE!</v>
      </c>
      <c r="E118" s="136" t="e">
        <f t="shared" si="6"/>
        <v>#VALUE!</v>
      </c>
      <c r="F118" s="136" t="e">
        <f t="shared" si="7"/>
        <v>#VALUE!</v>
      </c>
    </row>
    <row r="119" spans="2:6" x14ac:dyDescent="0.25">
      <c r="B119" s="135">
        <f t="shared" si="8"/>
        <v>117</v>
      </c>
      <c r="C119" s="136" t="e">
        <f t="shared" si="9"/>
        <v>#VALUE!</v>
      </c>
      <c r="D119" s="136" t="e">
        <f t="shared" si="5"/>
        <v>#VALUE!</v>
      </c>
      <c r="E119" s="136" t="e">
        <f t="shared" si="6"/>
        <v>#VALUE!</v>
      </c>
      <c r="F119" s="136" t="e">
        <f t="shared" si="7"/>
        <v>#VALUE!</v>
      </c>
    </row>
    <row r="120" spans="2:6" x14ac:dyDescent="0.25">
      <c r="B120" s="135">
        <f t="shared" si="8"/>
        <v>118</v>
      </c>
      <c r="C120" s="136" t="e">
        <f t="shared" si="9"/>
        <v>#VALUE!</v>
      </c>
      <c r="D120" s="136" t="e">
        <f t="shared" si="5"/>
        <v>#VALUE!</v>
      </c>
      <c r="E120" s="136" t="e">
        <f t="shared" si="6"/>
        <v>#VALUE!</v>
      </c>
      <c r="F120" s="136" t="e">
        <f t="shared" si="7"/>
        <v>#VALUE!</v>
      </c>
    </row>
    <row r="121" spans="2:6" x14ac:dyDescent="0.25">
      <c r="B121" s="135">
        <f t="shared" si="8"/>
        <v>119</v>
      </c>
      <c r="C121" s="136" t="e">
        <f t="shared" si="9"/>
        <v>#VALUE!</v>
      </c>
      <c r="D121" s="136" t="e">
        <f t="shared" si="5"/>
        <v>#VALUE!</v>
      </c>
      <c r="E121" s="136" t="e">
        <f t="shared" si="6"/>
        <v>#VALUE!</v>
      </c>
      <c r="F121" s="136" t="e">
        <f t="shared" si="7"/>
        <v>#VALUE!</v>
      </c>
    </row>
    <row r="122" spans="2:6" x14ac:dyDescent="0.25">
      <c r="B122" s="135">
        <f t="shared" si="8"/>
        <v>120</v>
      </c>
      <c r="C122" s="136" t="e">
        <f t="shared" si="9"/>
        <v>#VALUE!</v>
      </c>
      <c r="D122" s="136" t="e">
        <f t="shared" si="5"/>
        <v>#VALUE!</v>
      </c>
      <c r="E122" s="136" t="e">
        <f t="shared" si="6"/>
        <v>#VALUE!</v>
      </c>
      <c r="F122" s="136" t="e">
        <f t="shared" si="7"/>
        <v>#VALUE!</v>
      </c>
    </row>
    <row r="123" spans="2:6" x14ac:dyDescent="0.25">
      <c r="B123" s="135">
        <f t="shared" si="8"/>
        <v>121</v>
      </c>
      <c r="C123" s="136" t="e">
        <f t="shared" si="9"/>
        <v>#VALUE!</v>
      </c>
      <c r="D123" s="136" t="e">
        <f t="shared" si="5"/>
        <v>#VALUE!</v>
      </c>
      <c r="E123" s="136" t="e">
        <f t="shared" si="6"/>
        <v>#VALUE!</v>
      </c>
      <c r="F123" s="136" t="e">
        <f t="shared" si="7"/>
        <v>#VALUE!</v>
      </c>
    </row>
    <row r="124" spans="2:6" x14ac:dyDescent="0.25">
      <c r="B124" s="135">
        <f t="shared" si="8"/>
        <v>122</v>
      </c>
      <c r="C124" s="136" t="e">
        <f t="shared" si="9"/>
        <v>#VALUE!</v>
      </c>
      <c r="D124" s="136" t="e">
        <f t="shared" si="5"/>
        <v>#VALUE!</v>
      </c>
      <c r="E124" s="136" t="e">
        <f t="shared" si="6"/>
        <v>#VALUE!</v>
      </c>
      <c r="F124" s="136" t="e">
        <f t="shared" si="7"/>
        <v>#VALUE!</v>
      </c>
    </row>
    <row r="125" spans="2:6" x14ac:dyDescent="0.25">
      <c r="B125" s="135">
        <f t="shared" si="8"/>
        <v>123</v>
      </c>
      <c r="C125" s="136" t="e">
        <f t="shared" si="9"/>
        <v>#VALUE!</v>
      </c>
      <c r="D125" s="136" t="e">
        <f t="shared" si="5"/>
        <v>#VALUE!</v>
      </c>
      <c r="E125" s="136" t="e">
        <f t="shared" si="6"/>
        <v>#VALUE!</v>
      </c>
      <c r="F125" s="136" t="e">
        <f t="shared" si="7"/>
        <v>#VALUE!</v>
      </c>
    </row>
    <row r="126" spans="2:6" x14ac:dyDescent="0.25">
      <c r="B126" s="135">
        <f t="shared" si="8"/>
        <v>124</v>
      </c>
      <c r="C126" s="136" t="e">
        <f t="shared" si="9"/>
        <v>#VALUE!</v>
      </c>
      <c r="D126" s="136" t="e">
        <f t="shared" si="5"/>
        <v>#VALUE!</v>
      </c>
      <c r="E126" s="136" t="e">
        <f t="shared" si="6"/>
        <v>#VALUE!</v>
      </c>
      <c r="F126" s="136" t="e">
        <f t="shared" si="7"/>
        <v>#VALUE!</v>
      </c>
    </row>
    <row r="127" spans="2:6" x14ac:dyDescent="0.25">
      <c r="B127" s="135">
        <f t="shared" si="8"/>
        <v>125</v>
      </c>
      <c r="C127" s="136" t="e">
        <f t="shared" si="9"/>
        <v>#VALUE!</v>
      </c>
      <c r="D127" s="136" t="e">
        <f t="shared" si="5"/>
        <v>#VALUE!</v>
      </c>
      <c r="E127" s="136" t="e">
        <f t="shared" si="6"/>
        <v>#VALUE!</v>
      </c>
      <c r="F127" s="136" t="e">
        <f t="shared" si="7"/>
        <v>#VALUE!</v>
      </c>
    </row>
    <row r="128" spans="2:6" x14ac:dyDescent="0.25">
      <c r="B128" s="135">
        <f t="shared" si="8"/>
        <v>126</v>
      </c>
      <c r="C128" s="136" t="e">
        <f t="shared" si="9"/>
        <v>#VALUE!</v>
      </c>
      <c r="D128" s="136" t="e">
        <f t="shared" si="5"/>
        <v>#VALUE!</v>
      </c>
      <c r="E128" s="136" t="e">
        <f t="shared" si="6"/>
        <v>#VALUE!</v>
      </c>
      <c r="F128" s="136" t="e">
        <f t="shared" si="7"/>
        <v>#VALUE!</v>
      </c>
    </row>
    <row r="129" spans="2:6" x14ac:dyDescent="0.25">
      <c r="B129" s="135">
        <f t="shared" si="8"/>
        <v>127</v>
      </c>
      <c r="C129" s="136" t="e">
        <f t="shared" si="9"/>
        <v>#VALUE!</v>
      </c>
      <c r="D129" s="136" t="e">
        <f t="shared" si="5"/>
        <v>#VALUE!</v>
      </c>
      <c r="E129" s="136" t="e">
        <f t="shared" si="6"/>
        <v>#VALUE!</v>
      </c>
      <c r="F129" s="136" t="e">
        <f t="shared" si="7"/>
        <v>#VALUE!</v>
      </c>
    </row>
    <row r="130" spans="2:6" x14ac:dyDescent="0.25">
      <c r="B130" s="135">
        <f t="shared" si="8"/>
        <v>128</v>
      </c>
      <c r="C130" s="136" t="e">
        <f t="shared" si="9"/>
        <v>#VALUE!</v>
      </c>
      <c r="D130" s="136" t="e">
        <f t="shared" si="5"/>
        <v>#VALUE!</v>
      </c>
      <c r="E130" s="136" t="e">
        <f t="shared" si="6"/>
        <v>#VALUE!</v>
      </c>
      <c r="F130" s="136" t="e">
        <f t="shared" si="7"/>
        <v>#VALUE!</v>
      </c>
    </row>
    <row r="131" spans="2:6" x14ac:dyDescent="0.25">
      <c r="B131" s="135">
        <f t="shared" si="8"/>
        <v>129</v>
      </c>
      <c r="C131" s="136" t="e">
        <f t="shared" si="9"/>
        <v>#VALUE!</v>
      </c>
      <c r="D131" s="136" t="e">
        <f t="shared" ref="D131:D194" si="10">PPMT(LoanRate/12,$B131,LoanAmortization*12,-LoanAmount)</f>
        <v>#VALUE!</v>
      </c>
      <c r="E131" s="136" t="e">
        <f t="shared" ref="E131:E194" si="11">IPMT(LoanRate/12,$B131,LoanAmortization*12,-LoanAmount)</f>
        <v>#VALUE!</v>
      </c>
      <c r="F131" s="136" t="e">
        <f t="shared" si="7"/>
        <v>#VALUE!</v>
      </c>
    </row>
    <row r="132" spans="2:6" x14ac:dyDescent="0.25">
      <c r="B132" s="135">
        <f t="shared" si="8"/>
        <v>130</v>
      </c>
      <c r="C132" s="136" t="e">
        <f t="shared" si="9"/>
        <v>#VALUE!</v>
      </c>
      <c r="D132" s="136" t="e">
        <f t="shared" si="10"/>
        <v>#VALUE!</v>
      </c>
      <c r="E132" s="136" t="e">
        <f t="shared" si="11"/>
        <v>#VALUE!</v>
      </c>
      <c r="F132" s="136" t="e">
        <f t="shared" ref="F132:F195" si="12">C132-D132</f>
        <v>#VALUE!</v>
      </c>
    </row>
    <row r="133" spans="2:6" x14ac:dyDescent="0.25">
      <c r="B133" s="135">
        <f t="shared" ref="B133:B196" si="13">B132+1</f>
        <v>131</v>
      </c>
      <c r="C133" s="136" t="e">
        <f t="shared" ref="C133:C196" si="14">F132</f>
        <v>#VALUE!</v>
      </c>
      <c r="D133" s="136" t="e">
        <f t="shared" si="10"/>
        <v>#VALUE!</v>
      </c>
      <c r="E133" s="136" t="e">
        <f t="shared" si="11"/>
        <v>#VALUE!</v>
      </c>
      <c r="F133" s="136" t="e">
        <f t="shared" si="12"/>
        <v>#VALUE!</v>
      </c>
    </row>
    <row r="134" spans="2:6" x14ac:dyDescent="0.25">
      <c r="B134" s="135">
        <f t="shared" si="13"/>
        <v>132</v>
      </c>
      <c r="C134" s="136" t="e">
        <f t="shared" si="14"/>
        <v>#VALUE!</v>
      </c>
      <c r="D134" s="136" t="e">
        <f t="shared" si="10"/>
        <v>#VALUE!</v>
      </c>
      <c r="E134" s="136" t="e">
        <f t="shared" si="11"/>
        <v>#VALUE!</v>
      </c>
      <c r="F134" s="136" t="e">
        <f t="shared" si="12"/>
        <v>#VALUE!</v>
      </c>
    </row>
    <row r="135" spans="2:6" x14ac:dyDescent="0.25">
      <c r="B135" s="135">
        <f t="shared" si="13"/>
        <v>133</v>
      </c>
      <c r="C135" s="136" t="e">
        <f t="shared" si="14"/>
        <v>#VALUE!</v>
      </c>
      <c r="D135" s="136" t="e">
        <f t="shared" si="10"/>
        <v>#VALUE!</v>
      </c>
      <c r="E135" s="136" t="e">
        <f t="shared" si="11"/>
        <v>#VALUE!</v>
      </c>
      <c r="F135" s="136" t="e">
        <f t="shared" si="12"/>
        <v>#VALUE!</v>
      </c>
    </row>
    <row r="136" spans="2:6" x14ac:dyDescent="0.25">
      <c r="B136" s="135">
        <f t="shared" si="13"/>
        <v>134</v>
      </c>
      <c r="C136" s="136" t="e">
        <f t="shared" si="14"/>
        <v>#VALUE!</v>
      </c>
      <c r="D136" s="136" t="e">
        <f t="shared" si="10"/>
        <v>#VALUE!</v>
      </c>
      <c r="E136" s="136" t="e">
        <f t="shared" si="11"/>
        <v>#VALUE!</v>
      </c>
      <c r="F136" s="136" t="e">
        <f t="shared" si="12"/>
        <v>#VALUE!</v>
      </c>
    </row>
    <row r="137" spans="2:6" x14ac:dyDescent="0.25">
      <c r="B137" s="135">
        <f t="shared" si="13"/>
        <v>135</v>
      </c>
      <c r="C137" s="136" t="e">
        <f t="shared" si="14"/>
        <v>#VALUE!</v>
      </c>
      <c r="D137" s="136" t="e">
        <f t="shared" si="10"/>
        <v>#VALUE!</v>
      </c>
      <c r="E137" s="136" t="e">
        <f t="shared" si="11"/>
        <v>#VALUE!</v>
      </c>
      <c r="F137" s="136" t="e">
        <f t="shared" si="12"/>
        <v>#VALUE!</v>
      </c>
    </row>
    <row r="138" spans="2:6" x14ac:dyDescent="0.25">
      <c r="B138" s="135">
        <f t="shared" si="13"/>
        <v>136</v>
      </c>
      <c r="C138" s="136" t="e">
        <f t="shared" si="14"/>
        <v>#VALUE!</v>
      </c>
      <c r="D138" s="136" t="e">
        <f t="shared" si="10"/>
        <v>#VALUE!</v>
      </c>
      <c r="E138" s="136" t="e">
        <f t="shared" si="11"/>
        <v>#VALUE!</v>
      </c>
      <c r="F138" s="136" t="e">
        <f t="shared" si="12"/>
        <v>#VALUE!</v>
      </c>
    </row>
    <row r="139" spans="2:6" x14ac:dyDescent="0.25">
      <c r="B139" s="135">
        <f t="shared" si="13"/>
        <v>137</v>
      </c>
      <c r="C139" s="136" t="e">
        <f t="shared" si="14"/>
        <v>#VALUE!</v>
      </c>
      <c r="D139" s="136" t="e">
        <f t="shared" si="10"/>
        <v>#VALUE!</v>
      </c>
      <c r="E139" s="136" t="e">
        <f t="shared" si="11"/>
        <v>#VALUE!</v>
      </c>
      <c r="F139" s="136" t="e">
        <f t="shared" si="12"/>
        <v>#VALUE!</v>
      </c>
    </row>
    <row r="140" spans="2:6" x14ac:dyDescent="0.25">
      <c r="B140" s="135">
        <f t="shared" si="13"/>
        <v>138</v>
      </c>
      <c r="C140" s="136" t="e">
        <f t="shared" si="14"/>
        <v>#VALUE!</v>
      </c>
      <c r="D140" s="136" t="e">
        <f t="shared" si="10"/>
        <v>#VALUE!</v>
      </c>
      <c r="E140" s="136" t="e">
        <f t="shared" si="11"/>
        <v>#VALUE!</v>
      </c>
      <c r="F140" s="136" t="e">
        <f t="shared" si="12"/>
        <v>#VALUE!</v>
      </c>
    </row>
    <row r="141" spans="2:6" x14ac:dyDescent="0.25">
      <c r="B141" s="135">
        <f t="shared" si="13"/>
        <v>139</v>
      </c>
      <c r="C141" s="136" t="e">
        <f t="shared" si="14"/>
        <v>#VALUE!</v>
      </c>
      <c r="D141" s="136" t="e">
        <f t="shared" si="10"/>
        <v>#VALUE!</v>
      </c>
      <c r="E141" s="136" t="e">
        <f t="shared" si="11"/>
        <v>#VALUE!</v>
      </c>
      <c r="F141" s="136" t="e">
        <f t="shared" si="12"/>
        <v>#VALUE!</v>
      </c>
    </row>
    <row r="142" spans="2:6" x14ac:dyDescent="0.25">
      <c r="B142" s="135">
        <f t="shared" si="13"/>
        <v>140</v>
      </c>
      <c r="C142" s="136" t="e">
        <f t="shared" si="14"/>
        <v>#VALUE!</v>
      </c>
      <c r="D142" s="136" t="e">
        <f t="shared" si="10"/>
        <v>#VALUE!</v>
      </c>
      <c r="E142" s="136" t="e">
        <f t="shared" si="11"/>
        <v>#VALUE!</v>
      </c>
      <c r="F142" s="136" t="e">
        <f t="shared" si="12"/>
        <v>#VALUE!</v>
      </c>
    </row>
    <row r="143" spans="2:6" x14ac:dyDescent="0.25">
      <c r="B143" s="135">
        <f t="shared" si="13"/>
        <v>141</v>
      </c>
      <c r="C143" s="136" t="e">
        <f t="shared" si="14"/>
        <v>#VALUE!</v>
      </c>
      <c r="D143" s="136" t="e">
        <f t="shared" si="10"/>
        <v>#VALUE!</v>
      </c>
      <c r="E143" s="136" t="e">
        <f t="shared" si="11"/>
        <v>#VALUE!</v>
      </c>
      <c r="F143" s="136" t="e">
        <f t="shared" si="12"/>
        <v>#VALUE!</v>
      </c>
    </row>
    <row r="144" spans="2:6" x14ac:dyDescent="0.25">
      <c r="B144" s="135">
        <f t="shared" si="13"/>
        <v>142</v>
      </c>
      <c r="C144" s="136" t="e">
        <f t="shared" si="14"/>
        <v>#VALUE!</v>
      </c>
      <c r="D144" s="136" t="e">
        <f t="shared" si="10"/>
        <v>#VALUE!</v>
      </c>
      <c r="E144" s="136" t="e">
        <f t="shared" si="11"/>
        <v>#VALUE!</v>
      </c>
      <c r="F144" s="136" t="e">
        <f t="shared" si="12"/>
        <v>#VALUE!</v>
      </c>
    </row>
    <row r="145" spans="2:6" x14ac:dyDescent="0.25">
      <c r="B145" s="135">
        <f t="shared" si="13"/>
        <v>143</v>
      </c>
      <c r="C145" s="136" t="e">
        <f t="shared" si="14"/>
        <v>#VALUE!</v>
      </c>
      <c r="D145" s="136" t="e">
        <f t="shared" si="10"/>
        <v>#VALUE!</v>
      </c>
      <c r="E145" s="136" t="e">
        <f t="shared" si="11"/>
        <v>#VALUE!</v>
      </c>
      <c r="F145" s="136" t="e">
        <f t="shared" si="12"/>
        <v>#VALUE!</v>
      </c>
    </row>
    <row r="146" spans="2:6" x14ac:dyDescent="0.25">
      <c r="B146" s="135">
        <f t="shared" si="13"/>
        <v>144</v>
      </c>
      <c r="C146" s="136" t="e">
        <f t="shared" si="14"/>
        <v>#VALUE!</v>
      </c>
      <c r="D146" s="136" t="e">
        <f t="shared" si="10"/>
        <v>#VALUE!</v>
      </c>
      <c r="E146" s="136" t="e">
        <f t="shared" si="11"/>
        <v>#VALUE!</v>
      </c>
      <c r="F146" s="136" t="e">
        <f t="shared" si="12"/>
        <v>#VALUE!</v>
      </c>
    </row>
    <row r="147" spans="2:6" x14ac:dyDescent="0.25">
      <c r="B147" s="135">
        <f t="shared" si="13"/>
        <v>145</v>
      </c>
      <c r="C147" s="136" t="e">
        <f t="shared" si="14"/>
        <v>#VALUE!</v>
      </c>
      <c r="D147" s="136" t="e">
        <f t="shared" si="10"/>
        <v>#VALUE!</v>
      </c>
      <c r="E147" s="136" t="e">
        <f t="shared" si="11"/>
        <v>#VALUE!</v>
      </c>
      <c r="F147" s="136" t="e">
        <f t="shared" si="12"/>
        <v>#VALUE!</v>
      </c>
    </row>
    <row r="148" spans="2:6" x14ac:dyDescent="0.25">
      <c r="B148" s="135">
        <f t="shared" si="13"/>
        <v>146</v>
      </c>
      <c r="C148" s="136" t="e">
        <f t="shared" si="14"/>
        <v>#VALUE!</v>
      </c>
      <c r="D148" s="136" t="e">
        <f t="shared" si="10"/>
        <v>#VALUE!</v>
      </c>
      <c r="E148" s="136" t="e">
        <f t="shared" si="11"/>
        <v>#VALUE!</v>
      </c>
      <c r="F148" s="136" t="e">
        <f t="shared" si="12"/>
        <v>#VALUE!</v>
      </c>
    </row>
    <row r="149" spans="2:6" x14ac:dyDescent="0.25">
      <c r="B149" s="135">
        <f t="shared" si="13"/>
        <v>147</v>
      </c>
      <c r="C149" s="136" t="e">
        <f t="shared" si="14"/>
        <v>#VALUE!</v>
      </c>
      <c r="D149" s="136" t="e">
        <f t="shared" si="10"/>
        <v>#VALUE!</v>
      </c>
      <c r="E149" s="136" t="e">
        <f t="shared" si="11"/>
        <v>#VALUE!</v>
      </c>
      <c r="F149" s="136" t="e">
        <f t="shared" si="12"/>
        <v>#VALUE!</v>
      </c>
    </row>
    <row r="150" spans="2:6" x14ac:dyDescent="0.25">
      <c r="B150" s="135">
        <f t="shared" si="13"/>
        <v>148</v>
      </c>
      <c r="C150" s="136" t="e">
        <f t="shared" si="14"/>
        <v>#VALUE!</v>
      </c>
      <c r="D150" s="136" t="e">
        <f t="shared" si="10"/>
        <v>#VALUE!</v>
      </c>
      <c r="E150" s="136" t="e">
        <f t="shared" si="11"/>
        <v>#VALUE!</v>
      </c>
      <c r="F150" s="136" t="e">
        <f t="shared" si="12"/>
        <v>#VALUE!</v>
      </c>
    </row>
    <row r="151" spans="2:6" x14ac:dyDescent="0.25">
      <c r="B151" s="135">
        <f t="shared" si="13"/>
        <v>149</v>
      </c>
      <c r="C151" s="136" t="e">
        <f t="shared" si="14"/>
        <v>#VALUE!</v>
      </c>
      <c r="D151" s="136" t="e">
        <f t="shared" si="10"/>
        <v>#VALUE!</v>
      </c>
      <c r="E151" s="136" t="e">
        <f t="shared" si="11"/>
        <v>#VALUE!</v>
      </c>
      <c r="F151" s="136" t="e">
        <f t="shared" si="12"/>
        <v>#VALUE!</v>
      </c>
    </row>
    <row r="152" spans="2:6" x14ac:dyDescent="0.25">
      <c r="B152" s="135">
        <f t="shared" si="13"/>
        <v>150</v>
      </c>
      <c r="C152" s="136" t="e">
        <f t="shared" si="14"/>
        <v>#VALUE!</v>
      </c>
      <c r="D152" s="136" t="e">
        <f t="shared" si="10"/>
        <v>#VALUE!</v>
      </c>
      <c r="E152" s="136" t="e">
        <f t="shared" si="11"/>
        <v>#VALUE!</v>
      </c>
      <c r="F152" s="136" t="e">
        <f t="shared" si="12"/>
        <v>#VALUE!</v>
      </c>
    </row>
    <row r="153" spans="2:6" x14ac:dyDescent="0.25">
      <c r="B153" s="135">
        <f t="shared" si="13"/>
        <v>151</v>
      </c>
      <c r="C153" s="136" t="e">
        <f t="shared" si="14"/>
        <v>#VALUE!</v>
      </c>
      <c r="D153" s="136" t="e">
        <f t="shared" si="10"/>
        <v>#VALUE!</v>
      </c>
      <c r="E153" s="136" t="e">
        <f t="shared" si="11"/>
        <v>#VALUE!</v>
      </c>
      <c r="F153" s="136" t="e">
        <f t="shared" si="12"/>
        <v>#VALUE!</v>
      </c>
    </row>
    <row r="154" spans="2:6" x14ac:dyDescent="0.25">
      <c r="B154" s="135">
        <f t="shared" si="13"/>
        <v>152</v>
      </c>
      <c r="C154" s="136" t="e">
        <f t="shared" si="14"/>
        <v>#VALUE!</v>
      </c>
      <c r="D154" s="136" t="e">
        <f t="shared" si="10"/>
        <v>#VALUE!</v>
      </c>
      <c r="E154" s="136" t="e">
        <f t="shared" si="11"/>
        <v>#VALUE!</v>
      </c>
      <c r="F154" s="136" t="e">
        <f t="shared" si="12"/>
        <v>#VALUE!</v>
      </c>
    </row>
    <row r="155" spans="2:6" x14ac:dyDescent="0.25">
      <c r="B155" s="135">
        <f t="shared" si="13"/>
        <v>153</v>
      </c>
      <c r="C155" s="136" t="e">
        <f t="shared" si="14"/>
        <v>#VALUE!</v>
      </c>
      <c r="D155" s="136" t="e">
        <f t="shared" si="10"/>
        <v>#VALUE!</v>
      </c>
      <c r="E155" s="136" t="e">
        <f t="shared" si="11"/>
        <v>#VALUE!</v>
      </c>
      <c r="F155" s="136" t="e">
        <f t="shared" si="12"/>
        <v>#VALUE!</v>
      </c>
    </row>
    <row r="156" spans="2:6" x14ac:dyDescent="0.25">
      <c r="B156" s="135">
        <f t="shared" si="13"/>
        <v>154</v>
      </c>
      <c r="C156" s="136" t="e">
        <f t="shared" si="14"/>
        <v>#VALUE!</v>
      </c>
      <c r="D156" s="136" t="e">
        <f t="shared" si="10"/>
        <v>#VALUE!</v>
      </c>
      <c r="E156" s="136" t="e">
        <f t="shared" si="11"/>
        <v>#VALUE!</v>
      </c>
      <c r="F156" s="136" t="e">
        <f t="shared" si="12"/>
        <v>#VALUE!</v>
      </c>
    </row>
    <row r="157" spans="2:6" x14ac:dyDescent="0.25">
      <c r="B157" s="135">
        <f t="shared" si="13"/>
        <v>155</v>
      </c>
      <c r="C157" s="136" t="e">
        <f t="shared" si="14"/>
        <v>#VALUE!</v>
      </c>
      <c r="D157" s="136" t="e">
        <f t="shared" si="10"/>
        <v>#VALUE!</v>
      </c>
      <c r="E157" s="136" t="e">
        <f t="shared" si="11"/>
        <v>#VALUE!</v>
      </c>
      <c r="F157" s="136" t="e">
        <f t="shared" si="12"/>
        <v>#VALUE!</v>
      </c>
    </row>
    <row r="158" spans="2:6" x14ac:dyDescent="0.25">
      <c r="B158" s="135">
        <f t="shared" si="13"/>
        <v>156</v>
      </c>
      <c r="C158" s="136" t="e">
        <f t="shared" si="14"/>
        <v>#VALUE!</v>
      </c>
      <c r="D158" s="136" t="e">
        <f t="shared" si="10"/>
        <v>#VALUE!</v>
      </c>
      <c r="E158" s="136" t="e">
        <f t="shared" si="11"/>
        <v>#VALUE!</v>
      </c>
      <c r="F158" s="136" t="e">
        <f t="shared" si="12"/>
        <v>#VALUE!</v>
      </c>
    </row>
    <row r="159" spans="2:6" x14ac:dyDescent="0.25">
      <c r="B159" s="135">
        <f t="shared" si="13"/>
        <v>157</v>
      </c>
      <c r="C159" s="136" t="e">
        <f t="shared" si="14"/>
        <v>#VALUE!</v>
      </c>
      <c r="D159" s="136" t="e">
        <f t="shared" si="10"/>
        <v>#VALUE!</v>
      </c>
      <c r="E159" s="136" t="e">
        <f t="shared" si="11"/>
        <v>#VALUE!</v>
      </c>
      <c r="F159" s="136" t="e">
        <f t="shared" si="12"/>
        <v>#VALUE!</v>
      </c>
    </row>
    <row r="160" spans="2:6" x14ac:dyDescent="0.25">
      <c r="B160" s="135">
        <f t="shared" si="13"/>
        <v>158</v>
      </c>
      <c r="C160" s="136" t="e">
        <f t="shared" si="14"/>
        <v>#VALUE!</v>
      </c>
      <c r="D160" s="136" t="e">
        <f t="shared" si="10"/>
        <v>#VALUE!</v>
      </c>
      <c r="E160" s="136" t="e">
        <f t="shared" si="11"/>
        <v>#VALUE!</v>
      </c>
      <c r="F160" s="136" t="e">
        <f t="shared" si="12"/>
        <v>#VALUE!</v>
      </c>
    </row>
    <row r="161" spans="2:6" x14ac:dyDescent="0.25">
      <c r="B161" s="135">
        <f t="shared" si="13"/>
        <v>159</v>
      </c>
      <c r="C161" s="136" t="e">
        <f t="shared" si="14"/>
        <v>#VALUE!</v>
      </c>
      <c r="D161" s="136" t="e">
        <f t="shared" si="10"/>
        <v>#VALUE!</v>
      </c>
      <c r="E161" s="136" t="e">
        <f t="shared" si="11"/>
        <v>#VALUE!</v>
      </c>
      <c r="F161" s="136" t="e">
        <f t="shared" si="12"/>
        <v>#VALUE!</v>
      </c>
    </row>
    <row r="162" spans="2:6" x14ac:dyDescent="0.25">
      <c r="B162" s="135">
        <f t="shared" si="13"/>
        <v>160</v>
      </c>
      <c r="C162" s="136" t="e">
        <f t="shared" si="14"/>
        <v>#VALUE!</v>
      </c>
      <c r="D162" s="136" t="e">
        <f t="shared" si="10"/>
        <v>#VALUE!</v>
      </c>
      <c r="E162" s="136" t="e">
        <f t="shared" si="11"/>
        <v>#VALUE!</v>
      </c>
      <c r="F162" s="136" t="e">
        <f t="shared" si="12"/>
        <v>#VALUE!</v>
      </c>
    </row>
    <row r="163" spans="2:6" x14ac:dyDescent="0.25">
      <c r="B163" s="135">
        <f t="shared" si="13"/>
        <v>161</v>
      </c>
      <c r="C163" s="136" t="e">
        <f t="shared" si="14"/>
        <v>#VALUE!</v>
      </c>
      <c r="D163" s="136" t="e">
        <f t="shared" si="10"/>
        <v>#VALUE!</v>
      </c>
      <c r="E163" s="136" t="e">
        <f t="shared" si="11"/>
        <v>#VALUE!</v>
      </c>
      <c r="F163" s="136" t="e">
        <f t="shared" si="12"/>
        <v>#VALUE!</v>
      </c>
    </row>
    <row r="164" spans="2:6" x14ac:dyDescent="0.25">
      <c r="B164" s="135">
        <f t="shared" si="13"/>
        <v>162</v>
      </c>
      <c r="C164" s="136" t="e">
        <f t="shared" si="14"/>
        <v>#VALUE!</v>
      </c>
      <c r="D164" s="136" t="e">
        <f t="shared" si="10"/>
        <v>#VALUE!</v>
      </c>
      <c r="E164" s="136" t="e">
        <f t="shared" si="11"/>
        <v>#VALUE!</v>
      </c>
      <c r="F164" s="136" t="e">
        <f t="shared" si="12"/>
        <v>#VALUE!</v>
      </c>
    </row>
    <row r="165" spans="2:6" x14ac:dyDescent="0.25">
      <c r="B165" s="135">
        <f t="shared" si="13"/>
        <v>163</v>
      </c>
      <c r="C165" s="136" t="e">
        <f t="shared" si="14"/>
        <v>#VALUE!</v>
      </c>
      <c r="D165" s="136" t="e">
        <f t="shared" si="10"/>
        <v>#VALUE!</v>
      </c>
      <c r="E165" s="136" t="e">
        <f t="shared" si="11"/>
        <v>#VALUE!</v>
      </c>
      <c r="F165" s="136" t="e">
        <f t="shared" si="12"/>
        <v>#VALUE!</v>
      </c>
    </row>
    <row r="166" spans="2:6" x14ac:dyDescent="0.25">
      <c r="B166" s="135">
        <f t="shared" si="13"/>
        <v>164</v>
      </c>
      <c r="C166" s="136" t="e">
        <f t="shared" si="14"/>
        <v>#VALUE!</v>
      </c>
      <c r="D166" s="136" t="e">
        <f t="shared" si="10"/>
        <v>#VALUE!</v>
      </c>
      <c r="E166" s="136" t="e">
        <f t="shared" si="11"/>
        <v>#VALUE!</v>
      </c>
      <c r="F166" s="136" t="e">
        <f t="shared" si="12"/>
        <v>#VALUE!</v>
      </c>
    </row>
    <row r="167" spans="2:6" x14ac:dyDescent="0.25">
      <c r="B167" s="135">
        <f t="shared" si="13"/>
        <v>165</v>
      </c>
      <c r="C167" s="136" t="e">
        <f t="shared" si="14"/>
        <v>#VALUE!</v>
      </c>
      <c r="D167" s="136" t="e">
        <f t="shared" si="10"/>
        <v>#VALUE!</v>
      </c>
      <c r="E167" s="136" t="e">
        <f t="shared" si="11"/>
        <v>#VALUE!</v>
      </c>
      <c r="F167" s="136" t="e">
        <f t="shared" si="12"/>
        <v>#VALUE!</v>
      </c>
    </row>
    <row r="168" spans="2:6" x14ac:dyDescent="0.25">
      <c r="B168" s="135">
        <f t="shared" si="13"/>
        <v>166</v>
      </c>
      <c r="C168" s="136" t="e">
        <f t="shared" si="14"/>
        <v>#VALUE!</v>
      </c>
      <c r="D168" s="136" t="e">
        <f t="shared" si="10"/>
        <v>#VALUE!</v>
      </c>
      <c r="E168" s="136" t="e">
        <f t="shared" si="11"/>
        <v>#VALUE!</v>
      </c>
      <c r="F168" s="136" t="e">
        <f t="shared" si="12"/>
        <v>#VALUE!</v>
      </c>
    </row>
    <row r="169" spans="2:6" x14ac:dyDescent="0.25">
      <c r="B169" s="135">
        <f t="shared" si="13"/>
        <v>167</v>
      </c>
      <c r="C169" s="136" t="e">
        <f t="shared" si="14"/>
        <v>#VALUE!</v>
      </c>
      <c r="D169" s="136" t="e">
        <f t="shared" si="10"/>
        <v>#VALUE!</v>
      </c>
      <c r="E169" s="136" t="e">
        <f t="shared" si="11"/>
        <v>#VALUE!</v>
      </c>
      <c r="F169" s="136" t="e">
        <f t="shared" si="12"/>
        <v>#VALUE!</v>
      </c>
    </row>
    <row r="170" spans="2:6" x14ac:dyDescent="0.25">
      <c r="B170" s="135">
        <f t="shared" si="13"/>
        <v>168</v>
      </c>
      <c r="C170" s="136" t="e">
        <f t="shared" si="14"/>
        <v>#VALUE!</v>
      </c>
      <c r="D170" s="136" t="e">
        <f t="shared" si="10"/>
        <v>#VALUE!</v>
      </c>
      <c r="E170" s="136" t="e">
        <f t="shared" si="11"/>
        <v>#VALUE!</v>
      </c>
      <c r="F170" s="136" t="e">
        <f t="shared" si="12"/>
        <v>#VALUE!</v>
      </c>
    </row>
    <row r="171" spans="2:6" x14ac:dyDescent="0.25">
      <c r="B171" s="135">
        <f t="shared" si="13"/>
        <v>169</v>
      </c>
      <c r="C171" s="136" t="e">
        <f t="shared" si="14"/>
        <v>#VALUE!</v>
      </c>
      <c r="D171" s="136" t="e">
        <f t="shared" si="10"/>
        <v>#VALUE!</v>
      </c>
      <c r="E171" s="136" t="e">
        <f t="shared" si="11"/>
        <v>#VALUE!</v>
      </c>
      <c r="F171" s="136" t="e">
        <f t="shared" si="12"/>
        <v>#VALUE!</v>
      </c>
    </row>
    <row r="172" spans="2:6" x14ac:dyDescent="0.25">
      <c r="B172" s="135">
        <f t="shared" si="13"/>
        <v>170</v>
      </c>
      <c r="C172" s="136" t="e">
        <f t="shared" si="14"/>
        <v>#VALUE!</v>
      </c>
      <c r="D172" s="136" t="e">
        <f t="shared" si="10"/>
        <v>#VALUE!</v>
      </c>
      <c r="E172" s="136" t="e">
        <f t="shared" si="11"/>
        <v>#VALUE!</v>
      </c>
      <c r="F172" s="136" t="e">
        <f t="shared" si="12"/>
        <v>#VALUE!</v>
      </c>
    </row>
    <row r="173" spans="2:6" x14ac:dyDescent="0.25">
      <c r="B173" s="135">
        <f t="shared" si="13"/>
        <v>171</v>
      </c>
      <c r="C173" s="136" t="e">
        <f t="shared" si="14"/>
        <v>#VALUE!</v>
      </c>
      <c r="D173" s="136" t="e">
        <f t="shared" si="10"/>
        <v>#VALUE!</v>
      </c>
      <c r="E173" s="136" t="e">
        <f t="shared" si="11"/>
        <v>#VALUE!</v>
      </c>
      <c r="F173" s="136" t="e">
        <f t="shared" si="12"/>
        <v>#VALUE!</v>
      </c>
    </row>
    <row r="174" spans="2:6" x14ac:dyDescent="0.25">
      <c r="B174" s="135">
        <f t="shared" si="13"/>
        <v>172</v>
      </c>
      <c r="C174" s="136" t="e">
        <f t="shared" si="14"/>
        <v>#VALUE!</v>
      </c>
      <c r="D174" s="136" t="e">
        <f t="shared" si="10"/>
        <v>#VALUE!</v>
      </c>
      <c r="E174" s="136" t="e">
        <f t="shared" si="11"/>
        <v>#VALUE!</v>
      </c>
      <c r="F174" s="136" t="e">
        <f t="shared" si="12"/>
        <v>#VALUE!</v>
      </c>
    </row>
    <row r="175" spans="2:6" x14ac:dyDescent="0.25">
      <c r="B175" s="135">
        <f t="shared" si="13"/>
        <v>173</v>
      </c>
      <c r="C175" s="136" t="e">
        <f t="shared" si="14"/>
        <v>#VALUE!</v>
      </c>
      <c r="D175" s="136" t="e">
        <f t="shared" si="10"/>
        <v>#VALUE!</v>
      </c>
      <c r="E175" s="136" t="e">
        <f t="shared" si="11"/>
        <v>#VALUE!</v>
      </c>
      <c r="F175" s="136" t="e">
        <f t="shared" si="12"/>
        <v>#VALUE!</v>
      </c>
    </row>
    <row r="176" spans="2:6" x14ac:dyDescent="0.25">
      <c r="B176" s="135">
        <f t="shared" si="13"/>
        <v>174</v>
      </c>
      <c r="C176" s="136" t="e">
        <f t="shared" si="14"/>
        <v>#VALUE!</v>
      </c>
      <c r="D176" s="136" t="e">
        <f t="shared" si="10"/>
        <v>#VALUE!</v>
      </c>
      <c r="E176" s="136" t="e">
        <f t="shared" si="11"/>
        <v>#VALUE!</v>
      </c>
      <c r="F176" s="136" t="e">
        <f t="shared" si="12"/>
        <v>#VALUE!</v>
      </c>
    </row>
    <row r="177" spans="2:6" x14ac:dyDescent="0.25">
      <c r="B177" s="135">
        <f t="shared" si="13"/>
        <v>175</v>
      </c>
      <c r="C177" s="136" t="e">
        <f t="shared" si="14"/>
        <v>#VALUE!</v>
      </c>
      <c r="D177" s="136" t="e">
        <f t="shared" si="10"/>
        <v>#VALUE!</v>
      </c>
      <c r="E177" s="136" t="e">
        <f t="shared" si="11"/>
        <v>#VALUE!</v>
      </c>
      <c r="F177" s="136" t="e">
        <f t="shared" si="12"/>
        <v>#VALUE!</v>
      </c>
    </row>
    <row r="178" spans="2:6" x14ac:dyDescent="0.25">
      <c r="B178" s="135">
        <f t="shared" si="13"/>
        <v>176</v>
      </c>
      <c r="C178" s="136" t="e">
        <f t="shared" si="14"/>
        <v>#VALUE!</v>
      </c>
      <c r="D178" s="136" t="e">
        <f t="shared" si="10"/>
        <v>#VALUE!</v>
      </c>
      <c r="E178" s="136" t="e">
        <f t="shared" si="11"/>
        <v>#VALUE!</v>
      </c>
      <c r="F178" s="136" t="e">
        <f t="shared" si="12"/>
        <v>#VALUE!</v>
      </c>
    </row>
    <row r="179" spans="2:6" x14ac:dyDescent="0.25">
      <c r="B179" s="135">
        <f t="shared" si="13"/>
        <v>177</v>
      </c>
      <c r="C179" s="136" t="e">
        <f t="shared" si="14"/>
        <v>#VALUE!</v>
      </c>
      <c r="D179" s="136" t="e">
        <f t="shared" si="10"/>
        <v>#VALUE!</v>
      </c>
      <c r="E179" s="136" t="e">
        <f t="shared" si="11"/>
        <v>#VALUE!</v>
      </c>
      <c r="F179" s="136" t="e">
        <f t="shared" si="12"/>
        <v>#VALUE!</v>
      </c>
    </row>
    <row r="180" spans="2:6" x14ac:dyDescent="0.25">
      <c r="B180" s="135">
        <f t="shared" si="13"/>
        <v>178</v>
      </c>
      <c r="C180" s="136" t="e">
        <f t="shared" si="14"/>
        <v>#VALUE!</v>
      </c>
      <c r="D180" s="136" t="e">
        <f t="shared" si="10"/>
        <v>#VALUE!</v>
      </c>
      <c r="E180" s="136" t="e">
        <f t="shared" si="11"/>
        <v>#VALUE!</v>
      </c>
      <c r="F180" s="136" t="e">
        <f t="shared" si="12"/>
        <v>#VALUE!</v>
      </c>
    </row>
    <row r="181" spans="2:6" x14ac:dyDescent="0.25">
      <c r="B181" s="135">
        <f t="shared" si="13"/>
        <v>179</v>
      </c>
      <c r="C181" s="136" t="e">
        <f t="shared" si="14"/>
        <v>#VALUE!</v>
      </c>
      <c r="D181" s="136" t="e">
        <f t="shared" si="10"/>
        <v>#VALUE!</v>
      </c>
      <c r="E181" s="136" t="e">
        <f t="shared" si="11"/>
        <v>#VALUE!</v>
      </c>
      <c r="F181" s="136" t="e">
        <f t="shared" si="12"/>
        <v>#VALUE!</v>
      </c>
    </row>
    <row r="182" spans="2:6" x14ac:dyDescent="0.25">
      <c r="B182" s="135">
        <f t="shared" si="13"/>
        <v>180</v>
      </c>
      <c r="C182" s="136" t="e">
        <f t="shared" si="14"/>
        <v>#VALUE!</v>
      </c>
      <c r="D182" s="136" t="e">
        <f t="shared" si="10"/>
        <v>#VALUE!</v>
      </c>
      <c r="E182" s="136" t="e">
        <f t="shared" si="11"/>
        <v>#VALUE!</v>
      </c>
      <c r="F182" s="136" t="e">
        <f t="shared" si="12"/>
        <v>#VALUE!</v>
      </c>
    </row>
    <row r="183" spans="2:6" x14ac:dyDescent="0.25">
      <c r="B183" s="135">
        <f t="shared" si="13"/>
        <v>181</v>
      </c>
      <c r="C183" s="136" t="e">
        <f t="shared" si="14"/>
        <v>#VALUE!</v>
      </c>
      <c r="D183" s="136" t="e">
        <f t="shared" si="10"/>
        <v>#VALUE!</v>
      </c>
      <c r="E183" s="136" t="e">
        <f t="shared" si="11"/>
        <v>#VALUE!</v>
      </c>
      <c r="F183" s="136" t="e">
        <f t="shared" si="12"/>
        <v>#VALUE!</v>
      </c>
    </row>
    <row r="184" spans="2:6" x14ac:dyDescent="0.25">
      <c r="B184" s="135">
        <f t="shared" si="13"/>
        <v>182</v>
      </c>
      <c r="C184" s="136" t="e">
        <f t="shared" si="14"/>
        <v>#VALUE!</v>
      </c>
      <c r="D184" s="136" t="e">
        <f t="shared" si="10"/>
        <v>#VALUE!</v>
      </c>
      <c r="E184" s="136" t="e">
        <f t="shared" si="11"/>
        <v>#VALUE!</v>
      </c>
      <c r="F184" s="136" t="e">
        <f t="shared" si="12"/>
        <v>#VALUE!</v>
      </c>
    </row>
    <row r="185" spans="2:6" x14ac:dyDescent="0.25">
      <c r="B185" s="135">
        <f t="shared" si="13"/>
        <v>183</v>
      </c>
      <c r="C185" s="136" t="e">
        <f t="shared" si="14"/>
        <v>#VALUE!</v>
      </c>
      <c r="D185" s="136" t="e">
        <f t="shared" si="10"/>
        <v>#VALUE!</v>
      </c>
      <c r="E185" s="136" t="e">
        <f t="shared" si="11"/>
        <v>#VALUE!</v>
      </c>
      <c r="F185" s="136" t="e">
        <f t="shared" si="12"/>
        <v>#VALUE!</v>
      </c>
    </row>
    <row r="186" spans="2:6" x14ac:dyDescent="0.25">
      <c r="B186" s="135">
        <f t="shared" si="13"/>
        <v>184</v>
      </c>
      <c r="C186" s="136" t="e">
        <f t="shared" si="14"/>
        <v>#VALUE!</v>
      </c>
      <c r="D186" s="136" t="e">
        <f t="shared" si="10"/>
        <v>#VALUE!</v>
      </c>
      <c r="E186" s="136" t="e">
        <f t="shared" si="11"/>
        <v>#VALUE!</v>
      </c>
      <c r="F186" s="136" t="e">
        <f t="shared" si="12"/>
        <v>#VALUE!</v>
      </c>
    </row>
    <row r="187" spans="2:6" x14ac:dyDescent="0.25">
      <c r="B187" s="135">
        <f t="shared" si="13"/>
        <v>185</v>
      </c>
      <c r="C187" s="136" t="e">
        <f t="shared" si="14"/>
        <v>#VALUE!</v>
      </c>
      <c r="D187" s="136" t="e">
        <f t="shared" si="10"/>
        <v>#VALUE!</v>
      </c>
      <c r="E187" s="136" t="e">
        <f t="shared" si="11"/>
        <v>#VALUE!</v>
      </c>
      <c r="F187" s="136" t="e">
        <f t="shared" si="12"/>
        <v>#VALUE!</v>
      </c>
    </row>
    <row r="188" spans="2:6" x14ac:dyDescent="0.25">
      <c r="B188" s="135">
        <f t="shared" si="13"/>
        <v>186</v>
      </c>
      <c r="C188" s="136" t="e">
        <f t="shared" si="14"/>
        <v>#VALUE!</v>
      </c>
      <c r="D188" s="136" t="e">
        <f t="shared" si="10"/>
        <v>#VALUE!</v>
      </c>
      <c r="E188" s="136" t="e">
        <f t="shared" si="11"/>
        <v>#VALUE!</v>
      </c>
      <c r="F188" s="136" t="e">
        <f t="shared" si="12"/>
        <v>#VALUE!</v>
      </c>
    </row>
    <row r="189" spans="2:6" x14ac:dyDescent="0.25">
      <c r="B189" s="135">
        <f t="shared" si="13"/>
        <v>187</v>
      </c>
      <c r="C189" s="136" t="e">
        <f t="shared" si="14"/>
        <v>#VALUE!</v>
      </c>
      <c r="D189" s="136" t="e">
        <f t="shared" si="10"/>
        <v>#VALUE!</v>
      </c>
      <c r="E189" s="136" t="e">
        <f t="shared" si="11"/>
        <v>#VALUE!</v>
      </c>
      <c r="F189" s="136" t="e">
        <f t="shared" si="12"/>
        <v>#VALUE!</v>
      </c>
    </row>
    <row r="190" spans="2:6" x14ac:dyDescent="0.25">
      <c r="B190" s="135">
        <f t="shared" si="13"/>
        <v>188</v>
      </c>
      <c r="C190" s="136" t="e">
        <f t="shared" si="14"/>
        <v>#VALUE!</v>
      </c>
      <c r="D190" s="136" t="e">
        <f t="shared" si="10"/>
        <v>#VALUE!</v>
      </c>
      <c r="E190" s="136" t="e">
        <f t="shared" si="11"/>
        <v>#VALUE!</v>
      </c>
      <c r="F190" s="136" t="e">
        <f t="shared" si="12"/>
        <v>#VALUE!</v>
      </c>
    </row>
    <row r="191" spans="2:6" x14ac:dyDescent="0.25">
      <c r="B191" s="135">
        <f t="shared" si="13"/>
        <v>189</v>
      </c>
      <c r="C191" s="136" t="e">
        <f t="shared" si="14"/>
        <v>#VALUE!</v>
      </c>
      <c r="D191" s="136" t="e">
        <f t="shared" si="10"/>
        <v>#VALUE!</v>
      </c>
      <c r="E191" s="136" t="e">
        <f t="shared" si="11"/>
        <v>#VALUE!</v>
      </c>
      <c r="F191" s="136" t="e">
        <f t="shared" si="12"/>
        <v>#VALUE!</v>
      </c>
    </row>
    <row r="192" spans="2:6" x14ac:dyDescent="0.25">
      <c r="B192" s="135">
        <f t="shared" si="13"/>
        <v>190</v>
      </c>
      <c r="C192" s="136" t="e">
        <f t="shared" si="14"/>
        <v>#VALUE!</v>
      </c>
      <c r="D192" s="136" t="e">
        <f t="shared" si="10"/>
        <v>#VALUE!</v>
      </c>
      <c r="E192" s="136" t="e">
        <f t="shared" si="11"/>
        <v>#VALUE!</v>
      </c>
      <c r="F192" s="136" t="e">
        <f t="shared" si="12"/>
        <v>#VALUE!</v>
      </c>
    </row>
    <row r="193" spans="2:6" x14ac:dyDescent="0.25">
      <c r="B193" s="135">
        <f t="shared" si="13"/>
        <v>191</v>
      </c>
      <c r="C193" s="136" t="e">
        <f t="shared" si="14"/>
        <v>#VALUE!</v>
      </c>
      <c r="D193" s="136" t="e">
        <f t="shared" si="10"/>
        <v>#VALUE!</v>
      </c>
      <c r="E193" s="136" t="e">
        <f t="shared" si="11"/>
        <v>#VALUE!</v>
      </c>
      <c r="F193" s="136" t="e">
        <f t="shared" si="12"/>
        <v>#VALUE!</v>
      </c>
    </row>
    <row r="194" spans="2:6" x14ac:dyDescent="0.25">
      <c r="B194" s="135">
        <f t="shared" si="13"/>
        <v>192</v>
      </c>
      <c r="C194" s="136" t="e">
        <f t="shared" si="14"/>
        <v>#VALUE!</v>
      </c>
      <c r="D194" s="136" t="e">
        <f t="shared" si="10"/>
        <v>#VALUE!</v>
      </c>
      <c r="E194" s="136" t="e">
        <f t="shared" si="11"/>
        <v>#VALUE!</v>
      </c>
      <c r="F194" s="136" t="e">
        <f t="shared" si="12"/>
        <v>#VALUE!</v>
      </c>
    </row>
    <row r="195" spans="2:6" x14ac:dyDescent="0.25">
      <c r="B195" s="135">
        <f t="shared" si="13"/>
        <v>193</v>
      </c>
      <c r="C195" s="136" t="e">
        <f t="shared" si="14"/>
        <v>#VALUE!</v>
      </c>
      <c r="D195" s="136" t="e">
        <f t="shared" ref="D195:D258" si="15">PPMT(LoanRate/12,$B195,LoanAmortization*12,-LoanAmount)</f>
        <v>#VALUE!</v>
      </c>
      <c r="E195" s="136" t="e">
        <f t="shared" ref="E195:E258" si="16">IPMT(LoanRate/12,$B195,LoanAmortization*12,-LoanAmount)</f>
        <v>#VALUE!</v>
      </c>
      <c r="F195" s="136" t="e">
        <f t="shared" si="12"/>
        <v>#VALUE!</v>
      </c>
    </row>
    <row r="196" spans="2:6" x14ac:dyDescent="0.25">
      <c r="B196" s="135">
        <f t="shared" si="13"/>
        <v>194</v>
      </c>
      <c r="C196" s="136" t="e">
        <f t="shared" si="14"/>
        <v>#VALUE!</v>
      </c>
      <c r="D196" s="136" t="e">
        <f t="shared" si="15"/>
        <v>#VALUE!</v>
      </c>
      <c r="E196" s="136" t="e">
        <f t="shared" si="16"/>
        <v>#VALUE!</v>
      </c>
      <c r="F196" s="136" t="e">
        <f t="shared" ref="F196:F259" si="17">C196-D196</f>
        <v>#VALUE!</v>
      </c>
    </row>
    <row r="197" spans="2:6" x14ac:dyDescent="0.25">
      <c r="B197" s="135">
        <f t="shared" ref="B197:B260" si="18">B196+1</f>
        <v>195</v>
      </c>
      <c r="C197" s="136" t="e">
        <f t="shared" ref="C197:C260" si="19">F196</f>
        <v>#VALUE!</v>
      </c>
      <c r="D197" s="136" t="e">
        <f t="shared" si="15"/>
        <v>#VALUE!</v>
      </c>
      <c r="E197" s="136" t="e">
        <f t="shared" si="16"/>
        <v>#VALUE!</v>
      </c>
      <c r="F197" s="136" t="e">
        <f t="shared" si="17"/>
        <v>#VALUE!</v>
      </c>
    </row>
    <row r="198" spans="2:6" x14ac:dyDescent="0.25">
      <c r="B198" s="135">
        <f t="shared" si="18"/>
        <v>196</v>
      </c>
      <c r="C198" s="136" t="e">
        <f t="shared" si="19"/>
        <v>#VALUE!</v>
      </c>
      <c r="D198" s="136" t="e">
        <f t="shared" si="15"/>
        <v>#VALUE!</v>
      </c>
      <c r="E198" s="136" t="e">
        <f t="shared" si="16"/>
        <v>#VALUE!</v>
      </c>
      <c r="F198" s="136" t="e">
        <f t="shared" si="17"/>
        <v>#VALUE!</v>
      </c>
    </row>
    <row r="199" spans="2:6" x14ac:dyDescent="0.25">
      <c r="B199" s="135">
        <f t="shared" si="18"/>
        <v>197</v>
      </c>
      <c r="C199" s="136" t="e">
        <f t="shared" si="19"/>
        <v>#VALUE!</v>
      </c>
      <c r="D199" s="136" t="e">
        <f t="shared" si="15"/>
        <v>#VALUE!</v>
      </c>
      <c r="E199" s="136" t="e">
        <f t="shared" si="16"/>
        <v>#VALUE!</v>
      </c>
      <c r="F199" s="136" t="e">
        <f t="shared" si="17"/>
        <v>#VALUE!</v>
      </c>
    </row>
    <row r="200" spans="2:6" x14ac:dyDescent="0.25">
      <c r="B200" s="135">
        <f t="shared" si="18"/>
        <v>198</v>
      </c>
      <c r="C200" s="136" t="e">
        <f t="shared" si="19"/>
        <v>#VALUE!</v>
      </c>
      <c r="D200" s="136" t="e">
        <f t="shared" si="15"/>
        <v>#VALUE!</v>
      </c>
      <c r="E200" s="136" t="e">
        <f t="shared" si="16"/>
        <v>#VALUE!</v>
      </c>
      <c r="F200" s="136" t="e">
        <f t="shared" si="17"/>
        <v>#VALUE!</v>
      </c>
    </row>
    <row r="201" spans="2:6" x14ac:dyDescent="0.25">
      <c r="B201" s="135">
        <f t="shared" si="18"/>
        <v>199</v>
      </c>
      <c r="C201" s="136" t="e">
        <f t="shared" si="19"/>
        <v>#VALUE!</v>
      </c>
      <c r="D201" s="136" t="e">
        <f t="shared" si="15"/>
        <v>#VALUE!</v>
      </c>
      <c r="E201" s="136" t="e">
        <f t="shared" si="16"/>
        <v>#VALUE!</v>
      </c>
      <c r="F201" s="136" t="e">
        <f t="shared" si="17"/>
        <v>#VALUE!</v>
      </c>
    </row>
    <row r="202" spans="2:6" x14ac:dyDescent="0.25">
      <c r="B202" s="135">
        <f t="shared" si="18"/>
        <v>200</v>
      </c>
      <c r="C202" s="136" t="e">
        <f t="shared" si="19"/>
        <v>#VALUE!</v>
      </c>
      <c r="D202" s="136" t="e">
        <f t="shared" si="15"/>
        <v>#VALUE!</v>
      </c>
      <c r="E202" s="136" t="e">
        <f t="shared" si="16"/>
        <v>#VALUE!</v>
      </c>
      <c r="F202" s="136" t="e">
        <f t="shared" si="17"/>
        <v>#VALUE!</v>
      </c>
    </row>
    <row r="203" spans="2:6" x14ac:dyDescent="0.25">
      <c r="B203" s="135">
        <f t="shared" si="18"/>
        <v>201</v>
      </c>
      <c r="C203" s="136" t="e">
        <f t="shared" si="19"/>
        <v>#VALUE!</v>
      </c>
      <c r="D203" s="136" t="e">
        <f t="shared" si="15"/>
        <v>#VALUE!</v>
      </c>
      <c r="E203" s="136" t="e">
        <f t="shared" si="16"/>
        <v>#VALUE!</v>
      </c>
      <c r="F203" s="136" t="e">
        <f t="shared" si="17"/>
        <v>#VALUE!</v>
      </c>
    </row>
    <row r="204" spans="2:6" x14ac:dyDescent="0.25">
      <c r="B204" s="135">
        <f t="shared" si="18"/>
        <v>202</v>
      </c>
      <c r="C204" s="136" t="e">
        <f t="shared" si="19"/>
        <v>#VALUE!</v>
      </c>
      <c r="D204" s="136" t="e">
        <f t="shared" si="15"/>
        <v>#VALUE!</v>
      </c>
      <c r="E204" s="136" t="e">
        <f t="shared" si="16"/>
        <v>#VALUE!</v>
      </c>
      <c r="F204" s="136" t="e">
        <f t="shared" si="17"/>
        <v>#VALUE!</v>
      </c>
    </row>
    <row r="205" spans="2:6" x14ac:dyDescent="0.25">
      <c r="B205" s="135">
        <f t="shared" si="18"/>
        <v>203</v>
      </c>
      <c r="C205" s="136" t="e">
        <f t="shared" si="19"/>
        <v>#VALUE!</v>
      </c>
      <c r="D205" s="136" t="e">
        <f t="shared" si="15"/>
        <v>#VALUE!</v>
      </c>
      <c r="E205" s="136" t="e">
        <f t="shared" si="16"/>
        <v>#VALUE!</v>
      </c>
      <c r="F205" s="136" t="e">
        <f t="shared" si="17"/>
        <v>#VALUE!</v>
      </c>
    </row>
    <row r="206" spans="2:6" x14ac:dyDescent="0.25">
      <c r="B206" s="135">
        <f t="shared" si="18"/>
        <v>204</v>
      </c>
      <c r="C206" s="136" t="e">
        <f t="shared" si="19"/>
        <v>#VALUE!</v>
      </c>
      <c r="D206" s="136" t="e">
        <f t="shared" si="15"/>
        <v>#VALUE!</v>
      </c>
      <c r="E206" s="136" t="e">
        <f t="shared" si="16"/>
        <v>#VALUE!</v>
      </c>
      <c r="F206" s="136" t="e">
        <f t="shared" si="17"/>
        <v>#VALUE!</v>
      </c>
    </row>
    <row r="207" spans="2:6" x14ac:dyDescent="0.25">
      <c r="B207" s="135">
        <f t="shared" si="18"/>
        <v>205</v>
      </c>
      <c r="C207" s="136" t="e">
        <f t="shared" si="19"/>
        <v>#VALUE!</v>
      </c>
      <c r="D207" s="136" t="e">
        <f t="shared" si="15"/>
        <v>#VALUE!</v>
      </c>
      <c r="E207" s="136" t="e">
        <f t="shared" si="16"/>
        <v>#VALUE!</v>
      </c>
      <c r="F207" s="136" t="e">
        <f t="shared" si="17"/>
        <v>#VALUE!</v>
      </c>
    </row>
    <row r="208" spans="2:6" x14ac:dyDescent="0.25">
      <c r="B208" s="135">
        <f t="shared" si="18"/>
        <v>206</v>
      </c>
      <c r="C208" s="136" t="e">
        <f t="shared" si="19"/>
        <v>#VALUE!</v>
      </c>
      <c r="D208" s="136" t="e">
        <f t="shared" si="15"/>
        <v>#VALUE!</v>
      </c>
      <c r="E208" s="136" t="e">
        <f t="shared" si="16"/>
        <v>#VALUE!</v>
      </c>
      <c r="F208" s="136" t="e">
        <f t="shared" si="17"/>
        <v>#VALUE!</v>
      </c>
    </row>
    <row r="209" spans="2:6" x14ac:dyDescent="0.25">
      <c r="B209" s="135">
        <f t="shared" si="18"/>
        <v>207</v>
      </c>
      <c r="C209" s="136" t="e">
        <f t="shared" si="19"/>
        <v>#VALUE!</v>
      </c>
      <c r="D209" s="136" t="e">
        <f t="shared" si="15"/>
        <v>#VALUE!</v>
      </c>
      <c r="E209" s="136" t="e">
        <f t="shared" si="16"/>
        <v>#VALUE!</v>
      </c>
      <c r="F209" s="136" t="e">
        <f t="shared" si="17"/>
        <v>#VALUE!</v>
      </c>
    </row>
    <row r="210" spans="2:6" x14ac:dyDescent="0.25">
      <c r="B210" s="135">
        <f t="shared" si="18"/>
        <v>208</v>
      </c>
      <c r="C210" s="136" t="e">
        <f t="shared" si="19"/>
        <v>#VALUE!</v>
      </c>
      <c r="D210" s="136" t="e">
        <f t="shared" si="15"/>
        <v>#VALUE!</v>
      </c>
      <c r="E210" s="136" t="e">
        <f t="shared" si="16"/>
        <v>#VALUE!</v>
      </c>
      <c r="F210" s="136" t="e">
        <f t="shared" si="17"/>
        <v>#VALUE!</v>
      </c>
    </row>
    <row r="211" spans="2:6" x14ac:dyDescent="0.25">
      <c r="B211" s="135">
        <f t="shared" si="18"/>
        <v>209</v>
      </c>
      <c r="C211" s="136" t="e">
        <f t="shared" si="19"/>
        <v>#VALUE!</v>
      </c>
      <c r="D211" s="136" t="e">
        <f t="shared" si="15"/>
        <v>#VALUE!</v>
      </c>
      <c r="E211" s="136" t="e">
        <f t="shared" si="16"/>
        <v>#VALUE!</v>
      </c>
      <c r="F211" s="136" t="e">
        <f t="shared" si="17"/>
        <v>#VALUE!</v>
      </c>
    </row>
    <row r="212" spans="2:6" x14ac:dyDescent="0.25">
      <c r="B212" s="135">
        <f t="shared" si="18"/>
        <v>210</v>
      </c>
      <c r="C212" s="136" t="e">
        <f t="shared" si="19"/>
        <v>#VALUE!</v>
      </c>
      <c r="D212" s="136" t="e">
        <f t="shared" si="15"/>
        <v>#VALUE!</v>
      </c>
      <c r="E212" s="136" t="e">
        <f t="shared" si="16"/>
        <v>#VALUE!</v>
      </c>
      <c r="F212" s="136" t="e">
        <f t="shared" si="17"/>
        <v>#VALUE!</v>
      </c>
    </row>
    <row r="213" spans="2:6" x14ac:dyDescent="0.25">
      <c r="B213" s="135">
        <f t="shared" si="18"/>
        <v>211</v>
      </c>
      <c r="C213" s="136" t="e">
        <f t="shared" si="19"/>
        <v>#VALUE!</v>
      </c>
      <c r="D213" s="136" t="e">
        <f t="shared" si="15"/>
        <v>#VALUE!</v>
      </c>
      <c r="E213" s="136" t="e">
        <f t="shared" si="16"/>
        <v>#VALUE!</v>
      </c>
      <c r="F213" s="136" t="e">
        <f t="shared" si="17"/>
        <v>#VALUE!</v>
      </c>
    </row>
    <row r="214" spans="2:6" x14ac:dyDescent="0.25">
      <c r="B214" s="135">
        <f t="shared" si="18"/>
        <v>212</v>
      </c>
      <c r="C214" s="136" t="e">
        <f t="shared" si="19"/>
        <v>#VALUE!</v>
      </c>
      <c r="D214" s="136" t="e">
        <f t="shared" si="15"/>
        <v>#VALUE!</v>
      </c>
      <c r="E214" s="136" t="e">
        <f t="shared" si="16"/>
        <v>#VALUE!</v>
      </c>
      <c r="F214" s="136" t="e">
        <f t="shared" si="17"/>
        <v>#VALUE!</v>
      </c>
    </row>
    <row r="215" spans="2:6" x14ac:dyDescent="0.25">
      <c r="B215" s="135">
        <f t="shared" si="18"/>
        <v>213</v>
      </c>
      <c r="C215" s="136" t="e">
        <f t="shared" si="19"/>
        <v>#VALUE!</v>
      </c>
      <c r="D215" s="136" t="e">
        <f t="shared" si="15"/>
        <v>#VALUE!</v>
      </c>
      <c r="E215" s="136" t="e">
        <f t="shared" si="16"/>
        <v>#VALUE!</v>
      </c>
      <c r="F215" s="136" t="e">
        <f t="shared" si="17"/>
        <v>#VALUE!</v>
      </c>
    </row>
    <row r="216" spans="2:6" x14ac:dyDescent="0.25">
      <c r="B216" s="135">
        <f t="shared" si="18"/>
        <v>214</v>
      </c>
      <c r="C216" s="136" t="e">
        <f t="shared" si="19"/>
        <v>#VALUE!</v>
      </c>
      <c r="D216" s="136" t="e">
        <f t="shared" si="15"/>
        <v>#VALUE!</v>
      </c>
      <c r="E216" s="136" t="e">
        <f t="shared" si="16"/>
        <v>#VALUE!</v>
      </c>
      <c r="F216" s="136" t="e">
        <f t="shared" si="17"/>
        <v>#VALUE!</v>
      </c>
    </row>
    <row r="217" spans="2:6" x14ac:dyDescent="0.25">
      <c r="B217" s="135">
        <f t="shared" si="18"/>
        <v>215</v>
      </c>
      <c r="C217" s="136" t="e">
        <f t="shared" si="19"/>
        <v>#VALUE!</v>
      </c>
      <c r="D217" s="136" t="e">
        <f t="shared" si="15"/>
        <v>#VALUE!</v>
      </c>
      <c r="E217" s="136" t="e">
        <f t="shared" si="16"/>
        <v>#VALUE!</v>
      </c>
      <c r="F217" s="136" t="e">
        <f t="shared" si="17"/>
        <v>#VALUE!</v>
      </c>
    </row>
    <row r="218" spans="2:6" x14ac:dyDescent="0.25">
      <c r="B218" s="135">
        <f t="shared" si="18"/>
        <v>216</v>
      </c>
      <c r="C218" s="136" t="e">
        <f t="shared" si="19"/>
        <v>#VALUE!</v>
      </c>
      <c r="D218" s="136" t="e">
        <f t="shared" si="15"/>
        <v>#VALUE!</v>
      </c>
      <c r="E218" s="136" t="e">
        <f t="shared" si="16"/>
        <v>#VALUE!</v>
      </c>
      <c r="F218" s="136" t="e">
        <f t="shared" si="17"/>
        <v>#VALUE!</v>
      </c>
    </row>
    <row r="219" spans="2:6" x14ac:dyDescent="0.25">
      <c r="B219" s="135">
        <f t="shared" si="18"/>
        <v>217</v>
      </c>
      <c r="C219" s="136" t="e">
        <f t="shared" si="19"/>
        <v>#VALUE!</v>
      </c>
      <c r="D219" s="136" t="e">
        <f t="shared" si="15"/>
        <v>#VALUE!</v>
      </c>
      <c r="E219" s="136" t="e">
        <f t="shared" si="16"/>
        <v>#VALUE!</v>
      </c>
      <c r="F219" s="136" t="e">
        <f t="shared" si="17"/>
        <v>#VALUE!</v>
      </c>
    </row>
    <row r="220" spans="2:6" x14ac:dyDescent="0.25">
      <c r="B220" s="135">
        <f t="shared" si="18"/>
        <v>218</v>
      </c>
      <c r="C220" s="136" t="e">
        <f t="shared" si="19"/>
        <v>#VALUE!</v>
      </c>
      <c r="D220" s="136" t="e">
        <f t="shared" si="15"/>
        <v>#VALUE!</v>
      </c>
      <c r="E220" s="136" t="e">
        <f t="shared" si="16"/>
        <v>#VALUE!</v>
      </c>
      <c r="F220" s="136" t="e">
        <f t="shared" si="17"/>
        <v>#VALUE!</v>
      </c>
    </row>
    <row r="221" spans="2:6" x14ac:dyDescent="0.25">
      <c r="B221" s="135">
        <f t="shared" si="18"/>
        <v>219</v>
      </c>
      <c r="C221" s="136" t="e">
        <f t="shared" si="19"/>
        <v>#VALUE!</v>
      </c>
      <c r="D221" s="136" t="e">
        <f t="shared" si="15"/>
        <v>#VALUE!</v>
      </c>
      <c r="E221" s="136" t="e">
        <f t="shared" si="16"/>
        <v>#VALUE!</v>
      </c>
      <c r="F221" s="136" t="e">
        <f t="shared" si="17"/>
        <v>#VALUE!</v>
      </c>
    </row>
    <row r="222" spans="2:6" x14ac:dyDescent="0.25">
      <c r="B222" s="135">
        <f t="shared" si="18"/>
        <v>220</v>
      </c>
      <c r="C222" s="136" t="e">
        <f t="shared" si="19"/>
        <v>#VALUE!</v>
      </c>
      <c r="D222" s="136" t="e">
        <f t="shared" si="15"/>
        <v>#VALUE!</v>
      </c>
      <c r="E222" s="136" t="e">
        <f t="shared" si="16"/>
        <v>#VALUE!</v>
      </c>
      <c r="F222" s="136" t="e">
        <f t="shared" si="17"/>
        <v>#VALUE!</v>
      </c>
    </row>
    <row r="223" spans="2:6" x14ac:dyDescent="0.25">
      <c r="B223" s="135">
        <f t="shared" si="18"/>
        <v>221</v>
      </c>
      <c r="C223" s="136" t="e">
        <f t="shared" si="19"/>
        <v>#VALUE!</v>
      </c>
      <c r="D223" s="136" t="e">
        <f t="shared" si="15"/>
        <v>#VALUE!</v>
      </c>
      <c r="E223" s="136" t="e">
        <f t="shared" si="16"/>
        <v>#VALUE!</v>
      </c>
      <c r="F223" s="136" t="e">
        <f t="shared" si="17"/>
        <v>#VALUE!</v>
      </c>
    </row>
    <row r="224" spans="2:6" x14ac:dyDescent="0.25">
      <c r="B224" s="135">
        <f t="shared" si="18"/>
        <v>222</v>
      </c>
      <c r="C224" s="136" t="e">
        <f t="shared" si="19"/>
        <v>#VALUE!</v>
      </c>
      <c r="D224" s="136" t="e">
        <f t="shared" si="15"/>
        <v>#VALUE!</v>
      </c>
      <c r="E224" s="136" t="e">
        <f t="shared" si="16"/>
        <v>#VALUE!</v>
      </c>
      <c r="F224" s="136" t="e">
        <f t="shared" si="17"/>
        <v>#VALUE!</v>
      </c>
    </row>
    <row r="225" spans="2:6" x14ac:dyDescent="0.25">
      <c r="B225" s="135">
        <f t="shared" si="18"/>
        <v>223</v>
      </c>
      <c r="C225" s="136" t="e">
        <f t="shared" si="19"/>
        <v>#VALUE!</v>
      </c>
      <c r="D225" s="136" t="e">
        <f t="shared" si="15"/>
        <v>#VALUE!</v>
      </c>
      <c r="E225" s="136" t="e">
        <f t="shared" si="16"/>
        <v>#VALUE!</v>
      </c>
      <c r="F225" s="136" t="e">
        <f t="shared" si="17"/>
        <v>#VALUE!</v>
      </c>
    </row>
    <row r="226" spans="2:6" x14ac:dyDescent="0.25">
      <c r="B226" s="135">
        <f t="shared" si="18"/>
        <v>224</v>
      </c>
      <c r="C226" s="136" t="e">
        <f t="shared" si="19"/>
        <v>#VALUE!</v>
      </c>
      <c r="D226" s="136" t="e">
        <f t="shared" si="15"/>
        <v>#VALUE!</v>
      </c>
      <c r="E226" s="136" t="e">
        <f t="shared" si="16"/>
        <v>#VALUE!</v>
      </c>
      <c r="F226" s="136" t="e">
        <f t="shared" si="17"/>
        <v>#VALUE!</v>
      </c>
    </row>
    <row r="227" spans="2:6" x14ac:dyDescent="0.25">
      <c r="B227" s="135">
        <f t="shared" si="18"/>
        <v>225</v>
      </c>
      <c r="C227" s="136" t="e">
        <f t="shared" si="19"/>
        <v>#VALUE!</v>
      </c>
      <c r="D227" s="136" t="e">
        <f t="shared" si="15"/>
        <v>#VALUE!</v>
      </c>
      <c r="E227" s="136" t="e">
        <f t="shared" si="16"/>
        <v>#VALUE!</v>
      </c>
      <c r="F227" s="136" t="e">
        <f t="shared" si="17"/>
        <v>#VALUE!</v>
      </c>
    </row>
    <row r="228" spans="2:6" x14ac:dyDescent="0.25">
      <c r="B228" s="135">
        <f t="shared" si="18"/>
        <v>226</v>
      </c>
      <c r="C228" s="136" t="e">
        <f t="shared" si="19"/>
        <v>#VALUE!</v>
      </c>
      <c r="D228" s="136" t="e">
        <f t="shared" si="15"/>
        <v>#VALUE!</v>
      </c>
      <c r="E228" s="136" t="e">
        <f t="shared" si="16"/>
        <v>#VALUE!</v>
      </c>
      <c r="F228" s="136" t="e">
        <f t="shared" si="17"/>
        <v>#VALUE!</v>
      </c>
    </row>
    <row r="229" spans="2:6" x14ac:dyDescent="0.25">
      <c r="B229" s="135">
        <f t="shared" si="18"/>
        <v>227</v>
      </c>
      <c r="C229" s="136" t="e">
        <f t="shared" si="19"/>
        <v>#VALUE!</v>
      </c>
      <c r="D229" s="136" t="e">
        <f t="shared" si="15"/>
        <v>#VALUE!</v>
      </c>
      <c r="E229" s="136" t="e">
        <f t="shared" si="16"/>
        <v>#VALUE!</v>
      </c>
      <c r="F229" s="136" t="e">
        <f t="shared" si="17"/>
        <v>#VALUE!</v>
      </c>
    </row>
    <row r="230" spans="2:6" x14ac:dyDescent="0.25">
      <c r="B230" s="135">
        <f t="shared" si="18"/>
        <v>228</v>
      </c>
      <c r="C230" s="136" t="e">
        <f t="shared" si="19"/>
        <v>#VALUE!</v>
      </c>
      <c r="D230" s="136" t="e">
        <f t="shared" si="15"/>
        <v>#VALUE!</v>
      </c>
      <c r="E230" s="136" t="e">
        <f t="shared" si="16"/>
        <v>#VALUE!</v>
      </c>
      <c r="F230" s="136" t="e">
        <f t="shared" si="17"/>
        <v>#VALUE!</v>
      </c>
    </row>
    <row r="231" spans="2:6" x14ac:dyDescent="0.25">
      <c r="B231" s="135">
        <f t="shared" si="18"/>
        <v>229</v>
      </c>
      <c r="C231" s="136" t="e">
        <f t="shared" si="19"/>
        <v>#VALUE!</v>
      </c>
      <c r="D231" s="136" t="e">
        <f t="shared" si="15"/>
        <v>#VALUE!</v>
      </c>
      <c r="E231" s="136" t="e">
        <f t="shared" si="16"/>
        <v>#VALUE!</v>
      </c>
      <c r="F231" s="136" t="e">
        <f t="shared" si="17"/>
        <v>#VALUE!</v>
      </c>
    </row>
    <row r="232" spans="2:6" x14ac:dyDescent="0.25">
      <c r="B232" s="135">
        <f t="shared" si="18"/>
        <v>230</v>
      </c>
      <c r="C232" s="136" t="e">
        <f t="shared" si="19"/>
        <v>#VALUE!</v>
      </c>
      <c r="D232" s="136" t="e">
        <f t="shared" si="15"/>
        <v>#VALUE!</v>
      </c>
      <c r="E232" s="136" t="e">
        <f t="shared" si="16"/>
        <v>#VALUE!</v>
      </c>
      <c r="F232" s="136" t="e">
        <f t="shared" si="17"/>
        <v>#VALUE!</v>
      </c>
    </row>
    <row r="233" spans="2:6" x14ac:dyDescent="0.25">
      <c r="B233" s="135">
        <f t="shared" si="18"/>
        <v>231</v>
      </c>
      <c r="C233" s="136" t="e">
        <f t="shared" si="19"/>
        <v>#VALUE!</v>
      </c>
      <c r="D233" s="136" t="e">
        <f t="shared" si="15"/>
        <v>#VALUE!</v>
      </c>
      <c r="E233" s="136" t="e">
        <f t="shared" si="16"/>
        <v>#VALUE!</v>
      </c>
      <c r="F233" s="136" t="e">
        <f t="shared" si="17"/>
        <v>#VALUE!</v>
      </c>
    </row>
    <row r="234" spans="2:6" x14ac:dyDescent="0.25">
      <c r="B234" s="135">
        <f t="shared" si="18"/>
        <v>232</v>
      </c>
      <c r="C234" s="136" t="e">
        <f t="shared" si="19"/>
        <v>#VALUE!</v>
      </c>
      <c r="D234" s="136" t="e">
        <f t="shared" si="15"/>
        <v>#VALUE!</v>
      </c>
      <c r="E234" s="136" t="e">
        <f t="shared" si="16"/>
        <v>#VALUE!</v>
      </c>
      <c r="F234" s="136" t="e">
        <f t="shared" si="17"/>
        <v>#VALUE!</v>
      </c>
    </row>
    <row r="235" spans="2:6" x14ac:dyDescent="0.25">
      <c r="B235" s="135">
        <f t="shared" si="18"/>
        <v>233</v>
      </c>
      <c r="C235" s="136" t="e">
        <f t="shared" si="19"/>
        <v>#VALUE!</v>
      </c>
      <c r="D235" s="136" t="e">
        <f t="shared" si="15"/>
        <v>#VALUE!</v>
      </c>
      <c r="E235" s="136" t="e">
        <f t="shared" si="16"/>
        <v>#VALUE!</v>
      </c>
      <c r="F235" s="136" t="e">
        <f t="shared" si="17"/>
        <v>#VALUE!</v>
      </c>
    </row>
    <row r="236" spans="2:6" x14ac:dyDescent="0.25">
      <c r="B236" s="135">
        <f t="shared" si="18"/>
        <v>234</v>
      </c>
      <c r="C236" s="136" t="e">
        <f t="shared" si="19"/>
        <v>#VALUE!</v>
      </c>
      <c r="D236" s="136" t="e">
        <f t="shared" si="15"/>
        <v>#VALUE!</v>
      </c>
      <c r="E236" s="136" t="e">
        <f t="shared" si="16"/>
        <v>#VALUE!</v>
      </c>
      <c r="F236" s="136" t="e">
        <f t="shared" si="17"/>
        <v>#VALUE!</v>
      </c>
    </row>
    <row r="237" spans="2:6" x14ac:dyDescent="0.25">
      <c r="B237" s="135">
        <f t="shared" si="18"/>
        <v>235</v>
      </c>
      <c r="C237" s="136" t="e">
        <f t="shared" si="19"/>
        <v>#VALUE!</v>
      </c>
      <c r="D237" s="136" t="e">
        <f t="shared" si="15"/>
        <v>#VALUE!</v>
      </c>
      <c r="E237" s="136" t="e">
        <f t="shared" si="16"/>
        <v>#VALUE!</v>
      </c>
      <c r="F237" s="136" t="e">
        <f t="shared" si="17"/>
        <v>#VALUE!</v>
      </c>
    </row>
    <row r="238" spans="2:6" x14ac:dyDescent="0.25">
      <c r="B238" s="135">
        <f t="shared" si="18"/>
        <v>236</v>
      </c>
      <c r="C238" s="136" t="e">
        <f t="shared" si="19"/>
        <v>#VALUE!</v>
      </c>
      <c r="D238" s="136" t="e">
        <f t="shared" si="15"/>
        <v>#VALUE!</v>
      </c>
      <c r="E238" s="136" t="e">
        <f t="shared" si="16"/>
        <v>#VALUE!</v>
      </c>
      <c r="F238" s="136" t="e">
        <f t="shared" si="17"/>
        <v>#VALUE!</v>
      </c>
    </row>
    <row r="239" spans="2:6" x14ac:dyDescent="0.25">
      <c r="B239" s="135">
        <f t="shared" si="18"/>
        <v>237</v>
      </c>
      <c r="C239" s="136" t="e">
        <f t="shared" si="19"/>
        <v>#VALUE!</v>
      </c>
      <c r="D239" s="136" t="e">
        <f t="shared" si="15"/>
        <v>#VALUE!</v>
      </c>
      <c r="E239" s="136" t="e">
        <f t="shared" si="16"/>
        <v>#VALUE!</v>
      </c>
      <c r="F239" s="136" t="e">
        <f t="shared" si="17"/>
        <v>#VALUE!</v>
      </c>
    </row>
    <row r="240" spans="2:6" x14ac:dyDescent="0.25">
      <c r="B240" s="135">
        <f t="shared" si="18"/>
        <v>238</v>
      </c>
      <c r="C240" s="136" t="e">
        <f t="shared" si="19"/>
        <v>#VALUE!</v>
      </c>
      <c r="D240" s="136" t="e">
        <f t="shared" si="15"/>
        <v>#VALUE!</v>
      </c>
      <c r="E240" s="136" t="e">
        <f t="shared" si="16"/>
        <v>#VALUE!</v>
      </c>
      <c r="F240" s="136" t="e">
        <f t="shared" si="17"/>
        <v>#VALUE!</v>
      </c>
    </row>
    <row r="241" spans="2:6" x14ac:dyDescent="0.25">
      <c r="B241" s="135">
        <f t="shared" si="18"/>
        <v>239</v>
      </c>
      <c r="C241" s="136" t="e">
        <f t="shared" si="19"/>
        <v>#VALUE!</v>
      </c>
      <c r="D241" s="136" t="e">
        <f t="shared" si="15"/>
        <v>#VALUE!</v>
      </c>
      <c r="E241" s="136" t="e">
        <f t="shared" si="16"/>
        <v>#VALUE!</v>
      </c>
      <c r="F241" s="136" t="e">
        <f t="shared" si="17"/>
        <v>#VALUE!</v>
      </c>
    </row>
    <row r="242" spans="2:6" x14ac:dyDescent="0.25">
      <c r="B242" s="135">
        <f t="shared" si="18"/>
        <v>240</v>
      </c>
      <c r="C242" s="136" t="e">
        <f t="shared" si="19"/>
        <v>#VALUE!</v>
      </c>
      <c r="D242" s="136" t="e">
        <f t="shared" si="15"/>
        <v>#VALUE!</v>
      </c>
      <c r="E242" s="136" t="e">
        <f t="shared" si="16"/>
        <v>#VALUE!</v>
      </c>
      <c r="F242" s="136" t="e">
        <f t="shared" si="17"/>
        <v>#VALUE!</v>
      </c>
    </row>
    <row r="243" spans="2:6" x14ac:dyDescent="0.25">
      <c r="B243" s="135">
        <f t="shared" si="18"/>
        <v>241</v>
      </c>
      <c r="C243" s="136" t="e">
        <f t="shared" si="19"/>
        <v>#VALUE!</v>
      </c>
      <c r="D243" s="136" t="e">
        <f t="shared" si="15"/>
        <v>#VALUE!</v>
      </c>
      <c r="E243" s="136" t="e">
        <f t="shared" si="16"/>
        <v>#VALUE!</v>
      </c>
      <c r="F243" s="136" t="e">
        <f t="shared" si="17"/>
        <v>#VALUE!</v>
      </c>
    </row>
    <row r="244" spans="2:6" x14ac:dyDescent="0.25">
      <c r="B244" s="135">
        <f t="shared" si="18"/>
        <v>242</v>
      </c>
      <c r="C244" s="136" t="e">
        <f t="shared" si="19"/>
        <v>#VALUE!</v>
      </c>
      <c r="D244" s="136" t="e">
        <f t="shared" si="15"/>
        <v>#VALUE!</v>
      </c>
      <c r="E244" s="136" t="e">
        <f t="shared" si="16"/>
        <v>#VALUE!</v>
      </c>
      <c r="F244" s="136" t="e">
        <f t="shared" si="17"/>
        <v>#VALUE!</v>
      </c>
    </row>
    <row r="245" spans="2:6" x14ac:dyDescent="0.25">
      <c r="B245" s="135">
        <f t="shared" si="18"/>
        <v>243</v>
      </c>
      <c r="C245" s="136" t="e">
        <f t="shared" si="19"/>
        <v>#VALUE!</v>
      </c>
      <c r="D245" s="136" t="e">
        <f t="shared" si="15"/>
        <v>#VALUE!</v>
      </c>
      <c r="E245" s="136" t="e">
        <f t="shared" si="16"/>
        <v>#VALUE!</v>
      </c>
      <c r="F245" s="136" t="e">
        <f t="shared" si="17"/>
        <v>#VALUE!</v>
      </c>
    </row>
    <row r="246" spans="2:6" x14ac:dyDescent="0.25">
      <c r="B246" s="135">
        <f t="shared" si="18"/>
        <v>244</v>
      </c>
      <c r="C246" s="136" t="e">
        <f t="shared" si="19"/>
        <v>#VALUE!</v>
      </c>
      <c r="D246" s="136" t="e">
        <f t="shared" si="15"/>
        <v>#VALUE!</v>
      </c>
      <c r="E246" s="136" t="e">
        <f t="shared" si="16"/>
        <v>#VALUE!</v>
      </c>
      <c r="F246" s="136" t="e">
        <f t="shared" si="17"/>
        <v>#VALUE!</v>
      </c>
    </row>
    <row r="247" spans="2:6" x14ac:dyDescent="0.25">
      <c r="B247" s="135">
        <f t="shared" si="18"/>
        <v>245</v>
      </c>
      <c r="C247" s="136" t="e">
        <f t="shared" si="19"/>
        <v>#VALUE!</v>
      </c>
      <c r="D247" s="136" t="e">
        <f t="shared" si="15"/>
        <v>#VALUE!</v>
      </c>
      <c r="E247" s="136" t="e">
        <f t="shared" si="16"/>
        <v>#VALUE!</v>
      </c>
      <c r="F247" s="136" t="e">
        <f t="shared" si="17"/>
        <v>#VALUE!</v>
      </c>
    </row>
    <row r="248" spans="2:6" x14ac:dyDescent="0.25">
      <c r="B248" s="135">
        <f t="shared" si="18"/>
        <v>246</v>
      </c>
      <c r="C248" s="136" t="e">
        <f t="shared" si="19"/>
        <v>#VALUE!</v>
      </c>
      <c r="D248" s="136" t="e">
        <f t="shared" si="15"/>
        <v>#VALUE!</v>
      </c>
      <c r="E248" s="136" t="e">
        <f t="shared" si="16"/>
        <v>#VALUE!</v>
      </c>
      <c r="F248" s="136" t="e">
        <f t="shared" si="17"/>
        <v>#VALUE!</v>
      </c>
    </row>
    <row r="249" spans="2:6" x14ac:dyDescent="0.25">
      <c r="B249" s="135">
        <f t="shared" si="18"/>
        <v>247</v>
      </c>
      <c r="C249" s="136" t="e">
        <f t="shared" si="19"/>
        <v>#VALUE!</v>
      </c>
      <c r="D249" s="136" t="e">
        <f t="shared" si="15"/>
        <v>#VALUE!</v>
      </c>
      <c r="E249" s="136" t="e">
        <f t="shared" si="16"/>
        <v>#VALUE!</v>
      </c>
      <c r="F249" s="136" t="e">
        <f t="shared" si="17"/>
        <v>#VALUE!</v>
      </c>
    </row>
    <row r="250" spans="2:6" x14ac:dyDescent="0.25">
      <c r="B250" s="135">
        <f t="shared" si="18"/>
        <v>248</v>
      </c>
      <c r="C250" s="136" t="e">
        <f t="shared" si="19"/>
        <v>#VALUE!</v>
      </c>
      <c r="D250" s="136" t="e">
        <f t="shared" si="15"/>
        <v>#VALUE!</v>
      </c>
      <c r="E250" s="136" t="e">
        <f t="shared" si="16"/>
        <v>#VALUE!</v>
      </c>
      <c r="F250" s="136" t="e">
        <f t="shared" si="17"/>
        <v>#VALUE!</v>
      </c>
    </row>
    <row r="251" spans="2:6" x14ac:dyDescent="0.25">
      <c r="B251" s="135">
        <f t="shared" si="18"/>
        <v>249</v>
      </c>
      <c r="C251" s="136" t="e">
        <f t="shared" si="19"/>
        <v>#VALUE!</v>
      </c>
      <c r="D251" s="136" t="e">
        <f t="shared" si="15"/>
        <v>#VALUE!</v>
      </c>
      <c r="E251" s="136" t="e">
        <f t="shared" si="16"/>
        <v>#VALUE!</v>
      </c>
      <c r="F251" s="136" t="e">
        <f t="shared" si="17"/>
        <v>#VALUE!</v>
      </c>
    </row>
    <row r="252" spans="2:6" x14ac:dyDescent="0.25">
      <c r="B252" s="135">
        <f t="shared" si="18"/>
        <v>250</v>
      </c>
      <c r="C252" s="136" t="e">
        <f t="shared" si="19"/>
        <v>#VALUE!</v>
      </c>
      <c r="D252" s="136" t="e">
        <f t="shared" si="15"/>
        <v>#VALUE!</v>
      </c>
      <c r="E252" s="136" t="e">
        <f t="shared" si="16"/>
        <v>#VALUE!</v>
      </c>
      <c r="F252" s="136" t="e">
        <f t="shared" si="17"/>
        <v>#VALUE!</v>
      </c>
    </row>
    <row r="253" spans="2:6" x14ac:dyDescent="0.25">
      <c r="B253" s="135">
        <f t="shared" si="18"/>
        <v>251</v>
      </c>
      <c r="C253" s="136" t="e">
        <f t="shared" si="19"/>
        <v>#VALUE!</v>
      </c>
      <c r="D253" s="136" t="e">
        <f t="shared" si="15"/>
        <v>#VALUE!</v>
      </c>
      <c r="E253" s="136" t="e">
        <f t="shared" si="16"/>
        <v>#VALUE!</v>
      </c>
      <c r="F253" s="136" t="e">
        <f t="shared" si="17"/>
        <v>#VALUE!</v>
      </c>
    </row>
    <row r="254" spans="2:6" x14ac:dyDescent="0.25">
      <c r="B254" s="135">
        <f t="shared" si="18"/>
        <v>252</v>
      </c>
      <c r="C254" s="136" t="e">
        <f t="shared" si="19"/>
        <v>#VALUE!</v>
      </c>
      <c r="D254" s="136" t="e">
        <f t="shared" si="15"/>
        <v>#VALUE!</v>
      </c>
      <c r="E254" s="136" t="e">
        <f t="shared" si="16"/>
        <v>#VALUE!</v>
      </c>
      <c r="F254" s="136" t="e">
        <f t="shared" si="17"/>
        <v>#VALUE!</v>
      </c>
    </row>
    <row r="255" spans="2:6" x14ac:dyDescent="0.25">
      <c r="B255" s="135">
        <f t="shared" si="18"/>
        <v>253</v>
      </c>
      <c r="C255" s="136" t="e">
        <f t="shared" si="19"/>
        <v>#VALUE!</v>
      </c>
      <c r="D255" s="136" t="e">
        <f t="shared" si="15"/>
        <v>#VALUE!</v>
      </c>
      <c r="E255" s="136" t="e">
        <f t="shared" si="16"/>
        <v>#VALUE!</v>
      </c>
      <c r="F255" s="136" t="e">
        <f t="shared" si="17"/>
        <v>#VALUE!</v>
      </c>
    </row>
    <row r="256" spans="2:6" x14ac:dyDescent="0.25">
      <c r="B256" s="135">
        <f t="shared" si="18"/>
        <v>254</v>
      </c>
      <c r="C256" s="136" t="e">
        <f t="shared" si="19"/>
        <v>#VALUE!</v>
      </c>
      <c r="D256" s="136" t="e">
        <f t="shared" si="15"/>
        <v>#VALUE!</v>
      </c>
      <c r="E256" s="136" t="e">
        <f t="shared" si="16"/>
        <v>#VALUE!</v>
      </c>
      <c r="F256" s="136" t="e">
        <f t="shared" si="17"/>
        <v>#VALUE!</v>
      </c>
    </row>
    <row r="257" spans="2:6" x14ac:dyDescent="0.25">
      <c r="B257" s="135">
        <f t="shared" si="18"/>
        <v>255</v>
      </c>
      <c r="C257" s="136" t="e">
        <f t="shared" si="19"/>
        <v>#VALUE!</v>
      </c>
      <c r="D257" s="136" t="e">
        <f t="shared" si="15"/>
        <v>#VALUE!</v>
      </c>
      <c r="E257" s="136" t="e">
        <f t="shared" si="16"/>
        <v>#VALUE!</v>
      </c>
      <c r="F257" s="136" t="e">
        <f t="shared" si="17"/>
        <v>#VALUE!</v>
      </c>
    </row>
    <row r="258" spans="2:6" x14ac:dyDescent="0.25">
      <c r="B258" s="135">
        <f t="shared" si="18"/>
        <v>256</v>
      </c>
      <c r="C258" s="136" t="e">
        <f t="shared" si="19"/>
        <v>#VALUE!</v>
      </c>
      <c r="D258" s="136" t="e">
        <f t="shared" si="15"/>
        <v>#VALUE!</v>
      </c>
      <c r="E258" s="136" t="e">
        <f t="shared" si="16"/>
        <v>#VALUE!</v>
      </c>
      <c r="F258" s="136" t="e">
        <f t="shared" si="17"/>
        <v>#VALUE!</v>
      </c>
    </row>
    <row r="259" spans="2:6" x14ac:dyDescent="0.25">
      <c r="B259" s="135">
        <f t="shared" si="18"/>
        <v>257</v>
      </c>
      <c r="C259" s="136" t="e">
        <f t="shared" si="19"/>
        <v>#VALUE!</v>
      </c>
      <c r="D259" s="136" t="e">
        <f t="shared" ref="D259:D322" si="20">PPMT(LoanRate/12,$B259,LoanAmortization*12,-LoanAmount)</f>
        <v>#VALUE!</v>
      </c>
      <c r="E259" s="136" t="e">
        <f t="shared" ref="E259:E322" si="21">IPMT(LoanRate/12,$B259,LoanAmortization*12,-LoanAmount)</f>
        <v>#VALUE!</v>
      </c>
      <c r="F259" s="136" t="e">
        <f t="shared" si="17"/>
        <v>#VALUE!</v>
      </c>
    </row>
    <row r="260" spans="2:6" x14ac:dyDescent="0.25">
      <c r="B260" s="135">
        <f t="shared" si="18"/>
        <v>258</v>
      </c>
      <c r="C260" s="136" t="e">
        <f t="shared" si="19"/>
        <v>#VALUE!</v>
      </c>
      <c r="D260" s="136" t="e">
        <f t="shared" si="20"/>
        <v>#VALUE!</v>
      </c>
      <c r="E260" s="136" t="e">
        <f t="shared" si="21"/>
        <v>#VALUE!</v>
      </c>
      <c r="F260" s="136" t="e">
        <f t="shared" ref="F260:F323" si="22">C260-D260</f>
        <v>#VALUE!</v>
      </c>
    </row>
    <row r="261" spans="2:6" x14ac:dyDescent="0.25">
      <c r="B261" s="135">
        <f t="shared" ref="B261:B324" si="23">B260+1</f>
        <v>259</v>
      </c>
      <c r="C261" s="136" t="e">
        <f t="shared" ref="C261:C324" si="24">F260</f>
        <v>#VALUE!</v>
      </c>
      <c r="D261" s="136" t="e">
        <f t="shared" si="20"/>
        <v>#VALUE!</v>
      </c>
      <c r="E261" s="136" t="e">
        <f t="shared" si="21"/>
        <v>#VALUE!</v>
      </c>
      <c r="F261" s="136" t="e">
        <f t="shared" si="22"/>
        <v>#VALUE!</v>
      </c>
    </row>
    <row r="262" spans="2:6" x14ac:dyDescent="0.25">
      <c r="B262" s="135">
        <f t="shared" si="23"/>
        <v>260</v>
      </c>
      <c r="C262" s="136" t="e">
        <f t="shared" si="24"/>
        <v>#VALUE!</v>
      </c>
      <c r="D262" s="136" t="e">
        <f t="shared" si="20"/>
        <v>#VALUE!</v>
      </c>
      <c r="E262" s="136" t="e">
        <f t="shared" si="21"/>
        <v>#VALUE!</v>
      </c>
      <c r="F262" s="136" t="e">
        <f t="shared" si="22"/>
        <v>#VALUE!</v>
      </c>
    </row>
    <row r="263" spans="2:6" x14ac:dyDescent="0.25">
      <c r="B263" s="135">
        <f t="shared" si="23"/>
        <v>261</v>
      </c>
      <c r="C263" s="136" t="e">
        <f t="shared" si="24"/>
        <v>#VALUE!</v>
      </c>
      <c r="D263" s="136" t="e">
        <f t="shared" si="20"/>
        <v>#VALUE!</v>
      </c>
      <c r="E263" s="136" t="e">
        <f t="shared" si="21"/>
        <v>#VALUE!</v>
      </c>
      <c r="F263" s="136" t="e">
        <f t="shared" si="22"/>
        <v>#VALUE!</v>
      </c>
    </row>
    <row r="264" spans="2:6" x14ac:dyDescent="0.25">
      <c r="B264" s="135">
        <f t="shared" si="23"/>
        <v>262</v>
      </c>
      <c r="C264" s="136" t="e">
        <f t="shared" si="24"/>
        <v>#VALUE!</v>
      </c>
      <c r="D264" s="136" t="e">
        <f t="shared" si="20"/>
        <v>#VALUE!</v>
      </c>
      <c r="E264" s="136" t="e">
        <f t="shared" si="21"/>
        <v>#VALUE!</v>
      </c>
      <c r="F264" s="136" t="e">
        <f t="shared" si="22"/>
        <v>#VALUE!</v>
      </c>
    </row>
    <row r="265" spans="2:6" x14ac:dyDescent="0.25">
      <c r="B265" s="135">
        <f t="shared" si="23"/>
        <v>263</v>
      </c>
      <c r="C265" s="136" t="e">
        <f t="shared" si="24"/>
        <v>#VALUE!</v>
      </c>
      <c r="D265" s="136" t="e">
        <f t="shared" si="20"/>
        <v>#VALUE!</v>
      </c>
      <c r="E265" s="136" t="e">
        <f t="shared" si="21"/>
        <v>#VALUE!</v>
      </c>
      <c r="F265" s="136" t="e">
        <f t="shared" si="22"/>
        <v>#VALUE!</v>
      </c>
    </row>
    <row r="266" spans="2:6" x14ac:dyDescent="0.25">
      <c r="B266" s="135">
        <f t="shared" si="23"/>
        <v>264</v>
      </c>
      <c r="C266" s="136" t="e">
        <f t="shared" si="24"/>
        <v>#VALUE!</v>
      </c>
      <c r="D266" s="136" t="e">
        <f t="shared" si="20"/>
        <v>#VALUE!</v>
      </c>
      <c r="E266" s="136" t="e">
        <f t="shared" si="21"/>
        <v>#VALUE!</v>
      </c>
      <c r="F266" s="136" t="e">
        <f t="shared" si="22"/>
        <v>#VALUE!</v>
      </c>
    </row>
    <row r="267" spans="2:6" x14ac:dyDescent="0.25">
      <c r="B267" s="135">
        <f t="shared" si="23"/>
        <v>265</v>
      </c>
      <c r="C267" s="136" t="e">
        <f t="shared" si="24"/>
        <v>#VALUE!</v>
      </c>
      <c r="D267" s="136" t="e">
        <f t="shared" si="20"/>
        <v>#VALUE!</v>
      </c>
      <c r="E267" s="136" t="e">
        <f t="shared" si="21"/>
        <v>#VALUE!</v>
      </c>
      <c r="F267" s="136" t="e">
        <f t="shared" si="22"/>
        <v>#VALUE!</v>
      </c>
    </row>
    <row r="268" spans="2:6" x14ac:dyDescent="0.25">
      <c r="B268" s="135">
        <f t="shared" si="23"/>
        <v>266</v>
      </c>
      <c r="C268" s="136" t="e">
        <f t="shared" si="24"/>
        <v>#VALUE!</v>
      </c>
      <c r="D268" s="136" t="e">
        <f t="shared" si="20"/>
        <v>#VALUE!</v>
      </c>
      <c r="E268" s="136" t="e">
        <f t="shared" si="21"/>
        <v>#VALUE!</v>
      </c>
      <c r="F268" s="136" t="e">
        <f t="shared" si="22"/>
        <v>#VALUE!</v>
      </c>
    </row>
    <row r="269" spans="2:6" x14ac:dyDescent="0.25">
      <c r="B269" s="135">
        <f t="shared" si="23"/>
        <v>267</v>
      </c>
      <c r="C269" s="136" t="e">
        <f t="shared" si="24"/>
        <v>#VALUE!</v>
      </c>
      <c r="D269" s="136" t="e">
        <f t="shared" si="20"/>
        <v>#VALUE!</v>
      </c>
      <c r="E269" s="136" t="e">
        <f t="shared" si="21"/>
        <v>#VALUE!</v>
      </c>
      <c r="F269" s="136" t="e">
        <f t="shared" si="22"/>
        <v>#VALUE!</v>
      </c>
    </row>
    <row r="270" spans="2:6" x14ac:dyDescent="0.25">
      <c r="B270" s="135">
        <f t="shared" si="23"/>
        <v>268</v>
      </c>
      <c r="C270" s="136" t="e">
        <f t="shared" si="24"/>
        <v>#VALUE!</v>
      </c>
      <c r="D270" s="136" t="e">
        <f t="shared" si="20"/>
        <v>#VALUE!</v>
      </c>
      <c r="E270" s="136" t="e">
        <f t="shared" si="21"/>
        <v>#VALUE!</v>
      </c>
      <c r="F270" s="136" t="e">
        <f t="shared" si="22"/>
        <v>#VALUE!</v>
      </c>
    </row>
    <row r="271" spans="2:6" x14ac:dyDescent="0.25">
      <c r="B271" s="135">
        <f t="shared" si="23"/>
        <v>269</v>
      </c>
      <c r="C271" s="136" t="e">
        <f t="shared" si="24"/>
        <v>#VALUE!</v>
      </c>
      <c r="D271" s="136" t="e">
        <f t="shared" si="20"/>
        <v>#VALUE!</v>
      </c>
      <c r="E271" s="136" t="e">
        <f t="shared" si="21"/>
        <v>#VALUE!</v>
      </c>
      <c r="F271" s="136" t="e">
        <f t="shared" si="22"/>
        <v>#VALUE!</v>
      </c>
    </row>
    <row r="272" spans="2:6" x14ac:dyDescent="0.25">
      <c r="B272" s="135">
        <f t="shared" si="23"/>
        <v>270</v>
      </c>
      <c r="C272" s="136" t="e">
        <f t="shared" si="24"/>
        <v>#VALUE!</v>
      </c>
      <c r="D272" s="136" t="e">
        <f t="shared" si="20"/>
        <v>#VALUE!</v>
      </c>
      <c r="E272" s="136" t="e">
        <f t="shared" si="21"/>
        <v>#VALUE!</v>
      </c>
      <c r="F272" s="136" t="e">
        <f t="shared" si="22"/>
        <v>#VALUE!</v>
      </c>
    </row>
    <row r="273" spans="2:6" x14ac:dyDescent="0.25">
      <c r="B273" s="135">
        <f t="shared" si="23"/>
        <v>271</v>
      </c>
      <c r="C273" s="136" t="e">
        <f t="shared" si="24"/>
        <v>#VALUE!</v>
      </c>
      <c r="D273" s="136" t="e">
        <f t="shared" si="20"/>
        <v>#VALUE!</v>
      </c>
      <c r="E273" s="136" t="e">
        <f t="shared" si="21"/>
        <v>#VALUE!</v>
      </c>
      <c r="F273" s="136" t="e">
        <f t="shared" si="22"/>
        <v>#VALUE!</v>
      </c>
    </row>
    <row r="274" spans="2:6" x14ac:dyDescent="0.25">
      <c r="B274" s="135">
        <f t="shared" si="23"/>
        <v>272</v>
      </c>
      <c r="C274" s="136" t="e">
        <f t="shared" si="24"/>
        <v>#VALUE!</v>
      </c>
      <c r="D274" s="136" t="e">
        <f t="shared" si="20"/>
        <v>#VALUE!</v>
      </c>
      <c r="E274" s="136" t="e">
        <f t="shared" si="21"/>
        <v>#VALUE!</v>
      </c>
      <c r="F274" s="136" t="e">
        <f t="shared" si="22"/>
        <v>#VALUE!</v>
      </c>
    </row>
    <row r="275" spans="2:6" x14ac:dyDescent="0.25">
      <c r="B275" s="135">
        <f t="shared" si="23"/>
        <v>273</v>
      </c>
      <c r="C275" s="136" t="e">
        <f t="shared" si="24"/>
        <v>#VALUE!</v>
      </c>
      <c r="D275" s="136" t="e">
        <f t="shared" si="20"/>
        <v>#VALUE!</v>
      </c>
      <c r="E275" s="136" t="e">
        <f t="shared" si="21"/>
        <v>#VALUE!</v>
      </c>
      <c r="F275" s="136" t="e">
        <f t="shared" si="22"/>
        <v>#VALUE!</v>
      </c>
    </row>
    <row r="276" spans="2:6" x14ac:dyDescent="0.25">
      <c r="B276" s="135">
        <f t="shared" si="23"/>
        <v>274</v>
      </c>
      <c r="C276" s="136" t="e">
        <f t="shared" si="24"/>
        <v>#VALUE!</v>
      </c>
      <c r="D276" s="136" t="e">
        <f t="shared" si="20"/>
        <v>#VALUE!</v>
      </c>
      <c r="E276" s="136" t="e">
        <f t="shared" si="21"/>
        <v>#VALUE!</v>
      </c>
      <c r="F276" s="136" t="e">
        <f t="shared" si="22"/>
        <v>#VALUE!</v>
      </c>
    </row>
    <row r="277" spans="2:6" x14ac:dyDescent="0.25">
      <c r="B277" s="135">
        <f t="shared" si="23"/>
        <v>275</v>
      </c>
      <c r="C277" s="136" t="e">
        <f t="shared" si="24"/>
        <v>#VALUE!</v>
      </c>
      <c r="D277" s="136" t="e">
        <f t="shared" si="20"/>
        <v>#VALUE!</v>
      </c>
      <c r="E277" s="136" t="e">
        <f t="shared" si="21"/>
        <v>#VALUE!</v>
      </c>
      <c r="F277" s="136" t="e">
        <f t="shared" si="22"/>
        <v>#VALUE!</v>
      </c>
    </row>
    <row r="278" spans="2:6" x14ac:dyDescent="0.25">
      <c r="B278" s="135">
        <f t="shared" si="23"/>
        <v>276</v>
      </c>
      <c r="C278" s="136" t="e">
        <f t="shared" si="24"/>
        <v>#VALUE!</v>
      </c>
      <c r="D278" s="136" t="e">
        <f t="shared" si="20"/>
        <v>#VALUE!</v>
      </c>
      <c r="E278" s="136" t="e">
        <f t="shared" si="21"/>
        <v>#VALUE!</v>
      </c>
      <c r="F278" s="136" t="e">
        <f t="shared" si="22"/>
        <v>#VALUE!</v>
      </c>
    </row>
    <row r="279" spans="2:6" x14ac:dyDescent="0.25">
      <c r="B279" s="135">
        <f t="shared" si="23"/>
        <v>277</v>
      </c>
      <c r="C279" s="136" t="e">
        <f t="shared" si="24"/>
        <v>#VALUE!</v>
      </c>
      <c r="D279" s="136" t="e">
        <f t="shared" si="20"/>
        <v>#VALUE!</v>
      </c>
      <c r="E279" s="136" t="e">
        <f t="shared" si="21"/>
        <v>#VALUE!</v>
      </c>
      <c r="F279" s="136" t="e">
        <f t="shared" si="22"/>
        <v>#VALUE!</v>
      </c>
    </row>
    <row r="280" spans="2:6" x14ac:dyDescent="0.25">
      <c r="B280" s="135">
        <f t="shared" si="23"/>
        <v>278</v>
      </c>
      <c r="C280" s="136" t="e">
        <f t="shared" si="24"/>
        <v>#VALUE!</v>
      </c>
      <c r="D280" s="136" t="e">
        <f t="shared" si="20"/>
        <v>#VALUE!</v>
      </c>
      <c r="E280" s="136" t="e">
        <f t="shared" si="21"/>
        <v>#VALUE!</v>
      </c>
      <c r="F280" s="136" t="e">
        <f t="shared" si="22"/>
        <v>#VALUE!</v>
      </c>
    </row>
    <row r="281" spans="2:6" x14ac:dyDescent="0.25">
      <c r="B281" s="135">
        <f t="shared" si="23"/>
        <v>279</v>
      </c>
      <c r="C281" s="136" t="e">
        <f t="shared" si="24"/>
        <v>#VALUE!</v>
      </c>
      <c r="D281" s="136" t="e">
        <f t="shared" si="20"/>
        <v>#VALUE!</v>
      </c>
      <c r="E281" s="136" t="e">
        <f t="shared" si="21"/>
        <v>#VALUE!</v>
      </c>
      <c r="F281" s="136" t="e">
        <f t="shared" si="22"/>
        <v>#VALUE!</v>
      </c>
    </row>
    <row r="282" spans="2:6" x14ac:dyDescent="0.25">
      <c r="B282" s="135">
        <f t="shared" si="23"/>
        <v>280</v>
      </c>
      <c r="C282" s="136" t="e">
        <f t="shared" si="24"/>
        <v>#VALUE!</v>
      </c>
      <c r="D282" s="136" t="e">
        <f t="shared" si="20"/>
        <v>#VALUE!</v>
      </c>
      <c r="E282" s="136" t="e">
        <f t="shared" si="21"/>
        <v>#VALUE!</v>
      </c>
      <c r="F282" s="136" t="e">
        <f t="shared" si="22"/>
        <v>#VALUE!</v>
      </c>
    </row>
    <row r="283" spans="2:6" x14ac:dyDescent="0.25">
      <c r="B283" s="135">
        <f t="shared" si="23"/>
        <v>281</v>
      </c>
      <c r="C283" s="136" t="e">
        <f t="shared" si="24"/>
        <v>#VALUE!</v>
      </c>
      <c r="D283" s="136" t="e">
        <f t="shared" si="20"/>
        <v>#VALUE!</v>
      </c>
      <c r="E283" s="136" t="e">
        <f t="shared" si="21"/>
        <v>#VALUE!</v>
      </c>
      <c r="F283" s="136" t="e">
        <f t="shared" si="22"/>
        <v>#VALUE!</v>
      </c>
    </row>
    <row r="284" spans="2:6" x14ac:dyDescent="0.25">
      <c r="B284" s="135">
        <f t="shared" si="23"/>
        <v>282</v>
      </c>
      <c r="C284" s="136" t="e">
        <f t="shared" si="24"/>
        <v>#VALUE!</v>
      </c>
      <c r="D284" s="136" t="e">
        <f t="shared" si="20"/>
        <v>#VALUE!</v>
      </c>
      <c r="E284" s="136" t="e">
        <f t="shared" si="21"/>
        <v>#VALUE!</v>
      </c>
      <c r="F284" s="136" t="e">
        <f t="shared" si="22"/>
        <v>#VALUE!</v>
      </c>
    </row>
    <row r="285" spans="2:6" x14ac:dyDescent="0.25">
      <c r="B285" s="135">
        <f t="shared" si="23"/>
        <v>283</v>
      </c>
      <c r="C285" s="136" t="e">
        <f t="shared" si="24"/>
        <v>#VALUE!</v>
      </c>
      <c r="D285" s="136" t="e">
        <f t="shared" si="20"/>
        <v>#VALUE!</v>
      </c>
      <c r="E285" s="136" t="e">
        <f t="shared" si="21"/>
        <v>#VALUE!</v>
      </c>
      <c r="F285" s="136" t="e">
        <f t="shared" si="22"/>
        <v>#VALUE!</v>
      </c>
    </row>
    <row r="286" spans="2:6" x14ac:dyDescent="0.25">
      <c r="B286" s="135">
        <f t="shared" si="23"/>
        <v>284</v>
      </c>
      <c r="C286" s="136" t="e">
        <f t="shared" si="24"/>
        <v>#VALUE!</v>
      </c>
      <c r="D286" s="136" t="e">
        <f t="shared" si="20"/>
        <v>#VALUE!</v>
      </c>
      <c r="E286" s="136" t="e">
        <f t="shared" si="21"/>
        <v>#VALUE!</v>
      </c>
      <c r="F286" s="136" t="e">
        <f t="shared" si="22"/>
        <v>#VALUE!</v>
      </c>
    </row>
    <row r="287" spans="2:6" x14ac:dyDescent="0.25">
      <c r="B287" s="135">
        <f t="shared" si="23"/>
        <v>285</v>
      </c>
      <c r="C287" s="136" t="e">
        <f t="shared" si="24"/>
        <v>#VALUE!</v>
      </c>
      <c r="D287" s="136" t="e">
        <f t="shared" si="20"/>
        <v>#VALUE!</v>
      </c>
      <c r="E287" s="136" t="e">
        <f t="shared" si="21"/>
        <v>#VALUE!</v>
      </c>
      <c r="F287" s="136" t="e">
        <f t="shared" si="22"/>
        <v>#VALUE!</v>
      </c>
    </row>
    <row r="288" spans="2:6" x14ac:dyDescent="0.25">
      <c r="B288" s="135">
        <f t="shared" si="23"/>
        <v>286</v>
      </c>
      <c r="C288" s="136" t="e">
        <f t="shared" si="24"/>
        <v>#VALUE!</v>
      </c>
      <c r="D288" s="136" t="e">
        <f t="shared" si="20"/>
        <v>#VALUE!</v>
      </c>
      <c r="E288" s="136" t="e">
        <f t="shared" si="21"/>
        <v>#VALUE!</v>
      </c>
      <c r="F288" s="136" t="e">
        <f t="shared" si="22"/>
        <v>#VALUE!</v>
      </c>
    </row>
    <row r="289" spans="2:6" x14ac:dyDescent="0.25">
      <c r="B289" s="135">
        <f t="shared" si="23"/>
        <v>287</v>
      </c>
      <c r="C289" s="136" t="e">
        <f t="shared" si="24"/>
        <v>#VALUE!</v>
      </c>
      <c r="D289" s="136" t="e">
        <f t="shared" si="20"/>
        <v>#VALUE!</v>
      </c>
      <c r="E289" s="136" t="e">
        <f t="shared" si="21"/>
        <v>#VALUE!</v>
      </c>
      <c r="F289" s="136" t="e">
        <f t="shared" si="22"/>
        <v>#VALUE!</v>
      </c>
    </row>
    <row r="290" spans="2:6" x14ac:dyDescent="0.25">
      <c r="B290" s="135">
        <f t="shared" si="23"/>
        <v>288</v>
      </c>
      <c r="C290" s="136" t="e">
        <f t="shared" si="24"/>
        <v>#VALUE!</v>
      </c>
      <c r="D290" s="136" t="e">
        <f t="shared" si="20"/>
        <v>#VALUE!</v>
      </c>
      <c r="E290" s="136" t="e">
        <f t="shared" si="21"/>
        <v>#VALUE!</v>
      </c>
      <c r="F290" s="136" t="e">
        <f t="shared" si="22"/>
        <v>#VALUE!</v>
      </c>
    </row>
    <row r="291" spans="2:6" x14ac:dyDescent="0.25">
      <c r="B291" s="135">
        <f t="shared" si="23"/>
        <v>289</v>
      </c>
      <c r="C291" s="136" t="e">
        <f t="shared" si="24"/>
        <v>#VALUE!</v>
      </c>
      <c r="D291" s="136" t="e">
        <f t="shared" si="20"/>
        <v>#VALUE!</v>
      </c>
      <c r="E291" s="136" t="e">
        <f t="shared" si="21"/>
        <v>#VALUE!</v>
      </c>
      <c r="F291" s="136" t="e">
        <f t="shared" si="22"/>
        <v>#VALUE!</v>
      </c>
    </row>
    <row r="292" spans="2:6" x14ac:dyDescent="0.25">
      <c r="B292" s="135">
        <f t="shared" si="23"/>
        <v>290</v>
      </c>
      <c r="C292" s="136" t="e">
        <f t="shared" si="24"/>
        <v>#VALUE!</v>
      </c>
      <c r="D292" s="136" t="e">
        <f t="shared" si="20"/>
        <v>#VALUE!</v>
      </c>
      <c r="E292" s="136" t="e">
        <f t="shared" si="21"/>
        <v>#VALUE!</v>
      </c>
      <c r="F292" s="136" t="e">
        <f t="shared" si="22"/>
        <v>#VALUE!</v>
      </c>
    </row>
    <row r="293" spans="2:6" x14ac:dyDescent="0.25">
      <c r="B293" s="135">
        <f t="shared" si="23"/>
        <v>291</v>
      </c>
      <c r="C293" s="136" t="e">
        <f t="shared" si="24"/>
        <v>#VALUE!</v>
      </c>
      <c r="D293" s="136" t="e">
        <f t="shared" si="20"/>
        <v>#VALUE!</v>
      </c>
      <c r="E293" s="136" t="e">
        <f t="shared" si="21"/>
        <v>#VALUE!</v>
      </c>
      <c r="F293" s="136" t="e">
        <f t="shared" si="22"/>
        <v>#VALUE!</v>
      </c>
    </row>
    <row r="294" spans="2:6" x14ac:dyDescent="0.25">
      <c r="B294" s="135">
        <f t="shared" si="23"/>
        <v>292</v>
      </c>
      <c r="C294" s="136" t="e">
        <f t="shared" si="24"/>
        <v>#VALUE!</v>
      </c>
      <c r="D294" s="136" t="e">
        <f t="shared" si="20"/>
        <v>#VALUE!</v>
      </c>
      <c r="E294" s="136" t="e">
        <f t="shared" si="21"/>
        <v>#VALUE!</v>
      </c>
      <c r="F294" s="136" t="e">
        <f t="shared" si="22"/>
        <v>#VALUE!</v>
      </c>
    </row>
    <row r="295" spans="2:6" x14ac:dyDescent="0.25">
      <c r="B295" s="135">
        <f t="shared" si="23"/>
        <v>293</v>
      </c>
      <c r="C295" s="136" t="e">
        <f t="shared" si="24"/>
        <v>#VALUE!</v>
      </c>
      <c r="D295" s="136" t="e">
        <f t="shared" si="20"/>
        <v>#VALUE!</v>
      </c>
      <c r="E295" s="136" t="e">
        <f t="shared" si="21"/>
        <v>#VALUE!</v>
      </c>
      <c r="F295" s="136" t="e">
        <f t="shared" si="22"/>
        <v>#VALUE!</v>
      </c>
    </row>
    <row r="296" spans="2:6" x14ac:dyDescent="0.25">
      <c r="B296" s="135">
        <f t="shared" si="23"/>
        <v>294</v>
      </c>
      <c r="C296" s="136" t="e">
        <f t="shared" si="24"/>
        <v>#VALUE!</v>
      </c>
      <c r="D296" s="136" t="e">
        <f t="shared" si="20"/>
        <v>#VALUE!</v>
      </c>
      <c r="E296" s="136" t="e">
        <f t="shared" si="21"/>
        <v>#VALUE!</v>
      </c>
      <c r="F296" s="136" t="e">
        <f t="shared" si="22"/>
        <v>#VALUE!</v>
      </c>
    </row>
    <row r="297" spans="2:6" x14ac:dyDescent="0.25">
      <c r="B297" s="135">
        <f t="shared" si="23"/>
        <v>295</v>
      </c>
      <c r="C297" s="136" t="e">
        <f t="shared" si="24"/>
        <v>#VALUE!</v>
      </c>
      <c r="D297" s="136" t="e">
        <f t="shared" si="20"/>
        <v>#VALUE!</v>
      </c>
      <c r="E297" s="136" t="e">
        <f t="shared" si="21"/>
        <v>#VALUE!</v>
      </c>
      <c r="F297" s="136" t="e">
        <f t="shared" si="22"/>
        <v>#VALUE!</v>
      </c>
    </row>
    <row r="298" spans="2:6" x14ac:dyDescent="0.25">
      <c r="B298" s="135">
        <f t="shared" si="23"/>
        <v>296</v>
      </c>
      <c r="C298" s="136" t="e">
        <f t="shared" si="24"/>
        <v>#VALUE!</v>
      </c>
      <c r="D298" s="136" t="e">
        <f t="shared" si="20"/>
        <v>#VALUE!</v>
      </c>
      <c r="E298" s="136" t="e">
        <f t="shared" si="21"/>
        <v>#VALUE!</v>
      </c>
      <c r="F298" s="136" t="e">
        <f t="shared" si="22"/>
        <v>#VALUE!</v>
      </c>
    </row>
    <row r="299" spans="2:6" x14ac:dyDescent="0.25">
      <c r="B299" s="135">
        <f t="shared" si="23"/>
        <v>297</v>
      </c>
      <c r="C299" s="136" t="e">
        <f t="shared" si="24"/>
        <v>#VALUE!</v>
      </c>
      <c r="D299" s="136" t="e">
        <f t="shared" si="20"/>
        <v>#VALUE!</v>
      </c>
      <c r="E299" s="136" t="e">
        <f t="shared" si="21"/>
        <v>#VALUE!</v>
      </c>
      <c r="F299" s="136" t="e">
        <f t="shared" si="22"/>
        <v>#VALUE!</v>
      </c>
    </row>
    <row r="300" spans="2:6" x14ac:dyDescent="0.25">
      <c r="B300" s="135">
        <f t="shared" si="23"/>
        <v>298</v>
      </c>
      <c r="C300" s="136" t="e">
        <f t="shared" si="24"/>
        <v>#VALUE!</v>
      </c>
      <c r="D300" s="136" t="e">
        <f t="shared" si="20"/>
        <v>#VALUE!</v>
      </c>
      <c r="E300" s="136" t="e">
        <f t="shared" si="21"/>
        <v>#VALUE!</v>
      </c>
      <c r="F300" s="136" t="e">
        <f t="shared" si="22"/>
        <v>#VALUE!</v>
      </c>
    </row>
    <row r="301" spans="2:6" x14ac:dyDescent="0.25">
      <c r="B301" s="135">
        <f t="shared" si="23"/>
        <v>299</v>
      </c>
      <c r="C301" s="136" t="e">
        <f t="shared" si="24"/>
        <v>#VALUE!</v>
      </c>
      <c r="D301" s="136" t="e">
        <f t="shared" si="20"/>
        <v>#VALUE!</v>
      </c>
      <c r="E301" s="136" t="e">
        <f t="shared" si="21"/>
        <v>#VALUE!</v>
      </c>
      <c r="F301" s="136" t="e">
        <f t="shared" si="22"/>
        <v>#VALUE!</v>
      </c>
    </row>
    <row r="302" spans="2:6" x14ac:dyDescent="0.25">
      <c r="B302" s="135">
        <f t="shared" si="23"/>
        <v>300</v>
      </c>
      <c r="C302" s="136" t="e">
        <f t="shared" si="24"/>
        <v>#VALUE!</v>
      </c>
      <c r="D302" s="136" t="e">
        <f t="shared" si="20"/>
        <v>#VALUE!</v>
      </c>
      <c r="E302" s="136" t="e">
        <f t="shared" si="21"/>
        <v>#VALUE!</v>
      </c>
      <c r="F302" s="136" t="e">
        <f t="shared" si="22"/>
        <v>#VALUE!</v>
      </c>
    </row>
    <row r="303" spans="2:6" x14ac:dyDescent="0.25">
      <c r="B303" s="135">
        <f t="shared" si="23"/>
        <v>301</v>
      </c>
      <c r="C303" s="136" t="e">
        <f t="shared" si="24"/>
        <v>#VALUE!</v>
      </c>
      <c r="D303" s="136" t="e">
        <f t="shared" si="20"/>
        <v>#VALUE!</v>
      </c>
      <c r="E303" s="136" t="e">
        <f t="shared" si="21"/>
        <v>#VALUE!</v>
      </c>
      <c r="F303" s="136" t="e">
        <f t="shared" si="22"/>
        <v>#VALUE!</v>
      </c>
    </row>
    <row r="304" spans="2:6" x14ac:dyDescent="0.25">
      <c r="B304" s="135">
        <f t="shared" si="23"/>
        <v>302</v>
      </c>
      <c r="C304" s="136" t="e">
        <f t="shared" si="24"/>
        <v>#VALUE!</v>
      </c>
      <c r="D304" s="136" t="e">
        <f t="shared" si="20"/>
        <v>#VALUE!</v>
      </c>
      <c r="E304" s="136" t="e">
        <f t="shared" si="21"/>
        <v>#VALUE!</v>
      </c>
      <c r="F304" s="136" t="e">
        <f t="shared" si="22"/>
        <v>#VALUE!</v>
      </c>
    </row>
    <row r="305" spans="2:6" x14ac:dyDescent="0.25">
      <c r="B305" s="135">
        <f t="shared" si="23"/>
        <v>303</v>
      </c>
      <c r="C305" s="136" t="e">
        <f t="shared" si="24"/>
        <v>#VALUE!</v>
      </c>
      <c r="D305" s="136" t="e">
        <f t="shared" si="20"/>
        <v>#VALUE!</v>
      </c>
      <c r="E305" s="136" t="e">
        <f t="shared" si="21"/>
        <v>#VALUE!</v>
      </c>
      <c r="F305" s="136" t="e">
        <f t="shared" si="22"/>
        <v>#VALUE!</v>
      </c>
    </row>
    <row r="306" spans="2:6" x14ac:dyDescent="0.25">
      <c r="B306" s="135">
        <f t="shared" si="23"/>
        <v>304</v>
      </c>
      <c r="C306" s="136" t="e">
        <f t="shared" si="24"/>
        <v>#VALUE!</v>
      </c>
      <c r="D306" s="136" t="e">
        <f t="shared" si="20"/>
        <v>#VALUE!</v>
      </c>
      <c r="E306" s="136" t="e">
        <f t="shared" si="21"/>
        <v>#VALUE!</v>
      </c>
      <c r="F306" s="136" t="e">
        <f t="shared" si="22"/>
        <v>#VALUE!</v>
      </c>
    </row>
    <row r="307" spans="2:6" x14ac:dyDescent="0.25">
      <c r="B307" s="135">
        <f t="shared" si="23"/>
        <v>305</v>
      </c>
      <c r="C307" s="136" t="e">
        <f t="shared" si="24"/>
        <v>#VALUE!</v>
      </c>
      <c r="D307" s="136" t="e">
        <f t="shared" si="20"/>
        <v>#VALUE!</v>
      </c>
      <c r="E307" s="136" t="e">
        <f t="shared" si="21"/>
        <v>#VALUE!</v>
      </c>
      <c r="F307" s="136" t="e">
        <f t="shared" si="22"/>
        <v>#VALUE!</v>
      </c>
    </row>
    <row r="308" spans="2:6" x14ac:dyDescent="0.25">
      <c r="B308" s="135">
        <f t="shared" si="23"/>
        <v>306</v>
      </c>
      <c r="C308" s="136" t="e">
        <f t="shared" si="24"/>
        <v>#VALUE!</v>
      </c>
      <c r="D308" s="136" t="e">
        <f t="shared" si="20"/>
        <v>#VALUE!</v>
      </c>
      <c r="E308" s="136" t="e">
        <f t="shared" si="21"/>
        <v>#VALUE!</v>
      </c>
      <c r="F308" s="136" t="e">
        <f t="shared" si="22"/>
        <v>#VALUE!</v>
      </c>
    </row>
    <row r="309" spans="2:6" x14ac:dyDescent="0.25">
      <c r="B309" s="135">
        <f t="shared" si="23"/>
        <v>307</v>
      </c>
      <c r="C309" s="136" t="e">
        <f t="shared" si="24"/>
        <v>#VALUE!</v>
      </c>
      <c r="D309" s="136" t="e">
        <f t="shared" si="20"/>
        <v>#VALUE!</v>
      </c>
      <c r="E309" s="136" t="e">
        <f t="shared" si="21"/>
        <v>#VALUE!</v>
      </c>
      <c r="F309" s="136" t="e">
        <f t="shared" si="22"/>
        <v>#VALUE!</v>
      </c>
    </row>
    <row r="310" spans="2:6" x14ac:dyDescent="0.25">
      <c r="B310" s="135">
        <f t="shared" si="23"/>
        <v>308</v>
      </c>
      <c r="C310" s="136" t="e">
        <f t="shared" si="24"/>
        <v>#VALUE!</v>
      </c>
      <c r="D310" s="136" t="e">
        <f t="shared" si="20"/>
        <v>#VALUE!</v>
      </c>
      <c r="E310" s="136" t="e">
        <f t="shared" si="21"/>
        <v>#VALUE!</v>
      </c>
      <c r="F310" s="136" t="e">
        <f t="shared" si="22"/>
        <v>#VALUE!</v>
      </c>
    </row>
    <row r="311" spans="2:6" x14ac:dyDescent="0.25">
      <c r="B311" s="135">
        <f t="shared" si="23"/>
        <v>309</v>
      </c>
      <c r="C311" s="136" t="e">
        <f t="shared" si="24"/>
        <v>#VALUE!</v>
      </c>
      <c r="D311" s="136" t="e">
        <f t="shared" si="20"/>
        <v>#VALUE!</v>
      </c>
      <c r="E311" s="136" t="e">
        <f t="shared" si="21"/>
        <v>#VALUE!</v>
      </c>
      <c r="F311" s="136" t="e">
        <f t="shared" si="22"/>
        <v>#VALUE!</v>
      </c>
    </row>
    <row r="312" spans="2:6" x14ac:dyDescent="0.25">
      <c r="B312" s="135">
        <f t="shared" si="23"/>
        <v>310</v>
      </c>
      <c r="C312" s="136" t="e">
        <f t="shared" si="24"/>
        <v>#VALUE!</v>
      </c>
      <c r="D312" s="136" t="e">
        <f t="shared" si="20"/>
        <v>#VALUE!</v>
      </c>
      <c r="E312" s="136" t="e">
        <f t="shared" si="21"/>
        <v>#VALUE!</v>
      </c>
      <c r="F312" s="136" t="e">
        <f t="shared" si="22"/>
        <v>#VALUE!</v>
      </c>
    </row>
    <row r="313" spans="2:6" x14ac:dyDescent="0.25">
      <c r="B313" s="135">
        <f t="shared" si="23"/>
        <v>311</v>
      </c>
      <c r="C313" s="136" t="e">
        <f t="shared" si="24"/>
        <v>#VALUE!</v>
      </c>
      <c r="D313" s="136" t="e">
        <f t="shared" si="20"/>
        <v>#VALUE!</v>
      </c>
      <c r="E313" s="136" t="e">
        <f t="shared" si="21"/>
        <v>#VALUE!</v>
      </c>
      <c r="F313" s="136" t="e">
        <f t="shared" si="22"/>
        <v>#VALUE!</v>
      </c>
    </row>
    <row r="314" spans="2:6" x14ac:dyDescent="0.25">
      <c r="B314" s="135">
        <f t="shared" si="23"/>
        <v>312</v>
      </c>
      <c r="C314" s="136" t="e">
        <f t="shared" si="24"/>
        <v>#VALUE!</v>
      </c>
      <c r="D314" s="136" t="e">
        <f t="shared" si="20"/>
        <v>#VALUE!</v>
      </c>
      <c r="E314" s="136" t="e">
        <f t="shared" si="21"/>
        <v>#VALUE!</v>
      </c>
      <c r="F314" s="136" t="e">
        <f t="shared" si="22"/>
        <v>#VALUE!</v>
      </c>
    </row>
    <row r="315" spans="2:6" x14ac:dyDescent="0.25">
      <c r="B315" s="135">
        <f t="shared" si="23"/>
        <v>313</v>
      </c>
      <c r="C315" s="136" t="e">
        <f t="shared" si="24"/>
        <v>#VALUE!</v>
      </c>
      <c r="D315" s="136" t="e">
        <f t="shared" si="20"/>
        <v>#VALUE!</v>
      </c>
      <c r="E315" s="136" t="e">
        <f t="shared" si="21"/>
        <v>#VALUE!</v>
      </c>
      <c r="F315" s="136" t="e">
        <f t="shared" si="22"/>
        <v>#VALUE!</v>
      </c>
    </row>
    <row r="316" spans="2:6" x14ac:dyDescent="0.25">
      <c r="B316" s="135">
        <f t="shared" si="23"/>
        <v>314</v>
      </c>
      <c r="C316" s="136" t="e">
        <f t="shared" si="24"/>
        <v>#VALUE!</v>
      </c>
      <c r="D316" s="136" t="e">
        <f t="shared" si="20"/>
        <v>#VALUE!</v>
      </c>
      <c r="E316" s="136" t="e">
        <f t="shared" si="21"/>
        <v>#VALUE!</v>
      </c>
      <c r="F316" s="136" t="e">
        <f t="shared" si="22"/>
        <v>#VALUE!</v>
      </c>
    </row>
    <row r="317" spans="2:6" x14ac:dyDescent="0.25">
      <c r="B317" s="135">
        <f t="shared" si="23"/>
        <v>315</v>
      </c>
      <c r="C317" s="136" t="e">
        <f t="shared" si="24"/>
        <v>#VALUE!</v>
      </c>
      <c r="D317" s="136" t="e">
        <f t="shared" si="20"/>
        <v>#VALUE!</v>
      </c>
      <c r="E317" s="136" t="e">
        <f t="shared" si="21"/>
        <v>#VALUE!</v>
      </c>
      <c r="F317" s="136" t="e">
        <f t="shared" si="22"/>
        <v>#VALUE!</v>
      </c>
    </row>
    <row r="318" spans="2:6" x14ac:dyDescent="0.25">
      <c r="B318" s="135">
        <f t="shared" si="23"/>
        <v>316</v>
      </c>
      <c r="C318" s="136" t="e">
        <f t="shared" si="24"/>
        <v>#VALUE!</v>
      </c>
      <c r="D318" s="136" t="e">
        <f t="shared" si="20"/>
        <v>#VALUE!</v>
      </c>
      <c r="E318" s="136" t="e">
        <f t="shared" si="21"/>
        <v>#VALUE!</v>
      </c>
      <c r="F318" s="136" t="e">
        <f t="shared" si="22"/>
        <v>#VALUE!</v>
      </c>
    </row>
    <row r="319" spans="2:6" x14ac:dyDescent="0.25">
      <c r="B319" s="135">
        <f t="shared" si="23"/>
        <v>317</v>
      </c>
      <c r="C319" s="136" t="e">
        <f t="shared" si="24"/>
        <v>#VALUE!</v>
      </c>
      <c r="D319" s="136" t="e">
        <f t="shared" si="20"/>
        <v>#VALUE!</v>
      </c>
      <c r="E319" s="136" t="e">
        <f t="shared" si="21"/>
        <v>#VALUE!</v>
      </c>
      <c r="F319" s="136" t="e">
        <f t="shared" si="22"/>
        <v>#VALUE!</v>
      </c>
    </row>
    <row r="320" spans="2:6" x14ac:dyDescent="0.25">
      <c r="B320" s="135">
        <f t="shared" si="23"/>
        <v>318</v>
      </c>
      <c r="C320" s="136" t="e">
        <f t="shared" si="24"/>
        <v>#VALUE!</v>
      </c>
      <c r="D320" s="136" t="e">
        <f t="shared" si="20"/>
        <v>#VALUE!</v>
      </c>
      <c r="E320" s="136" t="e">
        <f t="shared" si="21"/>
        <v>#VALUE!</v>
      </c>
      <c r="F320" s="136" t="e">
        <f t="shared" si="22"/>
        <v>#VALUE!</v>
      </c>
    </row>
    <row r="321" spans="2:6" x14ac:dyDescent="0.25">
      <c r="B321" s="135">
        <f t="shared" si="23"/>
        <v>319</v>
      </c>
      <c r="C321" s="136" t="e">
        <f t="shared" si="24"/>
        <v>#VALUE!</v>
      </c>
      <c r="D321" s="136" t="e">
        <f t="shared" si="20"/>
        <v>#VALUE!</v>
      </c>
      <c r="E321" s="136" t="e">
        <f t="shared" si="21"/>
        <v>#VALUE!</v>
      </c>
      <c r="F321" s="136" t="e">
        <f t="shared" si="22"/>
        <v>#VALUE!</v>
      </c>
    </row>
    <row r="322" spans="2:6" x14ac:dyDescent="0.25">
      <c r="B322" s="135">
        <f t="shared" si="23"/>
        <v>320</v>
      </c>
      <c r="C322" s="136" t="e">
        <f t="shared" si="24"/>
        <v>#VALUE!</v>
      </c>
      <c r="D322" s="136" t="e">
        <f t="shared" si="20"/>
        <v>#VALUE!</v>
      </c>
      <c r="E322" s="136" t="e">
        <f t="shared" si="21"/>
        <v>#VALUE!</v>
      </c>
      <c r="F322" s="136" t="e">
        <f t="shared" si="22"/>
        <v>#VALUE!</v>
      </c>
    </row>
    <row r="323" spans="2:6" x14ac:dyDescent="0.25">
      <c r="B323" s="135">
        <f t="shared" si="23"/>
        <v>321</v>
      </c>
      <c r="C323" s="136" t="e">
        <f t="shared" si="24"/>
        <v>#VALUE!</v>
      </c>
      <c r="D323" s="136" t="e">
        <f t="shared" ref="D323:D362" si="25">PPMT(LoanRate/12,$B323,LoanAmortization*12,-LoanAmount)</f>
        <v>#VALUE!</v>
      </c>
      <c r="E323" s="136" t="e">
        <f t="shared" ref="E323:E362" si="26">IPMT(LoanRate/12,$B323,LoanAmortization*12,-LoanAmount)</f>
        <v>#VALUE!</v>
      </c>
      <c r="F323" s="136" t="e">
        <f t="shared" si="22"/>
        <v>#VALUE!</v>
      </c>
    </row>
    <row r="324" spans="2:6" x14ac:dyDescent="0.25">
      <c r="B324" s="135">
        <f t="shared" si="23"/>
        <v>322</v>
      </c>
      <c r="C324" s="136" t="e">
        <f t="shared" si="24"/>
        <v>#VALUE!</v>
      </c>
      <c r="D324" s="136" t="e">
        <f t="shared" si="25"/>
        <v>#VALUE!</v>
      </c>
      <c r="E324" s="136" t="e">
        <f t="shared" si="26"/>
        <v>#VALUE!</v>
      </c>
      <c r="F324" s="136" t="e">
        <f t="shared" ref="F324:F362" si="27">C324-D324</f>
        <v>#VALUE!</v>
      </c>
    </row>
    <row r="325" spans="2:6" x14ac:dyDescent="0.25">
      <c r="B325" s="135">
        <f t="shared" ref="B325:B362" si="28">B324+1</f>
        <v>323</v>
      </c>
      <c r="C325" s="136" t="e">
        <f t="shared" ref="C325:C362" si="29">F324</f>
        <v>#VALUE!</v>
      </c>
      <c r="D325" s="136" t="e">
        <f t="shared" si="25"/>
        <v>#VALUE!</v>
      </c>
      <c r="E325" s="136" t="e">
        <f t="shared" si="26"/>
        <v>#VALUE!</v>
      </c>
      <c r="F325" s="136" t="e">
        <f t="shared" si="27"/>
        <v>#VALUE!</v>
      </c>
    </row>
    <row r="326" spans="2:6" x14ac:dyDescent="0.25">
      <c r="B326" s="135">
        <f t="shared" si="28"/>
        <v>324</v>
      </c>
      <c r="C326" s="136" t="e">
        <f t="shared" si="29"/>
        <v>#VALUE!</v>
      </c>
      <c r="D326" s="136" t="e">
        <f t="shared" si="25"/>
        <v>#VALUE!</v>
      </c>
      <c r="E326" s="136" t="e">
        <f t="shared" si="26"/>
        <v>#VALUE!</v>
      </c>
      <c r="F326" s="136" t="e">
        <f t="shared" si="27"/>
        <v>#VALUE!</v>
      </c>
    </row>
    <row r="327" spans="2:6" x14ac:dyDescent="0.25">
      <c r="B327" s="135">
        <f t="shared" si="28"/>
        <v>325</v>
      </c>
      <c r="C327" s="136" t="e">
        <f t="shared" si="29"/>
        <v>#VALUE!</v>
      </c>
      <c r="D327" s="136" t="e">
        <f t="shared" si="25"/>
        <v>#VALUE!</v>
      </c>
      <c r="E327" s="136" t="e">
        <f t="shared" si="26"/>
        <v>#VALUE!</v>
      </c>
      <c r="F327" s="136" t="e">
        <f t="shared" si="27"/>
        <v>#VALUE!</v>
      </c>
    </row>
    <row r="328" spans="2:6" x14ac:dyDescent="0.25">
      <c r="B328" s="135">
        <f t="shared" si="28"/>
        <v>326</v>
      </c>
      <c r="C328" s="136" t="e">
        <f t="shared" si="29"/>
        <v>#VALUE!</v>
      </c>
      <c r="D328" s="136" t="e">
        <f t="shared" si="25"/>
        <v>#VALUE!</v>
      </c>
      <c r="E328" s="136" t="e">
        <f t="shared" si="26"/>
        <v>#VALUE!</v>
      </c>
      <c r="F328" s="136" t="e">
        <f t="shared" si="27"/>
        <v>#VALUE!</v>
      </c>
    </row>
    <row r="329" spans="2:6" x14ac:dyDescent="0.25">
      <c r="B329" s="135">
        <f t="shared" si="28"/>
        <v>327</v>
      </c>
      <c r="C329" s="136" t="e">
        <f t="shared" si="29"/>
        <v>#VALUE!</v>
      </c>
      <c r="D329" s="136" t="e">
        <f t="shared" si="25"/>
        <v>#VALUE!</v>
      </c>
      <c r="E329" s="136" t="e">
        <f t="shared" si="26"/>
        <v>#VALUE!</v>
      </c>
      <c r="F329" s="136" t="e">
        <f t="shared" si="27"/>
        <v>#VALUE!</v>
      </c>
    </row>
    <row r="330" spans="2:6" x14ac:dyDescent="0.25">
      <c r="B330" s="135">
        <f t="shared" si="28"/>
        <v>328</v>
      </c>
      <c r="C330" s="136" t="e">
        <f t="shared" si="29"/>
        <v>#VALUE!</v>
      </c>
      <c r="D330" s="136" t="e">
        <f t="shared" si="25"/>
        <v>#VALUE!</v>
      </c>
      <c r="E330" s="136" t="e">
        <f t="shared" si="26"/>
        <v>#VALUE!</v>
      </c>
      <c r="F330" s="136" t="e">
        <f t="shared" si="27"/>
        <v>#VALUE!</v>
      </c>
    </row>
    <row r="331" spans="2:6" x14ac:dyDescent="0.25">
      <c r="B331" s="135">
        <f t="shared" si="28"/>
        <v>329</v>
      </c>
      <c r="C331" s="136" t="e">
        <f t="shared" si="29"/>
        <v>#VALUE!</v>
      </c>
      <c r="D331" s="136" t="e">
        <f t="shared" si="25"/>
        <v>#VALUE!</v>
      </c>
      <c r="E331" s="136" t="e">
        <f t="shared" si="26"/>
        <v>#VALUE!</v>
      </c>
      <c r="F331" s="136" t="e">
        <f t="shared" si="27"/>
        <v>#VALUE!</v>
      </c>
    </row>
    <row r="332" spans="2:6" x14ac:dyDescent="0.25">
      <c r="B332" s="135">
        <f t="shared" si="28"/>
        <v>330</v>
      </c>
      <c r="C332" s="136" t="e">
        <f t="shared" si="29"/>
        <v>#VALUE!</v>
      </c>
      <c r="D332" s="136" t="e">
        <f t="shared" si="25"/>
        <v>#VALUE!</v>
      </c>
      <c r="E332" s="136" t="e">
        <f t="shared" si="26"/>
        <v>#VALUE!</v>
      </c>
      <c r="F332" s="136" t="e">
        <f t="shared" si="27"/>
        <v>#VALUE!</v>
      </c>
    </row>
    <row r="333" spans="2:6" x14ac:dyDescent="0.25">
      <c r="B333" s="135">
        <f t="shared" si="28"/>
        <v>331</v>
      </c>
      <c r="C333" s="136" t="e">
        <f t="shared" si="29"/>
        <v>#VALUE!</v>
      </c>
      <c r="D333" s="136" t="e">
        <f t="shared" si="25"/>
        <v>#VALUE!</v>
      </c>
      <c r="E333" s="136" t="e">
        <f t="shared" si="26"/>
        <v>#VALUE!</v>
      </c>
      <c r="F333" s="136" t="e">
        <f t="shared" si="27"/>
        <v>#VALUE!</v>
      </c>
    </row>
    <row r="334" spans="2:6" x14ac:dyDescent="0.25">
      <c r="B334" s="135">
        <f t="shared" si="28"/>
        <v>332</v>
      </c>
      <c r="C334" s="136" t="e">
        <f t="shared" si="29"/>
        <v>#VALUE!</v>
      </c>
      <c r="D334" s="136" t="e">
        <f t="shared" si="25"/>
        <v>#VALUE!</v>
      </c>
      <c r="E334" s="136" t="e">
        <f t="shared" si="26"/>
        <v>#VALUE!</v>
      </c>
      <c r="F334" s="136" t="e">
        <f t="shared" si="27"/>
        <v>#VALUE!</v>
      </c>
    </row>
    <row r="335" spans="2:6" x14ac:dyDescent="0.25">
      <c r="B335" s="135">
        <f t="shared" si="28"/>
        <v>333</v>
      </c>
      <c r="C335" s="136" t="e">
        <f t="shared" si="29"/>
        <v>#VALUE!</v>
      </c>
      <c r="D335" s="136" t="e">
        <f t="shared" si="25"/>
        <v>#VALUE!</v>
      </c>
      <c r="E335" s="136" t="e">
        <f t="shared" si="26"/>
        <v>#VALUE!</v>
      </c>
      <c r="F335" s="136" t="e">
        <f t="shared" si="27"/>
        <v>#VALUE!</v>
      </c>
    </row>
    <row r="336" spans="2:6" x14ac:dyDescent="0.25">
      <c r="B336" s="135">
        <f t="shared" si="28"/>
        <v>334</v>
      </c>
      <c r="C336" s="136" t="e">
        <f t="shared" si="29"/>
        <v>#VALUE!</v>
      </c>
      <c r="D336" s="136" t="e">
        <f t="shared" si="25"/>
        <v>#VALUE!</v>
      </c>
      <c r="E336" s="136" t="e">
        <f t="shared" si="26"/>
        <v>#VALUE!</v>
      </c>
      <c r="F336" s="136" t="e">
        <f t="shared" si="27"/>
        <v>#VALUE!</v>
      </c>
    </row>
    <row r="337" spans="2:6" x14ac:dyDescent="0.25">
      <c r="B337" s="135">
        <f t="shared" si="28"/>
        <v>335</v>
      </c>
      <c r="C337" s="136" t="e">
        <f t="shared" si="29"/>
        <v>#VALUE!</v>
      </c>
      <c r="D337" s="136" t="e">
        <f t="shared" si="25"/>
        <v>#VALUE!</v>
      </c>
      <c r="E337" s="136" t="e">
        <f t="shared" si="26"/>
        <v>#VALUE!</v>
      </c>
      <c r="F337" s="136" t="e">
        <f t="shared" si="27"/>
        <v>#VALUE!</v>
      </c>
    </row>
    <row r="338" spans="2:6" x14ac:dyDescent="0.25">
      <c r="B338" s="135">
        <f t="shared" si="28"/>
        <v>336</v>
      </c>
      <c r="C338" s="136" t="e">
        <f t="shared" si="29"/>
        <v>#VALUE!</v>
      </c>
      <c r="D338" s="136" t="e">
        <f t="shared" si="25"/>
        <v>#VALUE!</v>
      </c>
      <c r="E338" s="136" t="e">
        <f t="shared" si="26"/>
        <v>#VALUE!</v>
      </c>
      <c r="F338" s="136" t="e">
        <f t="shared" si="27"/>
        <v>#VALUE!</v>
      </c>
    </row>
    <row r="339" spans="2:6" x14ac:dyDescent="0.25">
      <c r="B339" s="135">
        <f t="shared" si="28"/>
        <v>337</v>
      </c>
      <c r="C339" s="136" t="e">
        <f t="shared" si="29"/>
        <v>#VALUE!</v>
      </c>
      <c r="D339" s="136" t="e">
        <f t="shared" si="25"/>
        <v>#VALUE!</v>
      </c>
      <c r="E339" s="136" t="e">
        <f t="shared" si="26"/>
        <v>#VALUE!</v>
      </c>
      <c r="F339" s="136" t="e">
        <f t="shared" si="27"/>
        <v>#VALUE!</v>
      </c>
    </row>
    <row r="340" spans="2:6" x14ac:dyDescent="0.25">
      <c r="B340" s="135">
        <f t="shared" si="28"/>
        <v>338</v>
      </c>
      <c r="C340" s="136" t="e">
        <f t="shared" si="29"/>
        <v>#VALUE!</v>
      </c>
      <c r="D340" s="136" t="e">
        <f t="shared" si="25"/>
        <v>#VALUE!</v>
      </c>
      <c r="E340" s="136" t="e">
        <f t="shared" si="26"/>
        <v>#VALUE!</v>
      </c>
      <c r="F340" s="136" t="e">
        <f t="shared" si="27"/>
        <v>#VALUE!</v>
      </c>
    </row>
    <row r="341" spans="2:6" x14ac:dyDescent="0.25">
      <c r="B341" s="135">
        <f t="shared" si="28"/>
        <v>339</v>
      </c>
      <c r="C341" s="136" t="e">
        <f t="shared" si="29"/>
        <v>#VALUE!</v>
      </c>
      <c r="D341" s="136" t="e">
        <f t="shared" si="25"/>
        <v>#VALUE!</v>
      </c>
      <c r="E341" s="136" t="e">
        <f t="shared" si="26"/>
        <v>#VALUE!</v>
      </c>
      <c r="F341" s="136" t="e">
        <f t="shared" si="27"/>
        <v>#VALUE!</v>
      </c>
    </row>
    <row r="342" spans="2:6" x14ac:dyDescent="0.25">
      <c r="B342" s="135">
        <f t="shared" si="28"/>
        <v>340</v>
      </c>
      <c r="C342" s="136" t="e">
        <f t="shared" si="29"/>
        <v>#VALUE!</v>
      </c>
      <c r="D342" s="136" t="e">
        <f t="shared" si="25"/>
        <v>#VALUE!</v>
      </c>
      <c r="E342" s="136" t="e">
        <f t="shared" si="26"/>
        <v>#VALUE!</v>
      </c>
      <c r="F342" s="136" t="e">
        <f t="shared" si="27"/>
        <v>#VALUE!</v>
      </c>
    </row>
    <row r="343" spans="2:6" x14ac:dyDescent="0.25">
      <c r="B343" s="135">
        <f t="shared" si="28"/>
        <v>341</v>
      </c>
      <c r="C343" s="136" t="e">
        <f t="shared" si="29"/>
        <v>#VALUE!</v>
      </c>
      <c r="D343" s="136" t="e">
        <f t="shared" si="25"/>
        <v>#VALUE!</v>
      </c>
      <c r="E343" s="136" t="e">
        <f t="shared" si="26"/>
        <v>#VALUE!</v>
      </c>
      <c r="F343" s="136" t="e">
        <f t="shared" si="27"/>
        <v>#VALUE!</v>
      </c>
    </row>
    <row r="344" spans="2:6" x14ac:dyDescent="0.25">
      <c r="B344" s="135">
        <f t="shared" si="28"/>
        <v>342</v>
      </c>
      <c r="C344" s="136" t="e">
        <f t="shared" si="29"/>
        <v>#VALUE!</v>
      </c>
      <c r="D344" s="136" t="e">
        <f t="shared" si="25"/>
        <v>#VALUE!</v>
      </c>
      <c r="E344" s="136" t="e">
        <f t="shared" si="26"/>
        <v>#VALUE!</v>
      </c>
      <c r="F344" s="136" t="e">
        <f t="shared" si="27"/>
        <v>#VALUE!</v>
      </c>
    </row>
    <row r="345" spans="2:6" x14ac:dyDescent="0.25">
      <c r="B345" s="135">
        <f t="shared" si="28"/>
        <v>343</v>
      </c>
      <c r="C345" s="136" t="e">
        <f t="shared" si="29"/>
        <v>#VALUE!</v>
      </c>
      <c r="D345" s="136" t="e">
        <f t="shared" si="25"/>
        <v>#VALUE!</v>
      </c>
      <c r="E345" s="136" t="e">
        <f t="shared" si="26"/>
        <v>#VALUE!</v>
      </c>
      <c r="F345" s="136" t="e">
        <f t="shared" si="27"/>
        <v>#VALUE!</v>
      </c>
    </row>
    <row r="346" spans="2:6" x14ac:dyDescent="0.25">
      <c r="B346" s="135">
        <f t="shared" si="28"/>
        <v>344</v>
      </c>
      <c r="C346" s="136" t="e">
        <f t="shared" si="29"/>
        <v>#VALUE!</v>
      </c>
      <c r="D346" s="136" t="e">
        <f t="shared" si="25"/>
        <v>#VALUE!</v>
      </c>
      <c r="E346" s="136" t="e">
        <f t="shared" si="26"/>
        <v>#VALUE!</v>
      </c>
      <c r="F346" s="136" t="e">
        <f t="shared" si="27"/>
        <v>#VALUE!</v>
      </c>
    </row>
    <row r="347" spans="2:6" x14ac:dyDescent="0.25">
      <c r="B347" s="135">
        <f t="shared" si="28"/>
        <v>345</v>
      </c>
      <c r="C347" s="136" t="e">
        <f t="shared" si="29"/>
        <v>#VALUE!</v>
      </c>
      <c r="D347" s="136" t="e">
        <f t="shared" si="25"/>
        <v>#VALUE!</v>
      </c>
      <c r="E347" s="136" t="e">
        <f t="shared" si="26"/>
        <v>#VALUE!</v>
      </c>
      <c r="F347" s="136" t="e">
        <f t="shared" si="27"/>
        <v>#VALUE!</v>
      </c>
    </row>
    <row r="348" spans="2:6" x14ac:dyDescent="0.25">
      <c r="B348" s="135">
        <f t="shared" si="28"/>
        <v>346</v>
      </c>
      <c r="C348" s="136" t="e">
        <f t="shared" si="29"/>
        <v>#VALUE!</v>
      </c>
      <c r="D348" s="136" t="e">
        <f t="shared" si="25"/>
        <v>#VALUE!</v>
      </c>
      <c r="E348" s="136" t="e">
        <f t="shared" si="26"/>
        <v>#VALUE!</v>
      </c>
      <c r="F348" s="136" t="e">
        <f t="shared" si="27"/>
        <v>#VALUE!</v>
      </c>
    </row>
    <row r="349" spans="2:6" x14ac:dyDescent="0.25">
      <c r="B349" s="135">
        <f t="shared" si="28"/>
        <v>347</v>
      </c>
      <c r="C349" s="136" t="e">
        <f t="shared" si="29"/>
        <v>#VALUE!</v>
      </c>
      <c r="D349" s="136" t="e">
        <f t="shared" si="25"/>
        <v>#VALUE!</v>
      </c>
      <c r="E349" s="136" t="e">
        <f t="shared" si="26"/>
        <v>#VALUE!</v>
      </c>
      <c r="F349" s="136" t="e">
        <f t="shared" si="27"/>
        <v>#VALUE!</v>
      </c>
    </row>
    <row r="350" spans="2:6" x14ac:dyDescent="0.25">
      <c r="B350" s="135">
        <f t="shared" si="28"/>
        <v>348</v>
      </c>
      <c r="C350" s="136" t="e">
        <f t="shared" si="29"/>
        <v>#VALUE!</v>
      </c>
      <c r="D350" s="136" t="e">
        <f t="shared" si="25"/>
        <v>#VALUE!</v>
      </c>
      <c r="E350" s="136" t="e">
        <f t="shared" si="26"/>
        <v>#VALUE!</v>
      </c>
      <c r="F350" s="136" t="e">
        <f t="shared" si="27"/>
        <v>#VALUE!</v>
      </c>
    </row>
    <row r="351" spans="2:6" x14ac:dyDescent="0.25">
      <c r="B351" s="135">
        <f t="shared" si="28"/>
        <v>349</v>
      </c>
      <c r="C351" s="136" t="e">
        <f t="shared" si="29"/>
        <v>#VALUE!</v>
      </c>
      <c r="D351" s="136" t="e">
        <f t="shared" si="25"/>
        <v>#VALUE!</v>
      </c>
      <c r="E351" s="136" t="e">
        <f t="shared" si="26"/>
        <v>#VALUE!</v>
      </c>
      <c r="F351" s="136" t="e">
        <f t="shared" si="27"/>
        <v>#VALUE!</v>
      </c>
    </row>
    <row r="352" spans="2:6" x14ac:dyDescent="0.25">
      <c r="B352" s="135">
        <f t="shared" si="28"/>
        <v>350</v>
      </c>
      <c r="C352" s="136" t="e">
        <f t="shared" si="29"/>
        <v>#VALUE!</v>
      </c>
      <c r="D352" s="136" t="e">
        <f t="shared" si="25"/>
        <v>#VALUE!</v>
      </c>
      <c r="E352" s="136" t="e">
        <f t="shared" si="26"/>
        <v>#VALUE!</v>
      </c>
      <c r="F352" s="136" t="e">
        <f t="shared" si="27"/>
        <v>#VALUE!</v>
      </c>
    </row>
    <row r="353" spans="2:6" x14ac:dyDescent="0.25">
      <c r="B353" s="135">
        <f t="shared" si="28"/>
        <v>351</v>
      </c>
      <c r="C353" s="136" t="e">
        <f t="shared" si="29"/>
        <v>#VALUE!</v>
      </c>
      <c r="D353" s="136" t="e">
        <f t="shared" si="25"/>
        <v>#VALUE!</v>
      </c>
      <c r="E353" s="136" t="e">
        <f t="shared" si="26"/>
        <v>#VALUE!</v>
      </c>
      <c r="F353" s="136" t="e">
        <f t="shared" si="27"/>
        <v>#VALUE!</v>
      </c>
    </row>
    <row r="354" spans="2:6" x14ac:dyDescent="0.25">
      <c r="B354" s="135">
        <f t="shared" si="28"/>
        <v>352</v>
      </c>
      <c r="C354" s="136" t="e">
        <f t="shared" si="29"/>
        <v>#VALUE!</v>
      </c>
      <c r="D354" s="136" t="e">
        <f t="shared" si="25"/>
        <v>#VALUE!</v>
      </c>
      <c r="E354" s="136" t="e">
        <f t="shared" si="26"/>
        <v>#VALUE!</v>
      </c>
      <c r="F354" s="136" t="e">
        <f t="shared" si="27"/>
        <v>#VALUE!</v>
      </c>
    </row>
    <row r="355" spans="2:6" x14ac:dyDescent="0.25">
      <c r="B355" s="135">
        <f t="shared" si="28"/>
        <v>353</v>
      </c>
      <c r="C355" s="136" t="e">
        <f t="shared" si="29"/>
        <v>#VALUE!</v>
      </c>
      <c r="D355" s="136" t="e">
        <f t="shared" si="25"/>
        <v>#VALUE!</v>
      </c>
      <c r="E355" s="136" t="e">
        <f t="shared" si="26"/>
        <v>#VALUE!</v>
      </c>
      <c r="F355" s="136" t="e">
        <f t="shared" si="27"/>
        <v>#VALUE!</v>
      </c>
    </row>
    <row r="356" spans="2:6" x14ac:dyDescent="0.25">
      <c r="B356" s="135">
        <f t="shared" si="28"/>
        <v>354</v>
      </c>
      <c r="C356" s="136" t="e">
        <f t="shared" si="29"/>
        <v>#VALUE!</v>
      </c>
      <c r="D356" s="136" t="e">
        <f t="shared" si="25"/>
        <v>#VALUE!</v>
      </c>
      <c r="E356" s="136" t="e">
        <f t="shared" si="26"/>
        <v>#VALUE!</v>
      </c>
      <c r="F356" s="136" t="e">
        <f t="shared" si="27"/>
        <v>#VALUE!</v>
      </c>
    </row>
    <row r="357" spans="2:6" x14ac:dyDescent="0.25">
      <c r="B357" s="135">
        <f t="shared" si="28"/>
        <v>355</v>
      </c>
      <c r="C357" s="136" t="e">
        <f t="shared" si="29"/>
        <v>#VALUE!</v>
      </c>
      <c r="D357" s="136" t="e">
        <f t="shared" si="25"/>
        <v>#VALUE!</v>
      </c>
      <c r="E357" s="136" t="e">
        <f t="shared" si="26"/>
        <v>#VALUE!</v>
      </c>
      <c r="F357" s="136" t="e">
        <f t="shared" si="27"/>
        <v>#VALUE!</v>
      </c>
    </row>
    <row r="358" spans="2:6" x14ac:dyDescent="0.25">
      <c r="B358" s="135">
        <f t="shared" si="28"/>
        <v>356</v>
      </c>
      <c r="C358" s="136" t="e">
        <f t="shared" si="29"/>
        <v>#VALUE!</v>
      </c>
      <c r="D358" s="136" t="e">
        <f t="shared" si="25"/>
        <v>#VALUE!</v>
      </c>
      <c r="E358" s="136" t="e">
        <f t="shared" si="26"/>
        <v>#VALUE!</v>
      </c>
      <c r="F358" s="136" t="e">
        <f t="shared" si="27"/>
        <v>#VALUE!</v>
      </c>
    </row>
    <row r="359" spans="2:6" x14ac:dyDescent="0.25">
      <c r="B359" s="135">
        <f t="shared" si="28"/>
        <v>357</v>
      </c>
      <c r="C359" s="136" t="e">
        <f t="shared" si="29"/>
        <v>#VALUE!</v>
      </c>
      <c r="D359" s="136" t="e">
        <f t="shared" si="25"/>
        <v>#VALUE!</v>
      </c>
      <c r="E359" s="136" t="e">
        <f t="shared" si="26"/>
        <v>#VALUE!</v>
      </c>
      <c r="F359" s="136" t="e">
        <f t="shared" si="27"/>
        <v>#VALUE!</v>
      </c>
    </row>
    <row r="360" spans="2:6" x14ac:dyDescent="0.25">
      <c r="B360" s="135">
        <f t="shared" si="28"/>
        <v>358</v>
      </c>
      <c r="C360" s="136" t="e">
        <f t="shared" si="29"/>
        <v>#VALUE!</v>
      </c>
      <c r="D360" s="136" t="e">
        <f t="shared" si="25"/>
        <v>#VALUE!</v>
      </c>
      <c r="E360" s="136" t="e">
        <f t="shared" si="26"/>
        <v>#VALUE!</v>
      </c>
      <c r="F360" s="136" t="e">
        <f t="shared" si="27"/>
        <v>#VALUE!</v>
      </c>
    </row>
    <row r="361" spans="2:6" x14ac:dyDescent="0.25">
      <c r="B361" s="135">
        <f t="shared" si="28"/>
        <v>359</v>
      </c>
      <c r="C361" s="136" t="e">
        <f t="shared" si="29"/>
        <v>#VALUE!</v>
      </c>
      <c r="D361" s="136" t="e">
        <f t="shared" si="25"/>
        <v>#VALUE!</v>
      </c>
      <c r="E361" s="136" t="e">
        <f t="shared" si="26"/>
        <v>#VALUE!</v>
      </c>
      <c r="F361" s="136" t="e">
        <f t="shared" si="27"/>
        <v>#VALUE!</v>
      </c>
    </row>
    <row r="362" spans="2:6" x14ac:dyDescent="0.25">
      <c r="B362" s="135">
        <f t="shared" si="28"/>
        <v>360</v>
      </c>
      <c r="C362" s="136" t="e">
        <f t="shared" si="29"/>
        <v>#VALUE!</v>
      </c>
      <c r="D362" s="136" t="e">
        <f t="shared" si="25"/>
        <v>#VALUE!</v>
      </c>
      <c r="E362" s="136" t="e">
        <f t="shared" si="26"/>
        <v>#VALUE!</v>
      </c>
      <c r="F362" s="136" t="e">
        <f t="shared" si="27"/>
        <v>#VALUE!</v>
      </c>
    </row>
  </sheetData>
  <pageMargins left="0.7" right="0.7" top="0.75" bottom="0.75" header="0.3" footer="0.3"/>
  <headerFooter>
    <oddFooter>&amp;C_x000D_&amp;1#&amp;"Aptos"&amp;10&amp;K000000 Barings-Public</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25</vt:i4>
      </vt:variant>
    </vt:vector>
  </HeadingPairs>
  <TitlesOfParts>
    <vt:vector size="32" baseType="lpstr">
      <vt:lpstr>Deal Sheet</vt:lpstr>
      <vt:lpstr>Inputs &amp; Summary</vt:lpstr>
      <vt:lpstr>Data Validation</vt:lpstr>
      <vt:lpstr>Monthly Proforma</vt:lpstr>
      <vt:lpstr>Annual Proforma</vt:lpstr>
      <vt:lpstr>Amortization Schedule - Annual</vt:lpstr>
      <vt:lpstr>Amortization Schedule - Monthly</vt:lpstr>
      <vt:lpstr>Am_Sched_Mnthly</vt:lpstr>
      <vt:lpstr>Am_Sched_Mnthly_Mnths</vt:lpstr>
      <vt:lpstr>AskingPrice</vt:lpstr>
      <vt:lpstr>AssessedValue</vt:lpstr>
      <vt:lpstr>Bathrooms</vt:lpstr>
      <vt:lpstr>Bedrooms</vt:lpstr>
      <vt:lpstr>CityState</vt:lpstr>
      <vt:lpstr>ExpenseGrowth</vt:lpstr>
      <vt:lpstr>IncomeGrowth</vt:lpstr>
      <vt:lpstr>InPlaceRent</vt:lpstr>
      <vt:lpstr>ListingDate</vt:lpstr>
      <vt:lpstr>LoanAmortization</vt:lpstr>
      <vt:lpstr>LoanAmount</vt:lpstr>
      <vt:lpstr>LoanRate</vt:lpstr>
      <vt:lpstr>MillageRateGrowth</vt:lpstr>
      <vt:lpstr>PriceAppreciation</vt:lpstr>
      <vt:lpstr>PurchasePrice</vt:lpstr>
      <vt:lpstr>ReassessmentFreq</vt:lpstr>
      <vt:lpstr>RentCastRent</vt:lpstr>
      <vt:lpstr>SellerConcessions</vt:lpstr>
      <vt:lpstr>SquareFootage</vt:lpstr>
      <vt:lpstr>StreetAddress</vt:lpstr>
      <vt:lpstr>TaxValueAppreciation</vt:lpstr>
      <vt:lpstr>Units</vt:lpstr>
      <vt:lpstr>YearBuilt</vt:lpstr>
    </vt:vector>
  </TitlesOfParts>
  <Company>Babson Capital Management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Drew Peterson</cp:lastModifiedBy>
  <cp:lastPrinted>2024-04-18T22:43:08Z</cp:lastPrinted>
  <dcterms:created xsi:type="dcterms:W3CDTF">2016-09-26T14:09:41Z</dcterms:created>
  <dcterms:modified xsi:type="dcterms:W3CDTF">2026-05-02T22:10:50Z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a9b4e55-d4a1-422d-960f-5eb66d4619d8_Enabled">
    <vt:lpwstr>true</vt:lpwstr>
  </property>
  <property fmtid="{D5CDD505-2E9C-101B-9397-08002B2CF9AE}" pid="3" name="MSIP_Label_7a9b4e55-d4a1-422d-960f-5eb66d4619d8_SetDate">
    <vt:lpwstr>2026-03-17T18:30:45Z</vt:lpwstr>
  </property>
  <property fmtid="{D5CDD505-2E9C-101B-9397-08002B2CF9AE}" pid="4" name="MSIP_Label_7a9b4e55-d4a1-422d-960f-5eb66d4619d8_Method">
    <vt:lpwstr>Privileged</vt:lpwstr>
  </property>
  <property fmtid="{D5CDD505-2E9C-101B-9397-08002B2CF9AE}" pid="5" name="MSIP_Label_7a9b4e55-d4a1-422d-960f-5eb66d4619d8_Name">
    <vt:lpwstr>Public</vt:lpwstr>
  </property>
  <property fmtid="{D5CDD505-2E9C-101B-9397-08002B2CF9AE}" pid="6" name="MSIP_Label_7a9b4e55-d4a1-422d-960f-5eb66d4619d8_SiteId">
    <vt:lpwstr>ce78e7b0-e32a-4428-9390-1c2ec8a59c47</vt:lpwstr>
  </property>
  <property fmtid="{D5CDD505-2E9C-101B-9397-08002B2CF9AE}" pid="7" name="MSIP_Label_7a9b4e55-d4a1-422d-960f-5eb66d4619d8_ActionId">
    <vt:lpwstr>92952cb8-0300-4b75-a299-cb54027971f3</vt:lpwstr>
  </property>
  <property fmtid="{D5CDD505-2E9C-101B-9397-08002B2CF9AE}" pid="8" name="MSIP_Label_7a9b4e55-d4a1-422d-960f-5eb66d4619d8_ContentBits">
    <vt:lpwstr>2</vt:lpwstr>
  </property>
  <property fmtid="{D5CDD505-2E9C-101B-9397-08002B2CF9AE}" pid="9" name="MSIP_Label_7a9b4e55-d4a1-422d-960f-5eb66d4619d8_Tag">
    <vt:lpwstr>10, 0, 1, 1</vt:lpwstr>
  </property>
</Properties>
</file>